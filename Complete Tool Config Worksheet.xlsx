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10468\Downloads\"/>
    </mc:Choice>
  </mc:AlternateContent>
  <xr:revisionPtr revIDLastSave="0" documentId="8_{0ACD1DD4-01E2-473F-A03C-B9C047691A00}" xr6:coauthVersionLast="47" xr6:coauthVersionMax="47" xr10:uidLastSave="{00000000-0000-0000-0000-000000000000}"/>
  <bookViews>
    <workbookView xWindow="-120" yWindow="-120" windowWidth="29040" windowHeight="15720" xr2:uid="{CAFEB0FD-BC7C-43FF-8F79-43BA36BD9604}"/>
  </bookViews>
  <sheets>
    <sheet name="PM Tool Info Sheet" sheetId="4" r:id="rId1"/>
    <sheet name="IN FSA NOT PM SHEET" sheetId="7" state="hidden" r:id="rId2"/>
    <sheet name="Tool Body Components" sheetId="6" state="hidden" r:id="rId3"/>
    <sheet name="Just Methods" sheetId="2" r:id="rId4"/>
    <sheet name="Alternative Tool Body Sheet" sheetId="3" state="hidden" r:id="rId5"/>
    <sheet name="Asset Export From Madeline" sheetId="5" state="hidden" r:id="rId6"/>
    <sheet name="Tool Body By Method" sheetId="1" state="hidden" r:id="rId7"/>
    <sheet name="Sheet1" sheetId="8" r:id="rId8"/>
  </sheets>
  <calcPr calcId="191028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3" i="4" l="1"/>
  <c r="J323" i="4"/>
  <c r="G322" i="4"/>
  <c r="J322" i="4"/>
  <c r="G321" i="4"/>
  <c r="J321" i="4"/>
  <c r="G320" i="4"/>
  <c r="J320" i="4"/>
  <c r="G319" i="4"/>
  <c r="J319" i="4"/>
  <c r="H174" i="4"/>
  <c r="H213" i="4"/>
  <c r="H47" i="7"/>
  <c r="G47" i="7"/>
  <c r="H46" i="7"/>
  <c r="G46" i="7"/>
  <c r="H45" i="7"/>
  <c r="G45" i="7"/>
  <c r="H44" i="7"/>
  <c r="G44" i="7"/>
  <c r="H43" i="7"/>
  <c r="G43" i="7"/>
  <c r="H42" i="7"/>
  <c r="G42" i="7"/>
  <c r="H41" i="7"/>
  <c r="G41" i="7"/>
  <c r="H40" i="7"/>
  <c r="G40" i="7"/>
  <c r="H39" i="7"/>
  <c r="G39" i="7"/>
  <c r="H38" i="7"/>
  <c r="G38" i="7"/>
  <c r="H37" i="7"/>
  <c r="G37" i="7"/>
  <c r="H36" i="7"/>
  <c r="G36" i="7"/>
  <c r="H35" i="7"/>
  <c r="G35" i="7"/>
  <c r="H34" i="7"/>
  <c r="G34" i="7"/>
  <c r="H33" i="7"/>
  <c r="G33" i="7"/>
  <c r="H32" i="7"/>
  <c r="G32" i="7"/>
  <c r="H31" i="7"/>
  <c r="G31" i="7"/>
  <c r="H30" i="7"/>
  <c r="G30" i="7"/>
  <c r="H29" i="7"/>
  <c r="G29" i="7"/>
  <c r="H28" i="7"/>
  <c r="G28" i="7"/>
  <c r="H27" i="7"/>
  <c r="G27" i="7"/>
  <c r="H26" i="7"/>
  <c r="G26" i="7"/>
  <c r="H25" i="7"/>
  <c r="G25" i="7"/>
  <c r="H24" i="7"/>
  <c r="G24" i="7"/>
  <c r="H23" i="7"/>
  <c r="G23" i="7"/>
  <c r="H22" i="7"/>
  <c r="G22" i="7"/>
  <c r="H21" i="7"/>
  <c r="G21" i="7"/>
  <c r="H20" i="7"/>
  <c r="G20" i="7"/>
  <c r="H19" i="7"/>
  <c r="G19" i="7"/>
  <c r="H18" i="7"/>
  <c r="G18" i="7"/>
  <c r="H17" i="7"/>
  <c r="G17" i="7"/>
  <c r="H16" i="7"/>
  <c r="G16" i="7"/>
  <c r="H15" i="7"/>
  <c r="G15" i="7"/>
  <c r="H14" i="7"/>
  <c r="G14" i="7"/>
  <c r="H13" i="7"/>
  <c r="G13" i="7"/>
  <c r="H12" i="7"/>
  <c r="G12" i="7"/>
  <c r="H11" i="7"/>
  <c r="G11" i="7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I141" i="4"/>
  <c r="H300" i="4"/>
  <c r="H172" i="4"/>
  <c r="I172" i="4" s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4" i="4"/>
  <c r="I25" i="4"/>
  <c r="I26" i="4"/>
  <c r="I27" i="4"/>
  <c r="I28" i="4"/>
  <c r="I29" i="4"/>
  <c r="I30" i="4"/>
  <c r="I32" i="4"/>
  <c r="I33" i="4"/>
  <c r="I34" i="4"/>
  <c r="I35" i="4"/>
  <c r="I36" i="4"/>
  <c r="I37" i="4"/>
  <c r="I39" i="4"/>
  <c r="I41" i="4"/>
  <c r="I42" i="4"/>
  <c r="I44" i="4"/>
  <c r="I45" i="4"/>
  <c r="I47" i="4"/>
  <c r="I48" i="4"/>
  <c r="I49" i="4"/>
  <c r="I51" i="4"/>
  <c r="I53" i="4"/>
  <c r="I54" i="4"/>
  <c r="I55" i="4"/>
  <c r="I56" i="4"/>
  <c r="I57" i="4"/>
  <c r="I58" i="4"/>
  <c r="I59" i="4"/>
  <c r="I60" i="4"/>
  <c r="I61" i="4"/>
  <c r="I63" i="4"/>
  <c r="I64" i="4"/>
  <c r="I66" i="4"/>
  <c r="I67" i="4"/>
  <c r="I68" i="4"/>
  <c r="I70" i="4"/>
  <c r="I73" i="4"/>
  <c r="I74" i="4"/>
  <c r="I75" i="4"/>
  <c r="I76" i="4"/>
  <c r="I78" i="4"/>
  <c r="I80" i="4"/>
  <c r="I81" i="4"/>
  <c r="I82" i="4"/>
  <c r="I83" i="4"/>
  <c r="I84" i="4"/>
  <c r="I86" i="4"/>
  <c r="I88" i="4"/>
  <c r="I91" i="4"/>
  <c r="I92" i="4"/>
  <c r="I93" i="4"/>
  <c r="I94" i="4"/>
  <c r="I95" i="4"/>
  <c r="I96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2" i="4"/>
  <c r="I123" i="4"/>
  <c r="I124" i="4"/>
  <c r="I125" i="4"/>
  <c r="I126" i="4"/>
  <c r="I127" i="4"/>
  <c r="I128" i="4"/>
  <c r="I130" i="4"/>
  <c r="I131" i="4"/>
  <c r="I132" i="4"/>
  <c r="I133" i="4"/>
  <c r="I134" i="4"/>
  <c r="I135" i="4"/>
  <c r="I136" i="4"/>
  <c r="I137" i="4"/>
  <c r="I138" i="4"/>
  <c r="I139" i="4"/>
  <c r="I140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283" i="4"/>
  <c r="I309" i="4"/>
  <c r="I310" i="4"/>
  <c r="I311" i="4"/>
  <c r="I312" i="4"/>
  <c r="I2" i="4"/>
  <c r="CW120" i="4"/>
  <c r="CW3" i="4"/>
  <c r="CW4" i="4"/>
  <c r="CW5" i="4"/>
  <c r="CW6" i="4"/>
  <c r="CW7" i="4"/>
  <c r="CW8" i="4"/>
  <c r="CW9" i="4"/>
  <c r="CW10" i="4"/>
  <c r="CW11" i="4"/>
  <c r="CW12" i="4"/>
  <c r="CW13" i="4"/>
  <c r="CW14" i="4"/>
  <c r="CW15" i="4"/>
  <c r="CW16" i="4"/>
  <c r="CW17" i="4"/>
  <c r="CW18" i="4"/>
  <c r="CW19" i="4"/>
  <c r="CW20" i="4"/>
  <c r="CW21" i="4"/>
  <c r="CW22" i="4"/>
  <c r="CW23" i="4"/>
  <c r="CW24" i="4"/>
  <c r="CW25" i="4"/>
  <c r="CW26" i="4"/>
  <c r="CW27" i="4"/>
  <c r="CW28" i="4"/>
  <c r="CW29" i="4"/>
  <c r="CW30" i="4"/>
  <c r="CW31" i="4"/>
  <c r="CW32" i="4"/>
  <c r="CW33" i="4"/>
  <c r="CW34" i="4"/>
  <c r="CW35" i="4"/>
  <c r="CW36" i="4"/>
  <c r="CW37" i="4"/>
  <c r="CW38" i="4"/>
  <c r="CW39" i="4"/>
  <c r="CW40" i="4"/>
  <c r="CW41" i="4"/>
  <c r="CW42" i="4"/>
  <c r="CW43" i="4"/>
  <c r="CW44" i="4"/>
  <c r="CW45" i="4"/>
  <c r="CW46" i="4"/>
  <c r="CW47" i="4"/>
  <c r="CW48" i="4"/>
  <c r="CW49" i="4"/>
  <c r="CW50" i="4"/>
  <c r="CW51" i="4"/>
  <c r="CW52" i="4"/>
  <c r="CW53" i="4"/>
  <c r="CW54" i="4"/>
  <c r="CW55" i="4"/>
  <c r="CW56" i="4"/>
  <c r="CW57" i="4"/>
  <c r="CW58" i="4"/>
  <c r="CW59" i="4"/>
  <c r="CW60" i="4"/>
  <c r="CW61" i="4"/>
  <c r="CW62" i="4"/>
  <c r="CW63" i="4"/>
  <c r="CW64" i="4"/>
  <c r="CW65" i="4"/>
  <c r="CW66" i="4"/>
  <c r="CW67" i="4"/>
  <c r="CW68" i="4"/>
  <c r="CW69" i="4"/>
  <c r="CW70" i="4"/>
  <c r="CW71" i="4"/>
  <c r="CW72" i="4"/>
  <c r="CW73" i="4"/>
  <c r="CW74" i="4"/>
  <c r="CW75" i="4"/>
  <c r="CW76" i="4"/>
  <c r="CW77" i="4"/>
  <c r="CW78" i="4"/>
  <c r="CW79" i="4"/>
  <c r="CW80" i="4"/>
  <c r="CW81" i="4"/>
  <c r="CW82" i="4"/>
  <c r="CW83" i="4"/>
  <c r="CW84" i="4"/>
  <c r="CW85" i="4"/>
  <c r="CW86" i="4"/>
  <c r="CW87" i="4"/>
  <c r="CW88" i="4"/>
  <c r="CW89" i="4"/>
  <c r="CW90" i="4"/>
  <c r="CW91" i="4"/>
  <c r="CW92" i="4"/>
  <c r="CW93" i="4"/>
  <c r="CW94" i="4"/>
  <c r="CW95" i="4"/>
  <c r="CW96" i="4"/>
  <c r="CW97" i="4"/>
  <c r="CW98" i="4"/>
  <c r="CW99" i="4"/>
  <c r="CW100" i="4"/>
  <c r="CW101" i="4"/>
  <c r="CW102" i="4"/>
  <c r="CW103" i="4"/>
  <c r="CW104" i="4"/>
  <c r="CW105" i="4"/>
  <c r="CW106" i="4"/>
  <c r="CW107" i="4"/>
  <c r="CW108" i="4"/>
  <c r="CW109" i="4"/>
  <c r="CW110" i="4"/>
  <c r="CW111" i="4"/>
  <c r="CW112" i="4"/>
  <c r="CW113" i="4"/>
  <c r="CW114" i="4"/>
  <c r="CW115" i="4"/>
  <c r="CW116" i="4"/>
  <c r="CW117" i="4"/>
  <c r="CW118" i="4"/>
  <c r="CW119" i="4"/>
  <c r="CW121" i="4"/>
  <c r="CW122" i="4"/>
  <c r="CW123" i="4"/>
  <c r="CW124" i="4"/>
  <c r="CW125" i="4"/>
  <c r="CW126" i="4"/>
  <c r="CW127" i="4"/>
  <c r="CW128" i="4"/>
  <c r="CW129" i="4"/>
  <c r="CW130" i="4"/>
  <c r="CW131" i="4"/>
  <c r="CW132" i="4"/>
  <c r="CW133" i="4"/>
  <c r="CW134" i="4"/>
  <c r="CW135" i="4"/>
  <c r="CW136" i="4"/>
  <c r="CW137" i="4"/>
  <c r="CW138" i="4"/>
  <c r="CW139" i="4"/>
  <c r="CW140" i="4"/>
  <c r="CW141" i="4"/>
  <c r="CW142" i="4"/>
  <c r="CW143" i="4"/>
  <c r="CW144" i="4"/>
  <c r="CW145" i="4"/>
  <c r="CW146" i="4"/>
  <c r="CW2" i="4"/>
  <c r="H269" i="4"/>
  <c r="G269" i="4"/>
  <c r="O356" i="2"/>
  <c r="O357" i="2"/>
  <c r="M357" i="2"/>
  <c r="N357" i="2"/>
  <c r="G283" i="4"/>
  <c r="N356" i="2"/>
  <c r="M356" i="2"/>
  <c r="O355" i="2"/>
  <c r="M355" i="2"/>
  <c r="N355" i="2"/>
  <c r="H173" i="4"/>
  <c r="I173" i="4" s="1"/>
  <c r="I174" i="4"/>
  <c r="H175" i="4"/>
  <c r="I175" i="4" s="1"/>
  <c r="H176" i="4"/>
  <c r="H177" i="4"/>
  <c r="I177" i="4" s="1"/>
  <c r="H178" i="4"/>
  <c r="I178" i="4" s="1"/>
  <c r="H179" i="4"/>
  <c r="I179" i="4" s="1"/>
  <c r="H180" i="4"/>
  <c r="I180" i="4" s="1"/>
  <c r="H181" i="4"/>
  <c r="H182" i="4"/>
  <c r="I182" i="4" s="1"/>
  <c r="H183" i="4"/>
  <c r="I183" i="4" s="1"/>
  <c r="H184" i="4"/>
  <c r="I184" i="4" s="1"/>
  <c r="H185" i="4"/>
  <c r="I185" i="4" s="1"/>
  <c r="H186" i="4"/>
  <c r="I186" i="4" s="1"/>
  <c r="H187" i="4"/>
  <c r="I187" i="4" s="1"/>
  <c r="H188" i="4"/>
  <c r="H189" i="4"/>
  <c r="I189" i="4" s="1"/>
  <c r="H190" i="4"/>
  <c r="I190" i="4" s="1"/>
  <c r="H191" i="4"/>
  <c r="I191" i="4" s="1"/>
  <c r="H192" i="4"/>
  <c r="I192" i="4" s="1"/>
  <c r="H193" i="4"/>
  <c r="I193" i="4" s="1"/>
  <c r="H194" i="4"/>
  <c r="H195" i="4"/>
  <c r="I195" i="4" s="1"/>
  <c r="H196" i="4"/>
  <c r="I196" i="4" s="1"/>
  <c r="H197" i="4"/>
  <c r="I197" i="4" s="1"/>
  <c r="H198" i="4"/>
  <c r="I198" i="4" s="1"/>
  <c r="H199" i="4"/>
  <c r="H200" i="4"/>
  <c r="I200" i="4" s="1"/>
  <c r="H201" i="4"/>
  <c r="I201" i="4" s="1"/>
  <c r="H202" i="4"/>
  <c r="I202" i="4" s="1"/>
  <c r="H203" i="4"/>
  <c r="I203" i="4" s="1"/>
  <c r="H204" i="4"/>
  <c r="I204" i="4" s="1"/>
  <c r="H205" i="4"/>
  <c r="I205" i="4" s="1"/>
  <c r="H206" i="4"/>
  <c r="I206" i="4" s="1"/>
  <c r="H207" i="4"/>
  <c r="I207" i="4" s="1"/>
  <c r="H208" i="4"/>
  <c r="I208" i="4" s="1"/>
  <c r="H209" i="4"/>
  <c r="I209" i="4" s="1"/>
  <c r="H210" i="4"/>
  <c r="I210" i="4" s="1"/>
  <c r="H211" i="4"/>
  <c r="H212" i="4"/>
  <c r="I212" i="4" s="1"/>
  <c r="I213" i="4"/>
  <c r="H214" i="4"/>
  <c r="I214" i="4" s="1"/>
  <c r="H215" i="4"/>
  <c r="H216" i="4"/>
  <c r="I216" i="4" s="1"/>
  <c r="H217" i="4"/>
  <c r="I217" i="4" s="1"/>
  <c r="H218" i="4"/>
  <c r="I218" i="4" s="1"/>
  <c r="H219" i="4"/>
  <c r="I219" i="4" s="1"/>
  <c r="H220" i="4"/>
  <c r="I220" i="4" s="1"/>
  <c r="H221" i="4"/>
  <c r="I221" i="4" s="1"/>
  <c r="H222" i="4"/>
  <c r="H223" i="4"/>
  <c r="I223" i="4" s="1"/>
  <c r="H224" i="4"/>
  <c r="I224" i="4" s="1"/>
  <c r="H225" i="4"/>
  <c r="H226" i="4"/>
  <c r="H227" i="4"/>
  <c r="I227" i="4" s="1"/>
  <c r="H228" i="4"/>
  <c r="H229" i="4"/>
  <c r="I229" i="4" s="1"/>
  <c r="H230" i="4"/>
  <c r="I230" i="4" s="1"/>
  <c r="H231" i="4"/>
  <c r="I231" i="4" s="1"/>
  <c r="H232" i="4"/>
  <c r="H233" i="4"/>
  <c r="I233" i="4" s="1"/>
  <c r="H234" i="4"/>
  <c r="I234" i="4" s="1"/>
  <c r="H235" i="4"/>
  <c r="I235" i="4" s="1"/>
  <c r="H236" i="4"/>
  <c r="I236" i="4" s="1"/>
  <c r="H237" i="4"/>
  <c r="I237" i="4" s="1"/>
  <c r="H238" i="4"/>
  <c r="I238" i="4" s="1"/>
  <c r="H239" i="4"/>
  <c r="I239" i="4" s="1"/>
  <c r="H240" i="4"/>
  <c r="I240" i="4" s="1"/>
  <c r="H241" i="4"/>
  <c r="I241" i="4" s="1"/>
  <c r="H242" i="4"/>
  <c r="I242" i="4" s="1"/>
  <c r="H243" i="4"/>
  <c r="H244" i="4"/>
  <c r="I244" i="4" s="1"/>
  <c r="H245" i="4"/>
  <c r="I245" i="4" s="1"/>
  <c r="H246" i="4"/>
  <c r="I246" i="4" s="1"/>
  <c r="H247" i="4"/>
  <c r="I247" i="4" s="1"/>
  <c r="H248" i="4"/>
  <c r="I248" i="4" s="1"/>
  <c r="H249" i="4"/>
  <c r="I249" i="4" s="1"/>
  <c r="H250" i="4"/>
  <c r="I250" i="4" s="1"/>
  <c r="H251" i="4"/>
  <c r="I251" i="4" s="1"/>
  <c r="H252" i="4"/>
  <c r="I252" i="4" s="1"/>
  <c r="H253" i="4"/>
  <c r="I253" i="4" s="1"/>
  <c r="H254" i="4"/>
  <c r="I254" i="4" s="1"/>
  <c r="H255" i="4"/>
  <c r="I255" i="4" s="1"/>
  <c r="H256" i="4"/>
  <c r="I256" i="4" s="1"/>
  <c r="H257" i="4"/>
  <c r="I257" i="4" s="1"/>
  <c r="H258" i="4"/>
  <c r="I258" i="4" s="1"/>
  <c r="H259" i="4"/>
  <c r="I259" i="4" s="1"/>
  <c r="H260" i="4"/>
  <c r="H261" i="4"/>
  <c r="I261" i="4" s="1"/>
  <c r="H262" i="4"/>
  <c r="I262" i="4" s="1"/>
  <c r="H263" i="4"/>
  <c r="I263" i="4" s="1"/>
  <c r="H264" i="4"/>
  <c r="I264" i="4" s="1"/>
  <c r="H265" i="4"/>
  <c r="I265" i="4" s="1"/>
  <c r="H266" i="4"/>
  <c r="I266" i="4" s="1"/>
  <c r="H267" i="4"/>
  <c r="I267" i="4" s="1"/>
  <c r="H268" i="4"/>
  <c r="H270" i="4"/>
  <c r="I270" i="4" s="1"/>
  <c r="H271" i="4"/>
  <c r="I271" i="4" s="1"/>
  <c r="H272" i="4"/>
  <c r="I272" i="4" s="1"/>
  <c r="H273" i="4"/>
  <c r="I273" i="4" s="1"/>
  <c r="H274" i="4"/>
  <c r="I274" i="4" s="1"/>
  <c r="H275" i="4"/>
  <c r="I275" i="4" s="1"/>
  <c r="H276" i="4"/>
  <c r="H277" i="4"/>
  <c r="I277" i="4" s="1"/>
  <c r="H278" i="4"/>
  <c r="I278" i="4" s="1"/>
  <c r="H279" i="4"/>
  <c r="I279" i="4" s="1"/>
  <c r="H280" i="4"/>
  <c r="I280" i="4" s="1"/>
  <c r="H281" i="4"/>
  <c r="I281" i="4" s="1"/>
  <c r="H282" i="4"/>
  <c r="I282" i="4" s="1"/>
  <c r="H284" i="4"/>
  <c r="I284" i="4" s="1"/>
  <c r="H285" i="4"/>
  <c r="I285" i="4" s="1"/>
  <c r="H286" i="4"/>
  <c r="I286" i="4" s="1"/>
  <c r="H287" i="4"/>
  <c r="I287" i="4" s="1"/>
  <c r="H288" i="4"/>
  <c r="I288" i="4" s="1"/>
  <c r="H289" i="4"/>
  <c r="I289" i="4" s="1"/>
  <c r="H290" i="4"/>
  <c r="I290" i="4" s="1"/>
  <c r="H291" i="4"/>
  <c r="I291" i="4" s="1"/>
  <c r="H292" i="4"/>
  <c r="I292" i="4" s="1"/>
  <c r="H293" i="4"/>
  <c r="I293" i="4" s="1"/>
  <c r="H294" i="4"/>
  <c r="I294" i="4" s="1"/>
  <c r="H295" i="4"/>
  <c r="H296" i="4"/>
  <c r="I296" i="4" s="1"/>
  <c r="H297" i="4"/>
  <c r="I297" i="4" s="1"/>
  <c r="H298" i="4"/>
  <c r="I298" i="4" s="1"/>
  <c r="H299" i="4"/>
  <c r="I299" i="4" s="1"/>
  <c r="H301" i="4"/>
  <c r="I301" i="4" s="1"/>
  <c r="H302" i="4"/>
  <c r="I302" i="4" s="1"/>
  <c r="H303" i="4"/>
  <c r="I303" i="4" s="1"/>
  <c r="H304" i="4"/>
  <c r="I304" i="4" s="1"/>
  <c r="H305" i="4"/>
  <c r="I305" i="4" s="1"/>
  <c r="H306" i="4"/>
  <c r="I306" i="4" s="1"/>
  <c r="H307" i="4"/>
  <c r="I307" i="4" s="1"/>
  <c r="H308" i="4"/>
  <c r="I308" i="4" s="1"/>
  <c r="H313" i="4"/>
  <c r="I313" i="4" s="1"/>
  <c r="H314" i="4"/>
  <c r="I314" i="4" s="1"/>
  <c r="H315" i="4"/>
  <c r="I315" i="4" s="1"/>
  <c r="H316" i="4"/>
  <c r="I316" i="4" s="1"/>
  <c r="H317" i="4"/>
  <c r="I317" i="4" s="1"/>
  <c r="H318" i="4"/>
  <c r="I318" i="4" s="1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13" i="4"/>
  <c r="G314" i="4"/>
  <c r="G315" i="4"/>
  <c r="G316" i="4"/>
  <c r="G317" i="4"/>
  <c r="G318" i="4"/>
  <c r="G172" i="4"/>
  <c r="M65" i="2"/>
  <c r="O124" i="2"/>
  <c r="N124" i="2"/>
  <c r="M124" i="2"/>
  <c r="O125" i="2"/>
  <c r="N125" i="2"/>
  <c r="M125" i="2"/>
  <c r="N94" i="2"/>
  <c r="O61" i="2"/>
  <c r="N61" i="2"/>
  <c r="M61" i="2"/>
  <c r="O75" i="2"/>
  <c r="N75" i="2"/>
  <c r="M75" i="2"/>
  <c r="N51" i="2"/>
  <c r="N79" i="2"/>
  <c r="N19" i="2"/>
  <c r="N29" i="2"/>
  <c r="N8" i="2"/>
  <c r="N30" i="2"/>
  <c r="N7" i="2"/>
  <c r="N5" i="2"/>
  <c r="M2" i="2"/>
  <c r="N269" i="2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60" i="3"/>
  <c r="B368" i="3"/>
  <c r="B393" i="3"/>
  <c r="B401" i="3"/>
  <c r="B406" i="3"/>
  <c r="B415" i="3"/>
  <c r="B417" i="3"/>
  <c r="B425" i="3"/>
  <c r="B435" i="3"/>
  <c r="B361" i="3"/>
  <c r="B362" i="3"/>
  <c r="B369" i="3"/>
  <c r="B370" i="3"/>
  <c r="B394" i="3"/>
  <c r="B395" i="3"/>
  <c r="B407" i="3"/>
  <c r="B408" i="3"/>
  <c r="B418" i="3"/>
  <c r="B419" i="3"/>
  <c r="B426" i="3"/>
  <c r="B427" i="3"/>
  <c r="B428" i="3"/>
  <c r="B409" i="3"/>
  <c r="B429" i="3"/>
  <c r="B436" i="3"/>
  <c r="B363" i="3"/>
  <c r="B364" i="3"/>
  <c r="B371" i="3"/>
  <c r="B372" i="3"/>
  <c r="B396" i="3"/>
  <c r="B397" i="3"/>
  <c r="B402" i="3"/>
  <c r="B403" i="3"/>
  <c r="B410" i="3"/>
  <c r="B411" i="3"/>
  <c r="B420" i="3"/>
  <c r="B421" i="3"/>
  <c r="B430" i="3"/>
  <c r="B431" i="3"/>
  <c r="B373" i="3"/>
  <c r="B374" i="3"/>
  <c r="B375" i="3"/>
  <c r="B376" i="3"/>
  <c r="B334" i="3"/>
  <c r="B365" i="3"/>
  <c r="B377" i="3"/>
  <c r="B398" i="3"/>
  <c r="B404" i="3"/>
  <c r="B412" i="3"/>
  <c r="B416" i="3"/>
  <c r="B422" i="3"/>
  <c r="B432" i="3"/>
  <c r="B437" i="3"/>
  <c r="B335" i="3"/>
  <c r="B378" i="3"/>
  <c r="B336" i="3"/>
  <c r="B379" i="3"/>
  <c r="B337" i="3"/>
  <c r="B380" i="3"/>
  <c r="B338" i="3"/>
  <c r="B381" i="3"/>
  <c r="B340" i="3"/>
  <c r="B366" i="3"/>
  <c r="B383" i="3"/>
  <c r="B399" i="3"/>
  <c r="B405" i="3"/>
  <c r="B413" i="3"/>
  <c r="B423" i="3"/>
  <c r="B433" i="3"/>
  <c r="B438" i="3"/>
  <c r="B341" i="3"/>
  <c r="B342" i="3"/>
  <c r="B367" i="3"/>
  <c r="B384" i="3"/>
  <c r="B400" i="3"/>
  <c r="B414" i="3"/>
  <c r="B424" i="3"/>
  <c r="B434" i="3"/>
  <c r="B439" i="3"/>
  <c r="B343" i="3"/>
  <c r="B344" i="3"/>
  <c r="B345" i="3"/>
  <c r="B346" i="3"/>
  <c r="B347" i="3"/>
  <c r="B348" i="3"/>
  <c r="B349" i="3"/>
  <c r="B350" i="3"/>
  <c r="B352" i="3"/>
  <c r="B353" i="3"/>
  <c r="B354" i="3"/>
  <c r="B355" i="3"/>
  <c r="B356" i="3"/>
  <c r="B357" i="3"/>
  <c r="B358" i="3"/>
  <c r="B359" i="3"/>
  <c r="B385" i="3"/>
  <c r="B386" i="3"/>
  <c r="B387" i="3"/>
  <c r="B388" i="3"/>
  <c r="B389" i="3"/>
  <c r="B390" i="3"/>
  <c r="B391" i="3"/>
  <c r="B392" i="3"/>
  <c r="N20" i="2"/>
  <c r="N17" i="2"/>
  <c r="M27" i="2"/>
  <c r="N26" i="2"/>
  <c r="N25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2" i="2"/>
  <c r="N3" i="2"/>
  <c r="N4" i="2"/>
  <c r="N6" i="2"/>
  <c r="N9" i="2"/>
  <c r="N10" i="2"/>
  <c r="N11" i="2"/>
  <c r="N12" i="2"/>
  <c r="N13" i="2"/>
  <c r="N14" i="2"/>
  <c r="N15" i="2"/>
  <c r="N16" i="2"/>
  <c r="N18" i="2"/>
  <c r="N21" i="2"/>
  <c r="N22" i="2"/>
  <c r="N23" i="2"/>
  <c r="N24" i="2"/>
  <c r="N27" i="2"/>
  <c r="N28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2" i="2"/>
  <c r="N53" i="2"/>
  <c r="N54" i="2"/>
  <c r="N55" i="2"/>
  <c r="N56" i="2"/>
  <c r="N57" i="2"/>
  <c r="N58" i="2"/>
  <c r="N59" i="2"/>
  <c r="N60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6" i="2"/>
  <c r="N77" i="2"/>
  <c r="N78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2" i="2"/>
  <c r="M63" i="2"/>
  <c r="M64" i="2"/>
  <c r="M66" i="2"/>
  <c r="M67" i="2"/>
  <c r="M68" i="2"/>
  <c r="M69" i="2"/>
  <c r="M70" i="2"/>
  <c r="M71" i="2"/>
  <c r="M72" i="2"/>
  <c r="M73" i="2"/>
  <c r="M74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</calcChain>
</file>

<file path=xl/sharedStrings.xml><?xml version="1.0" encoding="utf-8"?>
<sst xmlns="http://schemas.openxmlformats.org/spreadsheetml/2006/main" count="42831" uniqueCount="7733">
  <si>
    <t>Tool configuration I.D.</t>
  </si>
  <si>
    <t>Tool size (NPS) (in)</t>
  </si>
  <si>
    <t>Tool description</t>
  </si>
  <si>
    <t>Technology</t>
  </si>
  <si>
    <t>Tool type</t>
  </si>
  <si>
    <t>SF Item Describtion</t>
  </si>
  <si>
    <t>FSA Item Describtion</t>
  </si>
  <si>
    <t>FSA Alias</t>
  </si>
  <si>
    <t>Tool Body</t>
  </si>
  <si>
    <t>Days To Turn</t>
  </si>
  <si>
    <t>Data Logger Generation</t>
  </si>
  <si>
    <t>Nominal pipe OD (in)</t>
  </si>
  <si>
    <t>Min local bore (in)</t>
  </si>
  <si>
    <t>% DEF   of OD</t>
  </si>
  <si>
    <t>Gauge plate size for line with &lt;5D bends</t>
  </si>
  <si>
    <t>Gauge plate size for line with &gt;5D bends</t>
  </si>
  <si>
    <t>Min bend radius (multiples of pipe diameter)</t>
  </si>
  <si>
    <t>Min bore in 1.5D bends</t>
  </si>
  <si>
    <t>Min bore in 3D bends</t>
  </si>
  <si>
    <t>Min bore in 5D (or greater) bends</t>
  </si>
  <si>
    <t>Min dist. between bends (multiples of pipe diameter)</t>
  </si>
  <si>
    <t>Max tool velocity for sizing accuracy (ft/sec)</t>
  </si>
  <si>
    <t>Higher Specified Tool Velocity (ft/sec)</t>
  </si>
  <si>
    <t>Max wall thickness for MFL reporting accuracy at Higher Specified Tool Velocity (in)</t>
  </si>
  <si>
    <t>Lower Specified Velocity (ft/sec)</t>
  </si>
  <si>
    <t>Max wall thickness for MFL reporting accuracy at Lower Specified Tool Velocity (in)</t>
  </si>
  <si>
    <t>Number of DEF sensors</t>
  </si>
  <si>
    <t>Number of Flex MFL sensors</t>
  </si>
  <si>
    <t>Number of GMFL sensors</t>
  </si>
  <si>
    <t>Number of IDOD sensors</t>
  </si>
  <si>
    <t>Number of K360 sensors</t>
  </si>
  <si>
    <t>Number of LFM sensors</t>
  </si>
  <si>
    <t>Number of LGT sensors</t>
  </si>
  <si>
    <t>Number of MFL sensors</t>
  </si>
  <si>
    <t>Number of RES sensors</t>
  </si>
  <si>
    <t>Number of SpirALL® MFL sensors</t>
  </si>
  <si>
    <t>Number of UHR DEF sensors</t>
  </si>
  <si>
    <t>Number of UHR MFL sensors</t>
  </si>
  <si>
    <t>Number of Ultra Res MFL sensors</t>
  </si>
  <si>
    <t>Max sampling rate (samp/sec)</t>
  </si>
  <si>
    <t>Length standard config (in)</t>
  </si>
  <si>
    <t>Length added for each additional battery pack (in)</t>
  </si>
  <si>
    <t>Tool weight (lb)</t>
  </si>
  <si>
    <t>Weight added for each additional battery pack (lb)</t>
  </si>
  <si>
    <t>Run time per alk pack (hours)</t>
  </si>
  <si>
    <t>Run time per lith pack (hours)</t>
  </si>
  <si>
    <t>Memory run time at 750 s/sec. (hours)</t>
  </si>
  <si>
    <t>Total power (W)</t>
  </si>
  <si>
    <t>Total current at 12 V supply (A)</t>
  </si>
  <si>
    <t>Min pressure (psi)</t>
  </si>
  <si>
    <t>Max pressure (psi)</t>
  </si>
  <si>
    <t>Specification document #</t>
  </si>
  <si>
    <t>Ammonia compatible</t>
  </si>
  <si>
    <t>Push in</t>
  </si>
  <si>
    <t>Pull in</t>
  </si>
  <si>
    <t>Vertical launch</t>
  </si>
  <si>
    <t>Cassette</t>
  </si>
  <si>
    <t>Strings / cell / nom volt alkaline</t>
  </si>
  <si>
    <t>Strings / cell / nom volt lithium</t>
  </si>
  <si>
    <t>In-Line Temperature Range (°F)</t>
  </si>
  <si>
    <t>Launcher-Tool Performance Specification Dim 'A' (ft)</t>
  </si>
  <si>
    <t>Launcher-Tool Performance Specification Dim 'B' (ft)</t>
  </si>
  <si>
    <t>Launcher-Tool Performance Specification Dim 'C' (ft)</t>
  </si>
  <si>
    <t>Launcher-Tool Performance Specification Dim 'D' (in)</t>
  </si>
  <si>
    <t>Launcher-Tool Performance Specification Dim 'E' (ft)</t>
  </si>
  <si>
    <t>Launcher-Tool Performance Specification Dim 'F' (ft)</t>
  </si>
  <si>
    <t>Receiver-Tool Performance Specification Dim 'A' (ft)</t>
  </si>
  <si>
    <t>Receiver-Tool Performance Specification Dim 'B' (ft)</t>
  </si>
  <si>
    <t>Receiver-Tool Performance Specification Dim 'C' (ft)</t>
  </si>
  <si>
    <t>Receiver-Tool Performance Specification Dim 'D' (in)</t>
  </si>
  <si>
    <t>Receiver-Tool Performance Specification Dim 'E' (ft)</t>
  </si>
  <si>
    <t>Receiver-Tool Performance Specification Dim 'F' (ft)</t>
  </si>
  <si>
    <t>Min tool Launch/Receive Tray Height (in)</t>
  </si>
  <si>
    <t>Max tool Launch/Receive Tray Height (in)</t>
  </si>
  <si>
    <t>DRV</t>
  </si>
  <si>
    <t>AMAG</t>
  </si>
  <si>
    <t>DAA</t>
  </si>
  <si>
    <t>CPU</t>
  </si>
  <si>
    <t>XMIT</t>
  </si>
  <si>
    <t>BAT</t>
  </si>
  <si>
    <t>BAT2</t>
  </si>
  <si>
    <t>SMAG</t>
  </si>
  <si>
    <t>SMFL2</t>
  </si>
  <si>
    <t>EMAG</t>
  </si>
  <si>
    <t>ARAA (RES)</t>
  </si>
  <si>
    <t>LFM (LMAG)</t>
  </si>
  <si>
    <t>GMAG</t>
  </si>
  <si>
    <t>Not for use in water</t>
  </si>
  <si>
    <t>Count of Assets</t>
  </si>
  <si>
    <t>Count TUL</t>
  </si>
  <si>
    <t>Count SLC</t>
  </si>
  <si>
    <t>Count HOU</t>
  </si>
  <si>
    <t>Notes</t>
  </si>
  <si>
    <t>4" DEF NH3</t>
  </si>
  <si>
    <t>Legacy</t>
  </si>
  <si>
    <t>DEF</t>
  </si>
  <si>
    <t xml:space="preserve"> 4" DEF (NH3) </t>
  </si>
  <si>
    <t>DEF.04</t>
  </si>
  <si>
    <t>Gen 3</t>
  </si>
  <si>
    <t>3D</t>
  </si>
  <si>
    <t>D2428</t>
  </si>
  <si>
    <t>YES</t>
  </si>
  <si>
    <t>NO</t>
  </si>
  <si>
    <t>1/6/9vdc</t>
  </si>
  <si>
    <t>1/6/21.6vdc</t>
  </si>
  <si>
    <t>14 to 131</t>
  </si>
  <si>
    <t>04_610</t>
  </si>
  <si>
    <t>04_600</t>
  </si>
  <si>
    <t>4" DEF - Liquid Products Only</t>
  </si>
  <si>
    <t xml:space="preserve"> 4" DEF </t>
  </si>
  <si>
    <t>D1018</t>
  </si>
  <si>
    <t>4" DEF2 + IDOD</t>
  </si>
  <si>
    <t>DEF,IDOD</t>
  </si>
  <si>
    <t xml:space="preserve"> 4" DEF2 + IDOD </t>
  </si>
  <si>
    <t>XHD</t>
  </si>
  <si>
    <t>1.5D</t>
  </si>
  <si>
    <t>0D</t>
  </si>
  <si>
    <t>D2654</t>
  </si>
  <si>
    <t>N/A</t>
  </si>
  <si>
    <t>4/0/14vdc</t>
  </si>
  <si>
    <t>4" MDS FLEX MFL2 + DEF2</t>
  </si>
  <si>
    <t>MDS</t>
  </si>
  <si>
    <t>DEF,Flex MFL,IDOD</t>
  </si>
  <si>
    <t xml:space="preserve"> 4" MDS FLEX MFL2+DEF2+IDOD </t>
  </si>
  <si>
    <t>FLEX.DEF.MFL.04</t>
  </si>
  <si>
    <t>D2481</t>
  </si>
  <si>
    <t>0/0/0vdc</t>
  </si>
  <si>
    <t>4" MFL NH3</t>
  </si>
  <si>
    <t>MFL</t>
  </si>
  <si>
    <t xml:space="preserve"> 4" MFL (NH3) </t>
  </si>
  <si>
    <t>MFL.04</t>
  </si>
  <si>
    <t>D1385</t>
  </si>
  <si>
    <t>04_200</t>
  </si>
  <si>
    <t>04_001</t>
  </si>
  <si>
    <t>4" MFL Liquid Products Only</t>
  </si>
  <si>
    <t xml:space="preserve"> 4" MFL </t>
  </si>
  <si>
    <t>D1020</t>
  </si>
  <si>
    <t>1/6/19.5vdc</t>
  </si>
  <si>
    <t>6" MDS PRO DEF2+MFL4+SMFL+XYZ</t>
  </si>
  <si>
    <t>DEF,IDOD,MFL,SpirALL® MFL,XYZ</t>
  </si>
  <si>
    <t xml:space="preserve"> 6" MFL4+DEF2+SMFL+XYZ </t>
  </si>
  <si>
    <t>DEF.MFL.SMFL.XYZ.06</t>
  </si>
  <si>
    <t>D3712</t>
  </si>
  <si>
    <t>1/3/10.8vdc</t>
  </si>
  <si>
    <t>6" MFL+DEF (xHD)</t>
  </si>
  <si>
    <t>DEF,IDOD,MFL</t>
  </si>
  <si>
    <t xml:space="preserve"> 6" MFL+DEF (xHD) </t>
  </si>
  <si>
    <t>DEF.MFL.06</t>
  </si>
  <si>
    <t>D3094</t>
  </si>
  <si>
    <t>06_201</t>
  </si>
  <si>
    <t>06_6001</t>
  </si>
  <si>
    <t>6" MDS FLEX DEF2+MFL4+XYZ</t>
  </si>
  <si>
    <t>DEF,Flex MFL,IDOD,XYZ</t>
  </si>
  <si>
    <t xml:space="preserve"> 6" MDS FLEX MFL4+DEF2+XYZ </t>
  </si>
  <si>
    <t>FLEX.DEF.MFL.XYZ.06</t>
  </si>
  <si>
    <t>D3713</t>
  </si>
  <si>
    <t>06_6000</t>
  </si>
  <si>
    <t xml:space="preserve">6" DEF </t>
  </si>
  <si>
    <t xml:space="preserve"> 6" DEF (1.5D) </t>
  </si>
  <si>
    <t>DEF.06</t>
  </si>
  <si>
    <t>D1021</t>
  </si>
  <si>
    <t>1/10/15vdc</t>
  </si>
  <si>
    <t>1/5/18vdc</t>
  </si>
  <si>
    <t>6" LGT NH3</t>
  </si>
  <si>
    <t>LGT</t>
  </si>
  <si>
    <t xml:space="preserve"> 6" LGT Ammonia </t>
  </si>
  <si>
    <t>LGT.06</t>
  </si>
  <si>
    <t>D1675</t>
  </si>
  <si>
    <t>6" MFL5</t>
  </si>
  <si>
    <t>IDOD,MFL</t>
  </si>
  <si>
    <t xml:space="preserve"> 6" MFL5 </t>
  </si>
  <si>
    <t>MFL.06</t>
  </si>
  <si>
    <t>Gen 4</t>
  </si>
  <si>
    <t>D2809</t>
  </si>
  <si>
    <t>112200-01-00-01-01</t>
  </si>
  <si>
    <t>6" MDS FLEX MFL4+DEF2</t>
  </si>
  <si>
    <t xml:space="preserve"> 6" MDS FLEX MFL4+DEF2 </t>
  </si>
  <si>
    <t>FLEX.DEF.MFL.06</t>
  </si>
  <si>
    <t>D2215</t>
  </si>
  <si>
    <t>06_002</t>
  </si>
  <si>
    <t>6" MFL NH3</t>
  </si>
  <si>
    <t xml:space="preserve"> 6" MFL (NH3) </t>
  </si>
  <si>
    <t>D1028</t>
  </si>
  <si>
    <t>1/15/22.5vdc</t>
  </si>
  <si>
    <t>6" DEF NH3</t>
  </si>
  <si>
    <t xml:space="preserve"> 6" DEF (NH3) </t>
  </si>
  <si>
    <t>D1026</t>
  </si>
  <si>
    <t>112200-01-01-01-01</t>
  </si>
  <si>
    <t>6" MFL4+DEF+SpirALL MFL</t>
  </si>
  <si>
    <t>DEF,IDOD,MFL,SpirALL® MFL</t>
  </si>
  <si>
    <t xml:space="preserve"> 6" MFL4+DEF2+SMFL </t>
  </si>
  <si>
    <t>DEF.MFL.SMFL.06</t>
  </si>
  <si>
    <t>D2084</t>
  </si>
  <si>
    <t>6" DEF+XYZ</t>
  </si>
  <si>
    <t>DEF,XYZ</t>
  </si>
  <si>
    <t xml:space="preserve"> 6" DEF+XYZ </t>
  </si>
  <si>
    <t>DEF.XYZ.06</t>
  </si>
  <si>
    <t>D2848</t>
  </si>
  <si>
    <t>6" MFL3 (Hybrid)+XYZ</t>
  </si>
  <si>
    <t>IDOD,MFL,XYZ</t>
  </si>
  <si>
    <t xml:space="preserve"> 6" MFL3 (Hybrid)+XYZ </t>
  </si>
  <si>
    <t>MFL.XYZ.06</t>
  </si>
  <si>
    <t>D1581</t>
  </si>
  <si>
    <t>6" MFL+DEF</t>
  </si>
  <si>
    <t xml:space="preserve"> 6" MFL+DEF </t>
  </si>
  <si>
    <t>D1023</t>
  </si>
  <si>
    <t>6" DEF+XYZ (xHD)</t>
  </si>
  <si>
    <t>D3696</t>
  </si>
  <si>
    <t>6" MFL (xHD)</t>
  </si>
  <si>
    <t xml:space="preserve"> 6" MFL (xHD) </t>
  </si>
  <si>
    <t>D2847</t>
  </si>
  <si>
    <t>6" MFL+DEF+XYZ (xHD)</t>
  </si>
  <si>
    <t>DEF,IDOD,MFL,XYZ</t>
  </si>
  <si>
    <t xml:space="preserve"> 6" MFL+DEF+XYZ (xHD) </t>
  </si>
  <si>
    <t>DEF.MFL.XYZ.06</t>
  </si>
  <si>
    <t>6 MFL</t>
  </si>
  <si>
    <t>D3240</t>
  </si>
  <si>
    <t>6" MFL5+XYZ</t>
  </si>
  <si>
    <t xml:space="preserve"> 6" MFL5+XYZ </t>
  </si>
  <si>
    <t>D2532</t>
  </si>
  <si>
    <t>112200-02-01-01-01</t>
  </si>
  <si>
    <t>6" MFL4+DEF2+SpirALL MFL Dual Drive</t>
  </si>
  <si>
    <t xml:space="preserve"> 6" MFL4+DEF2+SpirALL® MFL Dual Drive </t>
  </si>
  <si>
    <t>6" MFL+DEF NH3</t>
  </si>
  <si>
    <t>DEF,MFL</t>
  </si>
  <si>
    <t xml:space="preserve"> 6" MFL+DEF (NH3) </t>
  </si>
  <si>
    <t>D2443</t>
  </si>
  <si>
    <t>6" LGT</t>
  </si>
  <si>
    <t xml:space="preserve"> 6" LGT </t>
  </si>
  <si>
    <t>D1402</t>
  </si>
  <si>
    <t>112200-01-01-02-01</t>
  </si>
  <si>
    <t>6" MFL4+Brush DEF+SpirALL MFL</t>
  </si>
  <si>
    <t xml:space="preserve"> 6" MFL4+Brush DEF2+SpirALL® MFL </t>
  </si>
  <si>
    <t>6" DEF (xHD)</t>
  </si>
  <si>
    <t xml:space="preserve"> 6" DEF (xHD) </t>
  </si>
  <si>
    <t>D3242</t>
  </si>
  <si>
    <t>8" MFL4+DEF+RES</t>
  </si>
  <si>
    <t>DEF,Flex MFL,IDOD,RES</t>
  </si>
  <si>
    <t xml:space="preserve"> 8" MDS FLEX MFL4+DEF+RES (V1) </t>
  </si>
  <si>
    <t>FLEX.DEF.MFL.RES.08</t>
  </si>
  <si>
    <t>D2906</t>
  </si>
  <si>
    <t>8" MDS PRO DEF6+MFL6+RES+SMFL+XYZ</t>
  </si>
  <si>
    <t>DEF,IDOD,MFL,RES,SpirALL® MFL,XYZ</t>
  </si>
  <si>
    <t xml:space="preserve"> Pro 8" DEF+RES+SMFL+Ultra Res MFL+XYZ </t>
  </si>
  <si>
    <t>DEF.RES.SMFL.UMFL.XYZ.V1.08</t>
  </si>
  <si>
    <t>8 MDS V1</t>
  </si>
  <si>
    <t>D3761</t>
  </si>
  <si>
    <t>8" DEF (xHD)</t>
  </si>
  <si>
    <t xml:space="preserve"> 8" DEF (xHD) </t>
  </si>
  <si>
    <t>DEF.08</t>
  </si>
  <si>
    <t>D1031</t>
  </si>
  <si>
    <t>1/12/18vdc</t>
  </si>
  <si>
    <t>8" MFL4+DEF+SMFL+RES</t>
  </si>
  <si>
    <t>DEF,IDOD,MFL,RES,SpirALL® MFL</t>
  </si>
  <si>
    <t xml:space="preserve"> 8" MFL4+DEF+SMFL+RES (V1) </t>
  </si>
  <si>
    <t>DEF.MFL.RES.SMFL.08</t>
  </si>
  <si>
    <t>D2930</t>
  </si>
  <si>
    <t>8" GMFL (xHD)</t>
  </si>
  <si>
    <t>GMFL,IDOD</t>
  </si>
  <si>
    <t xml:space="preserve"> 8" GMFL ATEX </t>
  </si>
  <si>
    <t>GMFL.08</t>
  </si>
  <si>
    <t>D1200</t>
  </si>
  <si>
    <t>8" DEF+XYZ (xHD)</t>
  </si>
  <si>
    <t xml:space="preserve"> 8" DEF+XYZ (xHD) </t>
  </si>
  <si>
    <t>DEF.XYZ.08</t>
  </si>
  <si>
    <t>D2947</t>
  </si>
  <si>
    <t>8" LGT+XYZ</t>
  </si>
  <si>
    <t>LGT,XYZ</t>
  </si>
  <si>
    <t xml:space="preserve"> 8" LGT+XYZ </t>
  </si>
  <si>
    <t>LGT.XYZ.08</t>
  </si>
  <si>
    <t>D2253</t>
  </si>
  <si>
    <t>8'' MFL5+DEF5+LFM</t>
  </si>
  <si>
    <t>DEF,Flex MFL,IDOD,LFM</t>
  </si>
  <si>
    <t xml:space="preserve"> 8" MDS FLEX MFL5+DEF5+LFM (V2) </t>
  </si>
  <si>
    <t>FLEX.DEF.LFM.MFL.08</t>
  </si>
  <si>
    <t>D2748</t>
  </si>
  <si>
    <t>8" MDS FLEX DEF6+MFL6+RES+XYZ</t>
  </si>
  <si>
    <t>DEF,IDOD,MFL,RES,XYZ</t>
  </si>
  <si>
    <t xml:space="preserve"> 8" DEF+RES+Ultra Res MFL+XYZ 08" </t>
  </si>
  <si>
    <t>DEF.RES.UMFL.XYZ.V1.08</t>
  </si>
  <si>
    <t>D3763</t>
  </si>
  <si>
    <t>8" MFL (1.5D ATEX)</t>
  </si>
  <si>
    <t xml:space="preserve"> 8" MFL (1.5D) ATEX </t>
  </si>
  <si>
    <t>MFL.08</t>
  </si>
  <si>
    <t>08_215</t>
  </si>
  <si>
    <t>8" MDS FLEX DEF7+LFM+MFL6+XYZ</t>
  </si>
  <si>
    <t>DEF,IDOD,LFM,MFL,XYZ</t>
  </si>
  <si>
    <t xml:space="preserve"> MDS™ Flex DEF+LFM+Ultra Res MFL+XYZ 08" </t>
  </si>
  <si>
    <t>DEF.LFM.UMFL.XYZ.V2.08</t>
  </si>
  <si>
    <t>8 MDS V2</t>
  </si>
  <si>
    <t>D3720</t>
  </si>
  <si>
    <t>8" MDS FLEX DEF6+MFL6+XYZ</t>
  </si>
  <si>
    <t xml:space="preserve"> 8" MDS FLEX DEF+Ultra Res MFL+XYZ, V2 </t>
  </si>
  <si>
    <t>DEF.UMFL.XYZ.V2.08</t>
  </si>
  <si>
    <t>D3765</t>
  </si>
  <si>
    <t>8" GMFL+XYZ (xHD)</t>
  </si>
  <si>
    <t>GMFL,IDOD,XYZ</t>
  </si>
  <si>
    <t xml:space="preserve"> 8" GMFL+XYZ (xHD) </t>
  </si>
  <si>
    <t>GMFL.XYZ.08</t>
  </si>
  <si>
    <t>D1263</t>
  </si>
  <si>
    <t>8" MDS PRO DEF7+LFM+MFL6+SMFL2</t>
  </si>
  <si>
    <t>DEF,IDOD,LFM,MFL,SpirALL® MFL</t>
  </si>
  <si>
    <t xml:space="preserve"> 8" MDS™ PRO DEF7+LFM+ULTRA RES MFL+SMFL2 </t>
  </si>
  <si>
    <t>DEF.LFM.SMFL.UMFL.V2.08</t>
  </si>
  <si>
    <t>D3719</t>
  </si>
  <si>
    <t>8" MFL (xHD)</t>
  </si>
  <si>
    <t xml:space="preserve"> 8" MFL (xHD) </t>
  </si>
  <si>
    <t>D1033</t>
  </si>
  <si>
    <t>08_900</t>
  </si>
  <si>
    <t>8" MFL+DEF (xHD)</t>
  </si>
  <si>
    <t xml:space="preserve"> 8" MFL+DEF (xHD) </t>
  </si>
  <si>
    <t>DEF.MFL.08</t>
  </si>
  <si>
    <t>D1032</t>
  </si>
  <si>
    <t xml:space="preserve">8" MDS FLEX DEF6+MFL6+RES </t>
  </si>
  <si>
    <t>DEF,IDOD,MFL,RES</t>
  </si>
  <si>
    <t xml:space="preserve"> 8" DEF+RES+Ultra Res MFL 08" </t>
  </si>
  <si>
    <t>DEF.RES.UMFL.V1.08</t>
  </si>
  <si>
    <t>D3764</t>
  </si>
  <si>
    <t>8" MFL (3D) NH3</t>
  </si>
  <si>
    <t xml:space="preserve"> 8" MFL (3D, NH3) </t>
  </si>
  <si>
    <t>D1035</t>
  </si>
  <si>
    <t>3/8/12vdc</t>
  </si>
  <si>
    <t>3/4/14.4vdc</t>
  </si>
  <si>
    <t>8" MFL+DEF NH3 (3D)</t>
  </si>
  <si>
    <t xml:space="preserve"> 8" MFL+DEF (NH3, 3D) </t>
  </si>
  <si>
    <t>D2243</t>
  </si>
  <si>
    <t>8" MFL+XYZ (xHD)</t>
  </si>
  <si>
    <t xml:space="preserve"> 8" MFL+XYZ (xHD) </t>
  </si>
  <si>
    <t>MFL.XYZ.08</t>
  </si>
  <si>
    <t>D1181</t>
  </si>
  <si>
    <t>8" MDS PRO DEF7+LFM+MFL6+SMFL2+XYZ</t>
  </si>
  <si>
    <t>DEF,IDOD,LFM,MFL,SpirALL® MFL,XYZ</t>
  </si>
  <si>
    <t>DEF.LFM.SMFL.UMFL.XYZ.V2.08</t>
  </si>
  <si>
    <t>D3718</t>
  </si>
  <si>
    <t>8" DEF NH3</t>
  </si>
  <si>
    <t xml:space="preserve"> 8" DEF (NH3) </t>
  </si>
  <si>
    <t>D1030</t>
  </si>
  <si>
    <t>8" MDS PRO DEF6+MFL6+RES+SMFL</t>
  </si>
  <si>
    <t xml:space="preserve"> 8" DEF+RES+SMFL+ULTRA RES MFL, V1 </t>
  </si>
  <si>
    <t>DEF.RES.SMFL.UMFL.V1.08</t>
  </si>
  <si>
    <t>D3762</t>
  </si>
  <si>
    <t>8" MFL2 (Hybrid xHD)</t>
  </si>
  <si>
    <t xml:space="preserve"> 8" MFL2 (Hybrid) xHD </t>
  </si>
  <si>
    <t>D1332</t>
  </si>
  <si>
    <t>8'' MFL5+DEF5+SMFL2+LFM</t>
  </si>
  <si>
    <t xml:space="preserve"> 8" MFL5+DEF5+SMFL2+LFM (V2) </t>
  </si>
  <si>
    <t>DEF.LFM.MFL.SMFL.08</t>
  </si>
  <si>
    <t>D2749</t>
  </si>
  <si>
    <t>8" GMFL + DEF (xHD)</t>
  </si>
  <si>
    <t>DEF,GMFL,IDOD</t>
  </si>
  <si>
    <t xml:space="preserve"> 8" GMFL+DEF (xHD) </t>
  </si>
  <si>
    <t>DEF.GMFL.08</t>
  </si>
  <si>
    <t>D2864</t>
  </si>
  <si>
    <t>8" MFL2 (Hybrid)+XYZ (xHD)</t>
  </si>
  <si>
    <t xml:space="preserve"> 8" MFL2 (Hybrid)+XYZ (xHD) </t>
  </si>
  <si>
    <t>D1491</t>
  </si>
  <si>
    <t>8" DEF + XYZ NH3</t>
  </si>
  <si>
    <t xml:space="preserve"> 8" DEF+XYZ (NH3) </t>
  </si>
  <si>
    <t>D2840</t>
  </si>
  <si>
    <t>8" MDS FLEX DEF+MFL4+XYZ</t>
  </si>
  <si>
    <t xml:space="preserve"> 8" MDS FLEX MFL4+DEF+XYZ (V1) </t>
  </si>
  <si>
    <t>FLEX.DEFMFLXYZ.V1.08</t>
  </si>
  <si>
    <t>D3621</t>
  </si>
  <si>
    <t>8" LGT</t>
  </si>
  <si>
    <t xml:space="preserve"> 8" DEF3 </t>
  </si>
  <si>
    <t>D1405</t>
  </si>
  <si>
    <t>8" MDS FLEX DEF+MFL4</t>
  </si>
  <si>
    <t xml:space="preserve"> 8" MDS FLEX MFL4+DEF (V1) </t>
  </si>
  <si>
    <t>FLEX.DEF.MFL.V1.08</t>
  </si>
  <si>
    <t>D3620</t>
  </si>
  <si>
    <t>8'' MFL5+DEF5+SMFL2+XYZ+LFM</t>
  </si>
  <si>
    <t xml:space="preserve"> 8" MFL5+DEF5+SMFL2+XYZ+LFM (V2) </t>
  </si>
  <si>
    <t>DEF.LFM.MFL.SMFL.XYZ.08</t>
  </si>
  <si>
    <t>D2750</t>
  </si>
  <si>
    <t>8" MFL+DEF+XYZ (xHD)</t>
  </si>
  <si>
    <t xml:space="preserve"> 8" MFL+DEF+XYZ (xHD) </t>
  </si>
  <si>
    <t>DEF.MFL.XYZ.08</t>
  </si>
  <si>
    <t>8 MFL</t>
  </si>
  <si>
    <t>D2274</t>
  </si>
  <si>
    <t>8" MDS FLEX DEF5+MFL5+XYZ</t>
  </si>
  <si>
    <t xml:space="preserve"> 8" MDS FLEX MFL5+DEF5+XYZ (V2) </t>
  </si>
  <si>
    <t>FLEX.DEFMFLXYZ.V2.08</t>
  </si>
  <si>
    <t>D3623</t>
  </si>
  <si>
    <t>FLEX.DEFMFLXYZ.V2.08 </t>
  </si>
  <si>
    <t>8" MDS FLEX DEF7+MFL6</t>
  </si>
  <si>
    <t xml:space="preserve"> 8" DEF+Ultra Res MFL </t>
  </si>
  <si>
    <t>DEF.UMFL.V1.08</t>
  </si>
  <si>
    <t>D3723</t>
  </si>
  <si>
    <t>DEF.UMFL.V1.08 </t>
  </si>
  <si>
    <t>8" MDS FLEX DEF7+LFM+MFL6</t>
  </si>
  <si>
    <t>DEF,IDOD,LFM,MFL</t>
  </si>
  <si>
    <t>DEF.LFM.UMFL.V2.08</t>
  </si>
  <si>
    <t>D3721</t>
  </si>
  <si>
    <t>DEF.LFM.UMFL.V2.08 </t>
  </si>
  <si>
    <t>8" MFL4+DEF+SMFL+RES+XYZ</t>
  </si>
  <si>
    <t xml:space="preserve"> 8" MFL4+DEF+SMFL+RES+XYZ (V1) </t>
  </si>
  <si>
    <t>DEF.MFL.RES.SMFL.XYZ.08</t>
  </si>
  <si>
    <t>D2931</t>
  </si>
  <si>
    <t>DEF.MFL.RES.SMFL.XYZ.08 </t>
  </si>
  <si>
    <t>8" MDS FLEX DEF5+MFL5</t>
  </si>
  <si>
    <t xml:space="preserve"> 8" MDS FLEX MFL5+DEF5 </t>
  </si>
  <si>
    <t>FLEX.DEF.MFL.V2.08</t>
  </si>
  <si>
    <t>D3622</t>
  </si>
  <si>
    <t>FLEX.DEF.MFL.V2.08 </t>
  </si>
  <si>
    <t>08_650</t>
  </si>
  <si>
    <t xml:space="preserve"> 8" LGT </t>
  </si>
  <si>
    <t>LGT.08</t>
  </si>
  <si>
    <t>D1034</t>
  </si>
  <si>
    <t>LGT.08 </t>
  </si>
  <si>
    <t>8'' MFL5+DEF5+XYZ+LFM</t>
  </si>
  <si>
    <t>DEF,Flex MFL,IDOD,LFM,XYZ</t>
  </si>
  <si>
    <t xml:space="preserve"> 8" MDS FLEX MFL5+DEF5+XYZ+LFM (V2) </t>
  </si>
  <si>
    <t>FLEXDEFLFMMFLXYZ.08</t>
  </si>
  <si>
    <t>D2751</t>
  </si>
  <si>
    <t>FLEXDEFLFMMFLXYZ.08 </t>
  </si>
  <si>
    <t>8" MDS FLEX DEF7+MFL6+XYZ</t>
  </si>
  <si>
    <t xml:space="preserve"> 8" DEF+Ultra Res MFL+XYZ </t>
  </si>
  <si>
    <t>DEF.UMFL.XYZ.V1.08</t>
  </si>
  <si>
    <t>D3722</t>
  </si>
  <si>
    <t>DEF.UMFL.XYZ.V1.08 </t>
  </si>
  <si>
    <t>8" GMFL+DEF+XYZ(xHD)</t>
  </si>
  <si>
    <t>DEF,GMFL,IDOD,XYZ</t>
  </si>
  <si>
    <t xml:space="preserve"> 8" DEF+GMFL+XYZ (xHD) </t>
  </si>
  <si>
    <t>DEF.GMFL.XYZ.08</t>
  </si>
  <si>
    <t>8 GMFL</t>
  </si>
  <si>
    <t>D3508</t>
  </si>
  <si>
    <t>DEF.GMFL.XYZ.08 </t>
  </si>
  <si>
    <t>8" MDS FLEX DEF6+MFL6</t>
  </si>
  <si>
    <t xml:space="preserve"> 8" FLEX DEF+ULTRA RES MFL </t>
  </si>
  <si>
    <t>DEF.UMFL.V2.08 </t>
  </si>
  <si>
    <t>D3766</t>
  </si>
  <si>
    <t>10" MFL3+DEF+SMFL+XYZ+RES (1.5D)</t>
  </si>
  <si>
    <t xml:space="preserve"> 10" MFL3+DEF+SMFL+XYZ+RES </t>
  </si>
  <si>
    <t>DEF.MFL.RES.SMFL.XYZ.10</t>
  </si>
  <si>
    <t>D2647</t>
  </si>
  <si>
    <t>DEF.MFL.RES.SMFL.XYZ.10 </t>
  </si>
  <si>
    <t>10" DEF NH3</t>
  </si>
  <si>
    <t xml:space="preserve"> 10" DEF (NH3) </t>
  </si>
  <si>
    <t>DEF.10</t>
  </si>
  <si>
    <t>D1036</t>
  </si>
  <si>
    <t>DEF.10 </t>
  </si>
  <si>
    <t>10" MFL3+DEF+SMFL+RES</t>
  </si>
  <si>
    <t xml:space="preserve"> 10" MFL3+DEF+SMFL+RES </t>
  </si>
  <si>
    <t>DEF.MFL.RES.SMFL.10</t>
  </si>
  <si>
    <t>D2648</t>
  </si>
  <si>
    <t>DEF.MFL.RES.SMFL.10 </t>
  </si>
  <si>
    <t>10" MDS FLEX DEF2+MFL4+XYZ</t>
  </si>
  <si>
    <t xml:space="preserve"> 10" MDS FLEX DEF+ULTRA RES MFL+XYZ </t>
  </si>
  <si>
    <t>DEF.UMFL.XYZ.10</t>
  </si>
  <si>
    <t>D3728</t>
  </si>
  <si>
    <t>DEF.UMFL.XYZ.10 </t>
  </si>
  <si>
    <t>10" GMFL+DEF+XYZ (ATEX)</t>
  </si>
  <si>
    <t xml:space="preserve"> 10" GMFL+DEF+XYZ ATEX </t>
  </si>
  <si>
    <t>DEF.GMFL.XYZ.10</t>
  </si>
  <si>
    <t>10 GMFL</t>
  </si>
  <si>
    <t>D2957</t>
  </si>
  <si>
    <t>DEF.GMFL.XYZ.10 </t>
  </si>
  <si>
    <t>10" DEF (ATEX)</t>
  </si>
  <si>
    <t xml:space="preserve"> 10" DEF ATEX </t>
  </si>
  <si>
    <t>D3775</t>
  </si>
  <si>
    <t>10" MFL3+DEF+XYZ+RES</t>
  </si>
  <si>
    <t>DEF,Flex MFL,IDOD,RES,XYZ</t>
  </si>
  <si>
    <t xml:space="preserve"> 10" MDS FLEX MFL3+DEF+RES+XYZ </t>
  </si>
  <si>
    <t>FLEXDEFMFLRESXYZ.10</t>
  </si>
  <si>
    <t>10 MDS</t>
  </si>
  <si>
    <t>D3614</t>
  </si>
  <si>
    <t>1/4/14.4vdc</t>
  </si>
  <si>
    <t>FLEXDEFMFLRESXYZ.10 </t>
  </si>
  <si>
    <t>10" EMAT2</t>
  </si>
  <si>
    <t>EMAT</t>
  </si>
  <si>
    <t xml:space="preserve"> 10" (254 mm) </t>
  </si>
  <si>
    <t>EMAT.10</t>
  </si>
  <si>
    <t>D2576</t>
  </si>
  <si>
    <t>0/0/19.8vdc</t>
  </si>
  <si>
    <t>EMAT.10 </t>
  </si>
  <si>
    <t>10" MFL (8" Batt,) NH3</t>
  </si>
  <si>
    <t xml:space="preserve"> 10" MFL (8" Batt, NH3) </t>
  </si>
  <si>
    <t>MFL.10</t>
  </si>
  <si>
    <t>D1042</t>
  </si>
  <si>
    <t>10_201</t>
  </si>
  <si>
    <t>MFL.10 </t>
  </si>
  <si>
    <t>10" MDS PRO DEF2+MFL4+RES+SMFL</t>
  </si>
  <si>
    <t xml:space="preserve"> 10" MDS DEF+RES+ULTRA RES MFL+SMFL3 </t>
  </si>
  <si>
    <t>DEF.RES.SMFL.UMFL.10</t>
  </si>
  <si>
    <t>D3725</t>
  </si>
  <si>
    <t>DEF.RES.SMFL.UMFL.10 </t>
  </si>
  <si>
    <t>10" GMFL+DEF (xHD)</t>
  </si>
  <si>
    <t xml:space="preserve"> 10" GMFL+DEF (xHD) </t>
  </si>
  <si>
    <t>DEF.GMFL.10</t>
  </si>
  <si>
    <t>D2219</t>
  </si>
  <si>
    <t>3/12/18vdc</t>
  </si>
  <si>
    <t>DEF.GMFL.10 </t>
  </si>
  <si>
    <t>10" MDS FLEX DEF2+MFL4</t>
  </si>
  <si>
    <t xml:space="preserve"> 10" MDS FLEX DEF+ULTRA RES MFL </t>
  </si>
  <si>
    <t>DEF.UMFL.10</t>
  </si>
  <si>
    <t>D3729</t>
  </si>
  <si>
    <t>DEF.UMFL.10 </t>
  </si>
  <si>
    <t>10" MDS PRO DEF2+MFL4+RES+SMFL+XYZ</t>
  </si>
  <si>
    <t xml:space="preserve"> 10" DEF+RES+ULTRA RES MFL+SMFL3+XYZ </t>
  </si>
  <si>
    <t>DEF.RES.SMFL.UMFL.XYZ.10</t>
  </si>
  <si>
    <t>D3724</t>
  </si>
  <si>
    <t>DEF.RES.SMFL.UMFL.XYZ.10 </t>
  </si>
  <si>
    <t>10" GMFL (xHD)</t>
  </si>
  <si>
    <t xml:space="preserve"> 10" GMFL (xHD) </t>
  </si>
  <si>
    <t>GMFL.10</t>
  </si>
  <si>
    <t>D1039</t>
  </si>
  <si>
    <t>GMFL.10 </t>
  </si>
  <si>
    <t>10,12</t>
  </si>
  <si>
    <t>12"x10" GMFL DUAL DIAMETER</t>
  </si>
  <si>
    <t xml:space="preserve"> 12x10" GMFL </t>
  </si>
  <si>
    <t>GMFL.10.12</t>
  </si>
  <si>
    <t>10.75,12.75</t>
  </si>
  <si>
    <t>D1316</t>
  </si>
  <si>
    <t>6/6/21.6vdc</t>
  </si>
  <si>
    <t>GMFL.10.12 </t>
  </si>
  <si>
    <t>10" MFL3+DEF+RES</t>
  </si>
  <si>
    <t xml:space="preserve"> 10" MDS FLEX MFL3+DEF+RES </t>
  </si>
  <si>
    <t>FLEX.DEF.MFL.RES.10</t>
  </si>
  <si>
    <t>D1700</t>
  </si>
  <si>
    <t>10" MFL+DEF+XYZ (xHD)</t>
  </si>
  <si>
    <t xml:space="preserve"> 10" MFL+DEF+XYZ ATEX </t>
  </si>
  <si>
    <t>DEF.MFL.XYZ.10</t>
  </si>
  <si>
    <t>10 MFL</t>
  </si>
  <si>
    <t>D2261</t>
  </si>
  <si>
    <t>DEF.MFL.XYZ.10 </t>
  </si>
  <si>
    <t>10" MFL+DEF NH3</t>
  </si>
  <si>
    <t xml:space="preserve"> 10" MFL+DEF (NH3) </t>
  </si>
  <si>
    <t>DEF.MFL.10</t>
  </si>
  <si>
    <t>D2244</t>
  </si>
  <si>
    <t>DEF.MFL.10 </t>
  </si>
  <si>
    <t>10_650</t>
  </si>
  <si>
    <t>10" LGT</t>
  </si>
  <si>
    <t xml:space="preserve"> 10" LGT </t>
  </si>
  <si>
    <t>LGT.10</t>
  </si>
  <si>
    <t>D1041</t>
  </si>
  <si>
    <t>LGT.10 </t>
  </si>
  <si>
    <t>10" MFL+XYZ (ATEX)</t>
  </si>
  <si>
    <t xml:space="preserve"> 10" MFL+XYZ ATEX </t>
  </si>
  <si>
    <t>MFL.XYZ.10</t>
  </si>
  <si>
    <t>D3668</t>
  </si>
  <si>
    <t>MFL.XYZ.10 </t>
  </si>
  <si>
    <t>10" MFL (ATEX)</t>
  </si>
  <si>
    <t xml:space="preserve"> 10" MFL ATEX </t>
  </si>
  <si>
    <t>D3690</t>
  </si>
  <si>
    <t>10" GMFL+XYZ (xHD)</t>
  </si>
  <si>
    <t xml:space="preserve"> 10" GMFL+XYZ (xHD) </t>
  </si>
  <si>
    <t>GMFL.XYZ.10</t>
  </si>
  <si>
    <t>D3164</t>
  </si>
  <si>
    <t>GMFL.XYZ.10 </t>
  </si>
  <si>
    <t>10" MDS FLEX DEF+MFL3</t>
  </si>
  <si>
    <t xml:space="preserve"> 10" MDS FLEX MFL3+DEF </t>
  </si>
  <si>
    <t>FLEX.DEF.MFL.10</t>
  </si>
  <si>
    <t>D3625</t>
  </si>
  <si>
    <t>FLEX.DEF.MFL.10 </t>
  </si>
  <si>
    <t>10" DEF+XYZ (xHD)</t>
  </si>
  <si>
    <t xml:space="preserve"> 10" DEF+XYZ (xHD) </t>
  </si>
  <si>
    <t>DEF.XYZ.10</t>
  </si>
  <si>
    <t>D1276</t>
  </si>
  <si>
    <t>DEF.XYZ.10 </t>
  </si>
  <si>
    <t>10" MFL+DEF (8" Batt, xHD)</t>
  </si>
  <si>
    <t xml:space="preserve"> 10" MFL+DEF (8" Batt, xHD) </t>
  </si>
  <si>
    <t>D2247</t>
  </si>
  <si>
    <t>10" MDS FLEX DEF+MFL3+XYZ</t>
  </si>
  <si>
    <t xml:space="preserve"> 10" MDS FLEX MFL3+DEF+XYZ </t>
  </si>
  <si>
    <t>FLEX.DEF.MFL.XYZ.10</t>
  </si>
  <si>
    <t>D3624</t>
  </si>
  <si>
    <t>FLEX.DEF.MFL.XYZ.10 </t>
  </si>
  <si>
    <t>10" MDS FLEX DEF2+MFL4+RES+XYZ</t>
  </si>
  <si>
    <t xml:space="preserve"> 10" MDS FLEX DEF+RES+ULTRA RES MFL+XYZ </t>
  </si>
  <si>
    <t>DEF.RES.UMFL.XYZ.10</t>
  </si>
  <si>
    <t>D3726</t>
  </si>
  <si>
    <t>DEF.RES.UMFL.XYZ.10 </t>
  </si>
  <si>
    <t>10 in. DEF+XYZ NH3</t>
  </si>
  <si>
    <t xml:space="preserve"> 10" DEF+XYZ NH3 </t>
  </si>
  <si>
    <t>D2841</t>
  </si>
  <si>
    <t>10" MDS FLEX DEF2+MFL4+RES</t>
  </si>
  <si>
    <t xml:space="preserve"> 10" MDS FLEX DEF+RES+ULTRA RES MFL </t>
  </si>
  <si>
    <t>DEF.RES.UMFL.10</t>
  </si>
  <si>
    <t>D3727</t>
  </si>
  <si>
    <t>DEF.RES.UMFL.10 </t>
  </si>
  <si>
    <t>12" MFL2+DEF2+LFM</t>
  </si>
  <si>
    <t xml:space="preserve"> 12" MDS FLEX MFL2+DEF2+LFM </t>
  </si>
  <si>
    <t>FLEX.DEF.LFM.MFL.12</t>
  </si>
  <si>
    <t>D2490</t>
  </si>
  <si>
    <t>FLEX.DEF.LFM.MFL.12 </t>
  </si>
  <si>
    <t>12" DEF+XYZ (ATEX)</t>
  </si>
  <si>
    <t xml:space="preserve"> 12" DEF+XYZ ATEX </t>
  </si>
  <si>
    <t>DEF.XYZ.12</t>
  </si>
  <si>
    <t>DEF.XYZ.12 </t>
  </si>
  <si>
    <t>12" GMFL (ATEX)</t>
  </si>
  <si>
    <t xml:space="preserve"> 12" GMFL ATEX </t>
  </si>
  <si>
    <t>GMFL.12</t>
  </si>
  <si>
    <t>D3755</t>
  </si>
  <si>
    <t>6/8/12vdc</t>
  </si>
  <si>
    <t>6/4/14.4vdc</t>
  </si>
  <si>
    <t>GMFL.12 </t>
  </si>
  <si>
    <t>12" DEF3 (ATEX)</t>
  </si>
  <si>
    <t xml:space="preserve"> 12" DEF3 ATEX </t>
  </si>
  <si>
    <t>DEF.12</t>
  </si>
  <si>
    <t>D2572</t>
  </si>
  <si>
    <t>DEF.12 </t>
  </si>
  <si>
    <t>12" MFL+XYZ (ATEX)</t>
  </si>
  <si>
    <t xml:space="preserve"> 12" MFL+XYZ ATEX </t>
  </si>
  <si>
    <t>MFL.XYZ.12</t>
  </si>
  <si>
    <t>D3842</t>
  </si>
  <si>
    <t>12_201</t>
  </si>
  <si>
    <t>MFL.XYZ.12 </t>
  </si>
  <si>
    <t>12” MFL2+DEF2+SMFL2+LFM</t>
  </si>
  <si>
    <t xml:space="preserve"> 12” MFL2+DEF2+SMFL2+LFM </t>
  </si>
  <si>
    <t>DEF.LFM.MFL.SMFL.12</t>
  </si>
  <si>
    <t>D2039</t>
  </si>
  <si>
    <t>DEF.LFM.MFL.SMFL.12 </t>
  </si>
  <si>
    <t>12" DEF+XYZ (xHD) (ATEX)</t>
  </si>
  <si>
    <t xml:space="preserve"> 12" DEF+XYZ (xHD) </t>
  </si>
  <si>
    <t>12" LGT (12-14) (xHD)</t>
  </si>
  <si>
    <t xml:space="preserve"> 12" LGT (12-14) (xHD) </t>
  </si>
  <si>
    <t>LGT.12</t>
  </si>
  <si>
    <t>D1047</t>
  </si>
  <si>
    <t>112050-01</t>
  </si>
  <si>
    <t>LGT.12 </t>
  </si>
  <si>
    <t>12" DEF  (12-14) (8BAT Drive) (xHD)</t>
  </si>
  <si>
    <t xml:space="preserve"> 12" DEF (12-14) (8BAT Drive) xHD </t>
  </si>
  <si>
    <t>D1043</t>
  </si>
  <si>
    <t>123561-2</t>
  </si>
  <si>
    <t>12" EMAT2</t>
  </si>
  <si>
    <t xml:space="preserve"> ASSY, TOOL, EMAT, PH2, 12" </t>
  </si>
  <si>
    <t>EMAT.12</t>
  </si>
  <si>
    <t>D3061</t>
  </si>
  <si>
    <t>EMAT.12 </t>
  </si>
  <si>
    <t>12" DEF (ATEX)</t>
  </si>
  <si>
    <t xml:space="preserve"> 12" DEF ATEX </t>
  </si>
  <si>
    <t>12" MFL+DEF (ATEX)</t>
  </si>
  <si>
    <t xml:space="preserve"> 12" MFL+DEF ATEX </t>
  </si>
  <si>
    <t>DEF.MFL.12</t>
  </si>
  <si>
    <t>D2240</t>
  </si>
  <si>
    <t>DEF.MFL.12 </t>
  </si>
  <si>
    <t>12" MDS FLEX DEF+LFM+MFL3</t>
  </si>
  <si>
    <t xml:space="preserve"> 12" MDS FLEX DEF+LFM+ULTRA RES MFL </t>
  </si>
  <si>
    <t>DEF.LFM.UMFL.12</t>
  </si>
  <si>
    <t>D3709</t>
  </si>
  <si>
    <t>0/6/21.6vdc</t>
  </si>
  <si>
    <t>DEF.LFM.UMFL.12 </t>
  </si>
  <si>
    <t>12" MFL (10BAT Drive, xHD)</t>
  </si>
  <si>
    <t xml:space="preserve"> 12" MFL (10BAT Drive, xHD) </t>
  </si>
  <si>
    <t>MFL.12</t>
  </si>
  <si>
    <t>D1046</t>
  </si>
  <si>
    <t>MFL.12 </t>
  </si>
  <si>
    <t>12" MFL+DEF+XYZ (ATEX)</t>
  </si>
  <si>
    <t xml:space="preserve"> 12" MFL+DEF+XYZ ATEX </t>
  </si>
  <si>
    <t>DEF.MFL.XYZ.12</t>
  </si>
  <si>
    <t>D2804</t>
  </si>
  <si>
    <t>DEF.MFL.XYZ.12 </t>
  </si>
  <si>
    <t>12" DEF, CHAIN COUPLER</t>
  </si>
  <si>
    <t xml:space="preserve"> 12" DEF, CHAIN COUPLER </t>
  </si>
  <si>
    <t>D2661</t>
  </si>
  <si>
    <t>12" DEF+XYZ (xHD)</t>
  </si>
  <si>
    <t>D1277</t>
  </si>
  <si>
    <t>12" MDS FLEX DEF+MFL3+XYZ</t>
  </si>
  <si>
    <t xml:space="preserve"> 12" MDS FLEX DEF+ULTRA RES MFL+XYZ </t>
  </si>
  <si>
    <t>DEF.UMFL.XYZ.12</t>
  </si>
  <si>
    <t>D3710</t>
  </si>
  <si>
    <t>DEF.UMFL.XYZ.12 </t>
  </si>
  <si>
    <t>12" GMFL+XYZ (ATEX)</t>
  </si>
  <si>
    <t xml:space="preserve"> 12" GMFL+XYZ ATEX </t>
  </si>
  <si>
    <t>GMFL.XYZ.12</t>
  </si>
  <si>
    <t>D3792</t>
  </si>
  <si>
    <t>GMFL.XYZ.12 </t>
  </si>
  <si>
    <t>12" MFL2+DEF2+XYZ+LFM</t>
  </si>
  <si>
    <t xml:space="preserve"> 12" MDS FLEX MFL2+DEF2+XYZ+LFM </t>
  </si>
  <si>
    <t>FLEXDEFLFMMFLXYZ.12</t>
  </si>
  <si>
    <t>12 MDS</t>
  </si>
  <si>
    <t>D2489</t>
  </si>
  <si>
    <t>FLEXDEFLFMMFLXYZ.12 </t>
  </si>
  <si>
    <t>123561-1</t>
  </si>
  <si>
    <t>12" EMAT2 (ONE BATTERY)</t>
  </si>
  <si>
    <t>D3756</t>
  </si>
  <si>
    <t>12" MDS FLEX DEF+MFL3</t>
  </si>
  <si>
    <t xml:space="preserve"> 12" MDS FLEX DEF+ULTRA RES MFL </t>
  </si>
  <si>
    <t>DEF.UMFL.12</t>
  </si>
  <si>
    <t>D3711</t>
  </si>
  <si>
    <t>DEF.UMFL.12 </t>
  </si>
  <si>
    <t>12" MDS FLEX DEF2+MFL2+XYZ</t>
  </si>
  <si>
    <t xml:space="preserve"> 12" MDS FLEX MFL2+DEF2+XYZ </t>
  </si>
  <si>
    <t>FLEX.DEF.MFL.XYZ.12</t>
  </si>
  <si>
    <t>D3626</t>
  </si>
  <si>
    <t>FLEX.DEF.MFL.XYZ.12 </t>
  </si>
  <si>
    <t>12" MDS PRO DEF+LFM+MFL3+SMFL3</t>
  </si>
  <si>
    <t xml:space="preserve"> 12" MDS DEF+LFM+ULTRA RES MFL+SMFL3 </t>
  </si>
  <si>
    <t>DEF.LFM.SMFL.UMFL.12</t>
  </si>
  <si>
    <t>D3707</t>
  </si>
  <si>
    <t>DEF.LFM.SMFL.UMFL.12 </t>
  </si>
  <si>
    <t>12" GMFL+DEF (xHD)</t>
  </si>
  <si>
    <t xml:space="preserve"> 12" GMFL+DEF (xHD) </t>
  </si>
  <si>
    <t>DEF.GMFL.12</t>
  </si>
  <si>
    <t>D2224</t>
  </si>
  <si>
    <t>DEF.GMFL.12 </t>
  </si>
  <si>
    <t>12" MDS FLEX DEF2+MFL2</t>
  </si>
  <si>
    <t xml:space="preserve"> 12" MDS FLEX MFL+DEF </t>
  </si>
  <si>
    <t>FLEX.DEF.MFL.12</t>
  </si>
  <si>
    <t>D3627</t>
  </si>
  <si>
    <t>FLEX.DEF.MFL.12 </t>
  </si>
  <si>
    <t>12" MFL2+DEF+SMFL3+XYZ+LFM</t>
  </si>
  <si>
    <t xml:space="preserve"> 12" MFL2+DEF+SMFL3+XYZ+LFM </t>
  </si>
  <si>
    <t>DEF.LFM.MFL.SMFL.XYZ.12</t>
  </si>
  <si>
    <t>D2926</t>
  </si>
  <si>
    <t>DEF.LFM.MFL.SMFL.XYZ.12 </t>
  </si>
  <si>
    <t>12" GMFL+DEF+XYZ</t>
  </si>
  <si>
    <t xml:space="preserve"> 12" GMFL+DEF+XYZ ATEX </t>
  </si>
  <si>
    <t>DEF.GFML.XYZ.12</t>
  </si>
  <si>
    <t>12 GMFL</t>
  </si>
  <si>
    <t>D3210</t>
  </si>
  <si>
    <t>DEF.GFML.XYZ.12 </t>
  </si>
  <si>
    <t>12" LGT (ATEX)</t>
  </si>
  <si>
    <t xml:space="preserve"> 12" LGT ATEX </t>
  </si>
  <si>
    <t>12" MDS PRO DEF+LFM+MFL3+SMFL3+XYZ</t>
  </si>
  <si>
    <t xml:space="preserve"> 12" DEF+LFM+ULTRA RES MFL+SMFL3+XYZ </t>
  </si>
  <si>
    <t>DEF.LFM.SMFL.UMFL.XYZ.12</t>
  </si>
  <si>
    <t>D3706</t>
  </si>
  <si>
    <t>DEF.LFM.SMFL.UMFL.XYZ.12 </t>
  </si>
  <si>
    <t>12" MFL2+DEF+SMFL3+LFM</t>
  </si>
  <si>
    <t xml:space="preserve"> 12" MFL2+DEF+SMFL3+LFM </t>
  </si>
  <si>
    <t>D3141</t>
  </si>
  <si>
    <t>12” MFL2+DEF2+SMFL2+XYZ+LFM</t>
  </si>
  <si>
    <t xml:space="preserve"> 12” MFL2+DEF2+SMFL2+XYZ+LFM </t>
  </si>
  <si>
    <t>D2045</t>
  </si>
  <si>
    <t>12" MDS FLEX DEF+LFM+MFL3+XYZ</t>
  </si>
  <si>
    <t xml:space="preserve"> 12" MDS FLEX DEF+LFM+ULTRA RES MFL+XYZ </t>
  </si>
  <si>
    <t>DEF.LFM.UMFL.XYZ.12</t>
  </si>
  <si>
    <t>D3708</t>
  </si>
  <si>
    <t>0/0/21.6vdc</t>
  </si>
  <si>
    <t>DEF.LFM.UMFL.XYZ.12 </t>
  </si>
  <si>
    <t>14" GMFL+DEF+XYZ (ATEX)</t>
  </si>
  <si>
    <t xml:space="preserve"> 14" GMFL+DEF+XYZ ATEX </t>
  </si>
  <si>
    <t>DEF.GMFL.XYZ.14</t>
  </si>
  <si>
    <t>D2237</t>
  </si>
  <si>
    <t>DEF.GMFL.XYZ.14 </t>
  </si>
  <si>
    <t>14" GMFL (ATEX)</t>
  </si>
  <si>
    <t xml:space="preserve"> 14" GMFL ATEX </t>
  </si>
  <si>
    <t>GMFL.14</t>
  </si>
  <si>
    <t>GMFL.14 </t>
  </si>
  <si>
    <t>14" GMFL+DEF (xHD)</t>
  </si>
  <si>
    <t xml:space="preserve"> 14" GMFL+DEF ATEX </t>
  </si>
  <si>
    <t>DEF.GMFL.14</t>
  </si>
  <si>
    <t>D3229</t>
  </si>
  <si>
    <t>DEF.GMFL.14 </t>
  </si>
  <si>
    <t>14" MFL+DEF+XYZ</t>
  </si>
  <si>
    <t xml:space="preserve"> 14" MFL+DEF+XYZ </t>
  </si>
  <si>
    <t>DEF.MFL.XYZ.14</t>
  </si>
  <si>
    <t>D2660</t>
  </si>
  <si>
    <t>DEF.MFL.XYZ.14 </t>
  </si>
  <si>
    <t>14.8" MFL (377 MM)</t>
  </si>
  <si>
    <t xml:space="preserve"> 14.8" MFL (377 MM) </t>
  </si>
  <si>
    <t>MFL.14</t>
  </si>
  <si>
    <t>MFL.14 </t>
  </si>
  <si>
    <t>14" MFL+DEF (ATEX)</t>
  </si>
  <si>
    <t xml:space="preserve"> 14" MFL+DEF ATEX </t>
  </si>
  <si>
    <t>DEF.MFL.14</t>
  </si>
  <si>
    <t>D1049</t>
  </si>
  <si>
    <t>DEF.MFL.14 </t>
  </si>
  <si>
    <t>14" LGT (12-14) (xHD)</t>
  </si>
  <si>
    <t xml:space="preserve"> 14" LGT (12-14) (xHD) </t>
  </si>
  <si>
    <t>LGT.14</t>
  </si>
  <si>
    <t>D1194</t>
  </si>
  <si>
    <t>LGT.14 </t>
  </si>
  <si>
    <t>14" DEF, CHAIN COUPLER</t>
  </si>
  <si>
    <t xml:space="preserve"> 14" DEF, CHAIN COUPLER </t>
  </si>
  <si>
    <t>DEF.14</t>
  </si>
  <si>
    <t>D2662</t>
  </si>
  <si>
    <t>14" GMFL+XYZ (ATEX)</t>
  </si>
  <si>
    <t xml:space="preserve"> 14" GMFL+XYZ ATEX </t>
  </si>
  <si>
    <t>GMFL.XYZ.14</t>
  </si>
  <si>
    <t>14" MFL+XYZ (xHD)</t>
  </si>
  <si>
    <t xml:space="preserve"> 14" MFL+XYZ (xHD) </t>
  </si>
  <si>
    <t>MFL.XYZ.14</t>
  </si>
  <si>
    <t>D1280</t>
  </si>
  <si>
    <t>14" DEF+XYZ (xHD)</t>
  </si>
  <si>
    <t xml:space="preserve"> 14" DEF+XYZ (xHD) </t>
  </si>
  <si>
    <t>DEF.XYZ.14</t>
  </si>
  <si>
    <t>D1279</t>
  </si>
  <si>
    <t>14" DEF (ATEX)</t>
  </si>
  <si>
    <t xml:space="preserve"> 14" DEF ATEX </t>
  </si>
  <si>
    <t>D2248</t>
  </si>
  <si>
    <t>14" GMFL (xHD)</t>
  </si>
  <si>
    <t xml:space="preserve"> 14" GMFL (xHD) </t>
  </si>
  <si>
    <t>D1272</t>
  </si>
  <si>
    <t>14" MFL (xHD)</t>
  </si>
  <si>
    <t xml:space="preserve"> 14" MFL ATEX </t>
  </si>
  <si>
    <t>D1050</t>
  </si>
  <si>
    <t>16" MFL2+DEF2+SMFL3+LFM</t>
  </si>
  <si>
    <t xml:space="preserve"> 16" MFL2+DEF2+SMFL3+LFM </t>
  </si>
  <si>
    <t>DEF.LFM.MFL.SMFL.16</t>
  </si>
  <si>
    <t>D2787</t>
  </si>
  <si>
    <t>3/6/21.6vdc</t>
  </si>
  <si>
    <t>16" MDS FLEX DEF2+MFL3</t>
  </si>
  <si>
    <t xml:space="preserve"> 16" MDS FLEX DEF+ULTRA RES MFL </t>
  </si>
  <si>
    <t>DEF.UMFL.16</t>
  </si>
  <si>
    <t>D3735</t>
  </si>
  <si>
    <t>16" DEF (ATEX)</t>
  </si>
  <si>
    <t xml:space="preserve"> 16" DEF ATEX </t>
  </si>
  <si>
    <t>DEF.16</t>
  </si>
  <si>
    <t>16_002</t>
  </si>
  <si>
    <t>16" MFL+DEF</t>
  </si>
  <si>
    <t xml:space="preserve"> 16" MFL+DEF (xHD) </t>
  </si>
  <si>
    <t>DEF.MFL.16</t>
  </si>
  <si>
    <t>D1053</t>
  </si>
  <si>
    <t>6/8/15vdc</t>
  </si>
  <si>
    <t>16_202</t>
  </si>
  <si>
    <t>16" MFL (ATEX)</t>
  </si>
  <si>
    <t xml:space="preserve"> 16" MFL ATEX </t>
  </si>
  <si>
    <t>MFL.16</t>
  </si>
  <si>
    <t>D3758</t>
  </si>
  <si>
    <t>123565-1</t>
  </si>
  <si>
    <t>16" EMAT2 (ONE BATTERY)</t>
  </si>
  <si>
    <t xml:space="preserve"> ASSY, TOOL, EMAT, 16" </t>
  </si>
  <si>
    <t>EMAT.16</t>
  </si>
  <si>
    <t>D3757</t>
  </si>
  <si>
    <t>16" MFL2+DEF2+LFM</t>
  </si>
  <si>
    <t xml:space="preserve"> 16" MDS FLEX MFL2+DEF2+LFM </t>
  </si>
  <si>
    <t>FLEX.DEF.LFM.MFL.16</t>
  </si>
  <si>
    <t>D2492</t>
  </si>
  <si>
    <t>16" MDS PRO DEF2+LFM+MFL3+SMFL3</t>
  </si>
  <si>
    <t xml:space="preserve"> 16" DEF2+LFM+SMFL3+ULTRA RES MFL, SpirALL MFL </t>
  </si>
  <si>
    <t>DEF.LFM.SMFL.UMFL.16</t>
  </si>
  <si>
    <t>D3731</t>
  </si>
  <si>
    <t>16" GMFL (Short)</t>
  </si>
  <si>
    <t xml:space="preserve"> 16" GMFL (Short) </t>
  </si>
  <si>
    <t>GMFL.16</t>
  </si>
  <si>
    <t>D2179</t>
  </si>
  <si>
    <t>4/4/14.4vdc</t>
  </si>
  <si>
    <t>16" DEF (GCPU xHD)</t>
  </si>
  <si>
    <t xml:space="preserve"> 16" DEF2 (GCPU xHD) </t>
  </si>
  <si>
    <t>D1051</t>
  </si>
  <si>
    <t>9/10/15vdc</t>
  </si>
  <si>
    <t>9/4/14.4vdc</t>
  </si>
  <si>
    <t>16" DEF (16-18) 3D (xHD)</t>
  </si>
  <si>
    <t xml:space="preserve"> 16" DEF (16-18) 3D (xHD) </t>
  </si>
  <si>
    <t>D2170</t>
  </si>
  <si>
    <t>16" DEF+XYZ (ATEX)</t>
  </si>
  <si>
    <t xml:space="preserve"> 16" DEF+XYZ ATEX </t>
  </si>
  <si>
    <t>DEF.XYZ.16</t>
  </si>
  <si>
    <t>D2778</t>
  </si>
  <si>
    <t>16" MFL2+DEF2+SMFL3+XYZ+LFM</t>
  </si>
  <si>
    <t xml:space="preserve"> 16" MFL2+DEF2+SMFL3+XYZ+LFM, SpirALL MFL </t>
  </si>
  <si>
    <t>DEF.LFM.MFL.SMFL.XYZ.16</t>
  </si>
  <si>
    <t>D2850</t>
  </si>
  <si>
    <t>16" MFL+XYZ (ATEX)</t>
  </si>
  <si>
    <t xml:space="preserve"> 16" MFL+XYZ ATEX </t>
  </si>
  <si>
    <t>MFL.XYZ.16</t>
  </si>
  <si>
    <t>123565-2</t>
  </si>
  <si>
    <t>16" EMAT2</t>
  </si>
  <si>
    <t>D3062</t>
  </si>
  <si>
    <t>16" MDS FLEX DEF2+LFM+MFL3+XYZ</t>
  </si>
  <si>
    <t xml:space="preserve"> 16" MDS FLEX DEF+LFM+ULTRA RES MFL+XYZ </t>
  </si>
  <si>
    <t>DEF.LFM.UMFL.XYZ.16</t>
  </si>
  <si>
    <t>D3732</t>
  </si>
  <si>
    <t>16" GMFL+DEF (xHD)</t>
  </si>
  <si>
    <t xml:space="preserve"> 16" GMFL+DEF (xHD) </t>
  </si>
  <si>
    <t>DEF.GMFL.16</t>
  </si>
  <si>
    <t>D3525</t>
  </si>
  <si>
    <t>16" MDS FLEX DEF2+LFM+MFL3</t>
  </si>
  <si>
    <t xml:space="preserve"> 16" MDS FLEX DEF+LFM+ULTRA RES MFL </t>
  </si>
  <si>
    <t>DEF.LFM.UMFL.16</t>
  </si>
  <si>
    <t>D3733</t>
  </si>
  <si>
    <t>16" MDS FLEX DEF2+MFL2</t>
  </si>
  <si>
    <t xml:space="preserve"> 16" MDS FLEX MFL2+DEF2 </t>
  </si>
  <si>
    <t>FLEX.DEF.MFL.16</t>
  </si>
  <si>
    <t>D3628</t>
  </si>
  <si>
    <t>16" MDS FLEX DEF2+MFL3+XYZ</t>
  </si>
  <si>
    <t xml:space="preserve"> 16" MDS FLEX DEF+ULTRA RES MFL+XYZ </t>
  </si>
  <si>
    <t>DEF.UMFL.XYZ.16</t>
  </si>
  <si>
    <t>D3734</t>
  </si>
  <si>
    <t>16" GMFL+DEF+XYZ (ATEX)</t>
  </si>
  <si>
    <t xml:space="preserve"> 16" GMFL+DEF+XYZ ATEX </t>
  </si>
  <si>
    <t>DEF.GMFL.XYZ.16</t>
  </si>
  <si>
    <t>16" MFL2+DEF2+XYZ+LFM</t>
  </si>
  <si>
    <t xml:space="preserve"> 16" MDS FLEX MFL2+DEF2+XYZ+LFM </t>
  </si>
  <si>
    <t>FLEXDEFLFMMFLXYZ.16</t>
  </si>
  <si>
    <t>16 MDS</t>
  </si>
  <si>
    <t>D2491</t>
  </si>
  <si>
    <t>16" MDS PRO DEF2+LFM+MFL3+SMFL3+XYZ</t>
  </si>
  <si>
    <t>DEF.LFM.SMFL.UMFL.XYZ.16</t>
  </si>
  <si>
    <t>D3730</t>
  </si>
  <si>
    <t>16" MFL+DEF+XYZ (ATEX)</t>
  </si>
  <si>
    <t>D2989</t>
  </si>
  <si>
    <t>16" GMFL+DEF+XYZ Integrated CPU (xHD)</t>
  </si>
  <si>
    <t>D1303</t>
  </si>
  <si>
    <t>16" MDS FLEX DEF2+MFL2+XYZ</t>
  </si>
  <si>
    <t>D3629</t>
  </si>
  <si>
    <t>18" GMFL (Short)</t>
  </si>
  <si>
    <t>D2195</t>
  </si>
  <si>
    <t>4/12/18vdc</t>
  </si>
  <si>
    <t>18" DEF2+LFM+MFL2 (Hardspot tool)</t>
  </si>
  <si>
    <t>D2369</t>
  </si>
  <si>
    <t>18" MFL+DEF+XYZ (ATEX)</t>
  </si>
  <si>
    <t>D3694</t>
  </si>
  <si>
    <t>18" DEF (16-18) (xHD)</t>
  </si>
  <si>
    <t>D1055</t>
  </si>
  <si>
    <t>18" MFL (16-18) + DEF (16-18)</t>
  </si>
  <si>
    <t>D1056</t>
  </si>
  <si>
    <t>18" MFL (xHD)</t>
  </si>
  <si>
    <t>D1057</t>
  </si>
  <si>
    <t>18" DEF2+LFM+MFL2+XYZ (Hardspot tool)</t>
  </si>
  <si>
    <t>D3781</t>
  </si>
  <si>
    <t>3/0/21.6vdc</t>
  </si>
  <si>
    <t>18" MFL+XYZ H2</t>
  </si>
  <si>
    <t>D2755</t>
  </si>
  <si>
    <t>18" MFL+XYZ (ATEX)</t>
  </si>
  <si>
    <t>18" DEF+XYZ (xHD)</t>
  </si>
  <si>
    <t>D2236</t>
  </si>
  <si>
    <t>18" GMFL Integrated DEF Combo+XYZ</t>
  </si>
  <si>
    <t>D2178</t>
  </si>
  <si>
    <t>18" MFL+XYZ (xHD)</t>
  </si>
  <si>
    <t>18" GMFL+DEF (xHD)</t>
  </si>
  <si>
    <t>D3695</t>
  </si>
  <si>
    <t>20" MFL3+DEF+XYZ+LFM</t>
  </si>
  <si>
    <t>20/22 MDS</t>
  </si>
  <si>
    <t>D2321</t>
  </si>
  <si>
    <t>20" GMFL+DEF1(20-24)+XYZ(3D)</t>
  </si>
  <si>
    <t>D2251</t>
  </si>
  <si>
    <t>13/12/18vdc</t>
  </si>
  <si>
    <t>13/6/21.6vdc</t>
  </si>
  <si>
    <t>20" MFL3+DEF+SMFL+XYZ+LFM</t>
  </si>
  <si>
    <t>D2208</t>
  </si>
  <si>
    <t>20" MDS PRO DEF+LFM+MFL4+SMFL</t>
  </si>
  <si>
    <t>D3737</t>
  </si>
  <si>
    <t>20" MFL3+DEF+SpirALL MFL+LFM</t>
  </si>
  <si>
    <t>D2196</t>
  </si>
  <si>
    <t>20" MFL (ATEX)</t>
  </si>
  <si>
    <t>D3683</t>
  </si>
  <si>
    <t>21/8/12vdc</t>
  </si>
  <si>
    <t>20" MDS PRO DEF+LFM+MFL4+SMFL+XYZ</t>
  </si>
  <si>
    <t>D3736</t>
  </si>
  <si>
    <t>20" DEF+XYZ (xHD)</t>
  </si>
  <si>
    <t>D2720</t>
  </si>
  <si>
    <t>20" GMFL+DEF2 (ATEX)</t>
  </si>
  <si>
    <t>D2275</t>
  </si>
  <si>
    <t>20" MFL+DEF2+XYZ</t>
  </si>
  <si>
    <t>D3517</t>
  </si>
  <si>
    <t>20" MDS FLEX DEF+MFL3</t>
  </si>
  <si>
    <t>D3631</t>
  </si>
  <si>
    <t>20" MFL+DEF2 (ATEX)</t>
  </si>
  <si>
    <t>20/22 MFL</t>
  </si>
  <si>
    <t>D2273</t>
  </si>
  <si>
    <t>20" DEF Single Body</t>
  </si>
  <si>
    <t>D2388</t>
  </si>
  <si>
    <t>18/12/13vdc</t>
  </si>
  <si>
    <t>20" MDS FLEX DEF+MFL4+XYZ</t>
  </si>
  <si>
    <t>D3740</t>
  </si>
  <si>
    <t>20" MDS FLEX DEF+LFM+MFL4</t>
  </si>
  <si>
    <t>D3739</t>
  </si>
  <si>
    <t>20" DEF+XYZ</t>
  </si>
  <si>
    <t>D3207</t>
  </si>
  <si>
    <t>20" MDS FLEX DEF+MFL4</t>
  </si>
  <si>
    <t>D3741</t>
  </si>
  <si>
    <t>20" MFL3+DEF+LFM</t>
  </si>
  <si>
    <t>D2322</t>
  </si>
  <si>
    <t>20" GMFL+XYZ (ATEX)</t>
  </si>
  <si>
    <t>20" GMFL (ATEX)</t>
  </si>
  <si>
    <t>D1061</t>
  </si>
  <si>
    <t>20" MDS FLEX DEF+LFM+MFL4+XYZ</t>
  </si>
  <si>
    <t>D3738</t>
  </si>
  <si>
    <t>20" GMFL+DEF2+XYZ</t>
  </si>
  <si>
    <t>D3204</t>
  </si>
  <si>
    <t>20" GMFL+DEF+XYZ</t>
  </si>
  <si>
    <t>D3206</t>
  </si>
  <si>
    <t>20" DEF2 (ATEX)</t>
  </si>
  <si>
    <t>20/24 DEF</t>
  </si>
  <si>
    <t>20" MDS FLEX DEF+MFL3+XYZ</t>
  </si>
  <si>
    <t>D3630</t>
  </si>
  <si>
    <t>22" MDS FLEX DEF2+MFL2+XYZ</t>
  </si>
  <si>
    <t>D3674</t>
  </si>
  <si>
    <t>22" GMFL2+DEF+XYZ</t>
  </si>
  <si>
    <t>D2354</t>
  </si>
  <si>
    <t>109096-01</t>
  </si>
  <si>
    <t>22" MDS FLEX DEF2+LFM+MFL2</t>
  </si>
  <si>
    <t>D3673</t>
  </si>
  <si>
    <t>102451-01</t>
  </si>
  <si>
    <t>22" GMFL2</t>
  </si>
  <si>
    <t>D2536</t>
  </si>
  <si>
    <t>22" MFL+DEF+XYZ (xHD)</t>
  </si>
  <si>
    <t>22" DEF+XYZ (xHD)</t>
  </si>
  <si>
    <t>D3166</t>
  </si>
  <si>
    <t>22" DEF Single Body</t>
  </si>
  <si>
    <t>D2375</t>
  </si>
  <si>
    <t>6/13/21.6vdc</t>
  </si>
  <si>
    <t>22" MDS PRO DEF2+LFM+MFL2+SMFL+XYZ</t>
  </si>
  <si>
    <t>D3663</t>
  </si>
  <si>
    <t>22" MDS PRO DEF2+LFM+MFL2+SMFL</t>
  </si>
  <si>
    <t>D3669</t>
  </si>
  <si>
    <t>22" MDS FLEX DEF2+MFL2</t>
  </si>
  <si>
    <t>D3675</t>
  </si>
  <si>
    <t>109627-01</t>
  </si>
  <si>
    <t>22" MFL (ATEX)</t>
  </si>
  <si>
    <t>22" MFL (20-22) + DEF (20-24) (ATEX)</t>
  </si>
  <si>
    <t>22" MFL2+DEF2+SMFL</t>
  </si>
  <si>
    <t>D3671</t>
  </si>
  <si>
    <t>22" MDS FLEX DEF2+LFM+MFL2+XYZ</t>
  </si>
  <si>
    <t>D3672</t>
  </si>
  <si>
    <t>22" MFL2+DEF2+SMFL+XYZ</t>
  </si>
  <si>
    <t>D3670</t>
  </si>
  <si>
    <t>24" MFL3+DEF+XYZ+LFM</t>
  </si>
  <si>
    <t>24 MDS</t>
  </si>
  <si>
    <t>D2099</t>
  </si>
  <si>
    <t>110468-01</t>
  </si>
  <si>
    <t>24" MDS FLEX DEF+LFM+MFL4+XYZ</t>
  </si>
  <si>
    <t>D3744</t>
  </si>
  <si>
    <t>24" MFL3+DEF+LFM</t>
  </si>
  <si>
    <t>D2341</t>
  </si>
  <si>
    <t>3/5/21.6vdc</t>
  </si>
  <si>
    <t>24" GMFL2+DEF+XYZ</t>
  </si>
  <si>
    <t>D3205</t>
  </si>
  <si>
    <t>24" DEF1+XYZ(20-24) (ATEX)</t>
  </si>
  <si>
    <t>24" DEF+XYZ (ATEX)</t>
  </si>
  <si>
    <t>D3554</t>
  </si>
  <si>
    <t>24" MFL3+DEF+SMFL+XYZ+LFM</t>
  </si>
  <si>
    <t>D2100</t>
  </si>
  <si>
    <t>24" GMFL2 (22-24)+DEF (20-24)</t>
  </si>
  <si>
    <t>D3587</t>
  </si>
  <si>
    <t>24" MFL3+DEF+SpirALL MFL+LFM</t>
  </si>
  <si>
    <t>D2342</t>
  </si>
  <si>
    <t>24" GMFL2 (xHD ATEX)</t>
  </si>
  <si>
    <t>24" MDS FLEX DEF+MFL3</t>
  </si>
  <si>
    <t>D3632</t>
  </si>
  <si>
    <t>24" MDS FLEX DEF+MFL4+XYZ</t>
  </si>
  <si>
    <t>D3746</t>
  </si>
  <si>
    <t>24" GMFL2 (xHD)</t>
  </si>
  <si>
    <t>D3509</t>
  </si>
  <si>
    <t>24" MDS FLEX DEF+MFL4</t>
  </si>
  <si>
    <t>D3747</t>
  </si>
  <si>
    <t>24" DEF Single Body (Short)</t>
  </si>
  <si>
    <t>D2387</t>
  </si>
  <si>
    <t>24" MDS PRO DEF+LFM+MFL4+SMFL+XYZ</t>
  </si>
  <si>
    <t>D3742</t>
  </si>
  <si>
    <t>24" GMFL2+DEF+XYZ (ATEX)</t>
  </si>
  <si>
    <t>D3538</t>
  </si>
  <si>
    <t>24" MDS PRO DEF+LFM+MFL4+SMFL</t>
  </si>
  <si>
    <t>D3743</t>
  </si>
  <si>
    <t>24" GMFL2+XYZ</t>
  </si>
  <si>
    <t>24" MDS FLEX DEF+MFL3+XYZ</t>
  </si>
  <si>
    <t>D3633</t>
  </si>
  <si>
    <t>24" MDS FLEX DEF+LFM+MFL4</t>
  </si>
  <si>
    <t>D3745</t>
  </si>
  <si>
    <t>24" DEF (20-24) (xHD)</t>
  </si>
  <si>
    <t>D1066</t>
  </si>
  <si>
    <t>26" MFL+DEF2+SMFL+XYZ+LFM</t>
  </si>
  <si>
    <t>D2581</t>
  </si>
  <si>
    <t>26" MFL+DEF2+LFM</t>
  </si>
  <si>
    <t>D2582</t>
  </si>
  <si>
    <t>26" MDS FLEX DEF2+MFL</t>
  </si>
  <si>
    <t>D3634</t>
  </si>
  <si>
    <t>26" MFL+DEF2+SMFL+LFM</t>
  </si>
  <si>
    <t>D2580</t>
  </si>
  <si>
    <t>26" GMFL (xHD)</t>
  </si>
  <si>
    <t>D3715</t>
  </si>
  <si>
    <t>25/4/14.4vdc</t>
  </si>
  <si>
    <t>109363-01</t>
  </si>
  <si>
    <t>26" MDS FLEX DEF2+MFL+XYZ</t>
  </si>
  <si>
    <t>D3635</t>
  </si>
  <si>
    <t>26" DEF+XYZ (xHD)</t>
  </si>
  <si>
    <t>D3714</t>
  </si>
  <si>
    <t>25/8/12vdc</t>
  </si>
  <si>
    <t>26" DEF Single Body (Short)</t>
  </si>
  <si>
    <t>D3106</t>
  </si>
  <si>
    <t>26" GMFL+DEF (xHD)</t>
  </si>
  <si>
    <t>D1197</t>
  </si>
  <si>
    <t>26" DEF (26-30) (xHD)</t>
  </si>
  <si>
    <t>D1069</t>
  </si>
  <si>
    <t>26" MFL+DEF2+XYZ+LFM</t>
  </si>
  <si>
    <t>26 MDS</t>
  </si>
  <si>
    <t>D2583</t>
  </si>
  <si>
    <t>26" GMFL+DEF+XYZ (xHD)</t>
  </si>
  <si>
    <t>28" GMFL (ATEX)</t>
  </si>
  <si>
    <t>D3779</t>
  </si>
  <si>
    <t>26/5/18vdc</t>
  </si>
  <si>
    <t>28" DEF+XYZ (xHD)</t>
  </si>
  <si>
    <t>D3778</t>
  </si>
  <si>
    <t>28" GMFL+DEF+XYZ (xHD)</t>
  </si>
  <si>
    <t>D3780</t>
  </si>
  <si>
    <t>30" MDS FLEX DEF+MFL2+XYZ</t>
  </si>
  <si>
    <t>D3752</t>
  </si>
  <si>
    <t>30" DEF (26-30) (xHD)</t>
  </si>
  <si>
    <t>D1073</t>
  </si>
  <si>
    <t>30" DEF+XYZ (Single Body)</t>
  </si>
  <si>
    <t>D3081</t>
  </si>
  <si>
    <t>115600-01-00-02-01</t>
  </si>
  <si>
    <t>30" MFL+DEF+XYZ+LFM</t>
  </si>
  <si>
    <t>30 MDS</t>
  </si>
  <si>
    <t>D2424</t>
  </si>
  <si>
    <t>30"/31" MFL+DEF+SMFL+XYZ+LFM</t>
  </si>
  <si>
    <t>D3530</t>
  </si>
  <si>
    <t>30" DEF+XYZ (ATEX)</t>
  </si>
  <si>
    <t>30" GMFL (28-30) (xHD)</t>
  </si>
  <si>
    <t>D1074</t>
  </si>
  <si>
    <t>26/10/15vdc</t>
  </si>
  <si>
    <t>115600-01-02-01-01</t>
  </si>
  <si>
    <t>30" MFL+DEF+SMFL+LFM</t>
  </si>
  <si>
    <t>D2345</t>
  </si>
  <si>
    <t>30" MDS FLEX DEF+MFL</t>
  </si>
  <si>
    <t>D3637</t>
  </si>
  <si>
    <t>30" MDS FLEX DEF+MFL2</t>
  </si>
  <si>
    <t>D3753</t>
  </si>
  <si>
    <t>30" GMFL ATEX</t>
  </si>
  <si>
    <t>30" MDS PRO DEF+LFM+MFL2+SMFL+XYZ</t>
  </si>
  <si>
    <t>D3748</t>
  </si>
  <si>
    <t>30" MDS FLEX DEF+LFM+MFL2</t>
  </si>
  <si>
    <t>D3751</t>
  </si>
  <si>
    <t>30" GMFL+DEF (xHD)</t>
  </si>
  <si>
    <t>D1186</t>
  </si>
  <si>
    <t>115600-01-02-02-01</t>
  </si>
  <si>
    <t>30" MFL+DEF+SMFL+XYZ+LFM</t>
  </si>
  <si>
    <t>D2344</t>
  </si>
  <si>
    <t>30" MDS PRO DEF+LFM+MFL2+SMFL</t>
  </si>
  <si>
    <t>D3749</t>
  </si>
  <si>
    <t>30" DEF+XYZ (xHD)</t>
  </si>
  <si>
    <t>30" GMFL2 HW</t>
  </si>
  <si>
    <t>D1988</t>
  </si>
  <si>
    <t>30" MDS FLEX DEF+LFM+MFL2+XYZ</t>
  </si>
  <si>
    <t>DEF.LFM.UMFL.XYZ.30</t>
  </si>
  <si>
    <t>D3750</t>
  </si>
  <si>
    <t>30" GMFL+DEF+XYZ ( xHD)</t>
  </si>
  <si>
    <t>D3689</t>
  </si>
  <si>
    <t>30" MDS FLEX DEF+MFL+XYZ</t>
  </si>
  <si>
    <t>D3636</t>
  </si>
  <si>
    <t>30" DEF Single Body (Short)</t>
  </si>
  <si>
    <t>D2097</t>
  </si>
  <si>
    <t>115600-01-00-01-01</t>
  </si>
  <si>
    <t>30" MFL+DEF+LFM</t>
  </si>
  <si>
    <t>D2425</t>
  </si>
  <si>
    <t>32" GMFL+DEF+XYZ (xHD)</t>
  </si>
  <si>
    <t>32" DEF+XYZ (xHD)</t>
  </si>
  <si>
    <t>D3682</t>
  </si>
  <si>
    <t>44/5/18vdc</t>
  </si>
  <si>
    <t>32" DEF+XYZ (ATEX)</t>
  </si>
  <si>
    <t>32" DEF (xHD)</t>
  </si>
  <si>
    <t>D1322</t>
  </si>
  <si>
    <t>32" DEF (ATEX)</t>
  </si>
  <si>
    <t>34" DEF (xHD)</t>
  </si>
  <si>
    <t>D1076</t>
  </si>
  <si>
    <t>34" DEF+XYZ (xHD)</t>
  </si>
  <si>
    <t>34" GMFL+DEF+XYZ (xHD)</t>
  </si>
  <si>
    <t>32/36 GMFL</t>
  </si>
  <si>
    <t>36" GMFL (32-36) (ATEX)</t>
  </si>
  <si>
    <t>D1079</t>
  </si>
  <si>
    <t>36" DEF (ATEX)</t>
  </si>
  <si>
    <t>36" GMFL (xHD)</t>
  </si>
  <si>
    <t>36" DEF (32-36) (xHD)</t>
  </si>
  <si>
    <t>D1078</t>
  </si>
  <si>
    <t>44/10/15vdc</t>
  </si>
  <si>
    <t>36,48</t>
  </si>
  <si>
    <t>48x36" DEF+XYZ</t>
  </si>
  <si>
    <t>36/48 DEF</t>
  </si>
  <si>
    <t>D1792</t>
  </si>
  <si>
    <t>22/12/18vdc</t>
  </si>
  <si>
    <t>11/6/21.6vdc</t>
  </si>
  <si>
    <t>36" DEF+XYZ (xHD)</t>
  </si>
  <si>
    <t>36" DEF (Short)</t>
  </si>
  <si>
    <t>D1986</t>
  </si>
  <si>
    <t>6/4/18vdc</t>
  </si>
  <si>
    <t>36" GMFL+DEF+XYZ (xHD)</t>
  </si>
  <si>
    <t>D3235</t>
  </si>
  <si>
    <t>36" GMFL+DEF (xHD)</t>
  </si>
  <si>
    <t>D3791</t>
  </si>
  <si>
    <t>36" DEF+XYZ (ATEX)</t>
  </si>
  <si>
    <t>36" DEF+XYZ (Single Body)</t>
  </si>
  <si>
    <t>D3236</t>
  </si>
  <si>
    <t>116950-01</t>
  </si>
  <si>
    <t>38" DEF (ATEX)</t>
  </si>
  <si>
    <t>111884-01</t>
  </si>
  <si>
    <t>38" DEF (38-42) (xHD)</t>
  </si>
  <si>
    <t>D1379</t>
  </si>
  <si>
    <t>44/12/18vdc</t>
  </si>
  <si>
    <t>44/6/21.6vdc</t>
  </si>
  <si>
    <t>40" GMFL+DEF+XYZ (xHD)</t>
  </si>
  <si>
    <t xml:space="preserve"> 40" GMFL+DEF+XYZ (xHD) </t>
  </si>
  <si>
    <t>DEF.GMFL.XYZ.40</t>
  </si>
  <si>
    <t>106030-02</t>
  </si>
  <si>
    <t>116950-02</t>
  </si>
  <si>
    <t>40" DEF (38-42) (ATEX)</t>
  </si>
  <si>
    <t>40" DEF (38-42) ATEX</t>
  </si>
  <si>
    <t>DEF.40</t>
  </si>
  <si>
    <t>40" DEF+XYZ (ATEX)</t>
  </si>
  <si>
    <t>40" DEF+XYZ ATEX</t>
  </si>
  <si>
    <t>DEF.XYZ.40</t>
  </si>
  <si>
    <t>111884-02</t>
  </si>
  <si>
    <t>40" DEF (38-42) (xHD)</t>
  </si>
  <si>
    <t xml:space="preserve"> 40" DEF (38-42) (xHD)</t>
  </si>
  <si>
    <t>D1755</t>
  </si>
  <si>
    <t>42" GMFL (38-42) + DEF (38-42)</t>
  </si>
  <si>
    <t>D1199</t>
  </si>
  <si>
    <t>116950-03</t>
  </si>
  <si>
    <t>42" DEF (ATEX)</t>
  </si>
  <si>
    <t>42" GMFL+DEF+XYZ (ATEX)</t>
  </si>
  <si>
    <t>42" DEF+XYZ (xHD)</t>
  </si>
  <si>
    <t>42" GMFL (ATEX)</t>
  </si>
  <si>
    <t>D3684</t>
  </si>
  <si>
    <t>42" GMFL (xHD)</t>
  </si>
  <si>
    <t>D3685</t>
  </si>
  <si>
    <t>legacy</t>
  </si>
  <si>
    <t>DEF.GMFL.XYZ.42</t>
  </si>
  <si>
    <t>40/42 GMFL</t>
  </si>
  <si>
    <t>in D365, in program, wasnt on sheet</t>
  </si>
  <si>
    <t>DEF.LFM.UMFL.XYZ.14</t>
  </si>
  <si>
    <t>14 MDS</t>
  </si>
  <si>
    <t>DEF.LFM.UMF.14</t>
  </si>
  <si>
    <t>131430</t>
  </si>
  <si>
    <t>DEF.UMFL.XYZ.14</t>
  </si>
  <si>
    <t>131431</t>
  </si>
  <si>
    <t>fle</t>
  </si>
  <si>
    <t>106421-01</t>
  </si>
  <si>
    <t>Tool Config</t>
  </si>
  <si>
    <t>6" MFL3</t>
  </si>
  <si>
    <t>Unreleased Configuration</t>
  </si>
  <si>
    <t>No Matching Tool Config</t>
  </si>
  <si>
    <t>6" MFL3 (Hybrid)</t>
  </si>
  <si>
    <t>Obsoleted</t>
  </si>
  <si>
    <t>6" DEF+XYZ (ATEX)</t>
  </si>
  <si>
    <t>6" MFL3+XYZ (ATEX)</t>
  </si>
  <si>
    <t>30" DEF+XYZ (xHD 106421-01)</t>
  </si>
  <si>
    <t>In FSA, NOT ON PM Sheet</t>
  </si>
  <si>
    <t>14" MDS FLEX DEF+LFM+MFL3+XYZ</t>
  </si>
  <si>
    <t>D3825</t>
  </si>
  <si>
    <t>14" MDS FLEX DEF+LFM+MFL3</t>
  </si>
  <si>
    <t>D3826</t>
  </si>
  <si>
    <t>14" MDS FLEX DEF+MFL3+XYZ</t>
  </si>
  <si>
    <t>D3827</t>
  </si>
  <si>
    <t>16" MFL2+DEF2+SMFL2+XYZ+LFM</t>
  </si>
  <si>
    <t>D2043</t>
  </si>
  <si>
    <t>14" MDS FLEX DEF+MFL3</t>
  </si>
  <si>
    <t>D3828</t>
  </si>
  <si>
    <t>Size</t>
  </si>
  <si>
    <t>Tool Componet</t>
  </si>
  <si>
    <t>Model Number</t>
  </si>
  <si>
    <t>Technogolgy</t>
  </si>
  <si>
    <t>Other Name</t>
  </si>
  <si>
    <t>Dual Size</t>
  </si>
  <si>
    <t>MLF5</t>
  </si>
  <si>
    <t xml:space="preserve">LGT </t>
  </si>
  <si>
    <t>SMFL</t>
  </si>
  <si>
    <t>NH3</t>
  </si>
  <si>
    <t>GMFL</t>
  </si>
  <si>
    <t>V1</t>
  </si>
  <si>
    <t>V1, UR</t>
  </si>
  <si>
    <t>V2</t>
  </si>
  <si>
    <t>V2, UR</t>
  </si>
  <si>
    <t>UR</t>
  </si>
  <si>
    <t>8/10</t>
  </si>
  <si>
    <t>8, 10</t>
  </si>
  <si>
    <t>GDEF</t>
  </si>
  <si>
    <t>GDAA</t>
  </si>
  <si>
    <t>Converts to 22" Only in Tulsa</t>
  </si>
  <si>
    <t>Possible wrong, used the DRV as model number</t>
  </si>
  <si>
    <t>label DRV/DEF</t>
  </si>
  <si>
    <t>26, 30</t>
  </si>
  <si>
    <t>32, 34, 36</t>
  </si>
  <si>
    <t>107272-02</t>
  </si>
  <si>
    <t xml:space="preserve">2 model numbers, same tool body? </t>
  </si>
  <si>
    <t>36, 48</t>
  </si>
  <si>
    <t>Type </t>
  </si>
  <si>
    <t>Name </t>
  </si>
  <si>
    <t>Alias </t>
  </si>
  <si>
    <t>Company Structure </t>
  </si>
  <si>
    <t>Modified On </t>
  </si>
  <si>
    <t>Event And Detail </t>
  </si>
  <si>
    <t>Quantity </t>
  </si>
  <si>
    <t>Resource Event Type </t>
  </si>
  <si>
    <t>Resource ID </t>
  </si>
  <si>
    <t>Service Object </t>
  </si>
  <si>
    <t>Status </t>
  </si>
  <si>
    <t>Template </t>
  </si>
  <si>
    <t xml:space="preserve">Tool Config </t>
  </si>
  <si>
    <t xml:space="preserve">Long Name </t>
  </si>
  <si>
    <t>Mapping</t>
  </si>
  <si>
    <t>Method </t>
  </si>
  <si>
    <t>115190, 4" MFL (NH3) </t>
  </si>
  <si>
    <t>TD Williamson, Inc </t>
  </si>
  <si>
    <t>4/17/2023 1:37:42 PM </t>
  </si>
  <si>
    <t>Available </t>
  </si>
  <si>
    <t>1 </t>
  </si>
  <si>
    <t>94388 </t>
  </si>
  <si>
    <t>No </t>
  </si>
  <si>
    <t>Yes </t>
  </si>
  <si>
    <t>04_001, 4" MFL </t>
  </si>
  <si>
    <t>4/17/2023 1:42:37 PM </t>
  </si>
  <si>
    <t>94407 </t>
  </si>
  <si>
    <t>04_600, 4" DEF </t>
  </si>
  <si>
    <t>4/17/2023 1:43:34 PM </t>
  </si>
  <si>
    <t>94408 </t>
  </si>
  <si>
    <t>115675, 4" DEF (NH3) </t>
  </si>
  <si>
    <t>6/7/2017 5:09:02 PM </t>
  </si>
  <si>
    <t>94807 </t>
  </si>
  <si>
    <t>121771, 4" DEF2 + IDOD </t>
  </si>
  <si>
    <t>4/17/2023 1:39:55 PM </t>
  </si>
  <si>
    <t>97556 </t>
  </si>
  <si>
    <t>121770, 4" MDS FLEX MFL2+DEF2+IDOD </t>
  </si>
  <si>
    <t>4/17/2023 1:40:10 PM </t>
  </si>
  <si>
    <t>97557 </t>
  </si>
  <si>
    <t>102783, 6" DEF (NH3) </t>
  </si>
  <si>
    <t>6/14/2017 9:36:19 AM </t>
  </si>
  <si>
    <t>94039 </t>
  </si>
  <si>
    <t>106496, 6" MFL3 (Hybrid)+XYZ </t>
  </si>
  <si>
    <t>4/17/2023 1:48:51 PM </t>
  </si>
  <si>
    <t>94109 </t>
  </si>
  <si>
    <t>112200-02-01-01-01, 6" MFL4+DEF2+SpirALL® MFL Dual Drive </t>
  </si>
  <si>
    <t>4/24/2023 3:55:36 PM </t>
  </si>
  <si>
    <t>94306 </t>
  </si>
  <si>
    <t>113403, 6" MFL+DEF (NH3) </t>
  </si>
  <si>
    <t>4/17/2023 1:49:16 PM </t>
  </si>
  <si>
    <t>94315 </t>
  </si>
  <si>
    <t>113411, 6" MFL2 </t>
  </si>
  <si>
    <t>4/24/2023 3:43:40 PM </t>
  </si>
  <si>
    <t>94317 </t>
  </si>
  <si>
    <t xml:space="preserve"> 6" MFL2 </t>
  </si>
  <si>
    <t>116459, 6" MFL3 ATEX </t>
  </si>
  <si>
    <t>4/24/2023 3:45:22 PM </t>
  </si>
  <si>
    <t>94393 </t>
  </si>
  <si>
    <t xml:space="preserve"> 6" MFL3 ATEX </t>
  </si>
  <si>
    <t>116738, 6" DEF ATEX </t>
  </si>
  <si>
    <t>4/24/2023 3:37:16 PM </t>
  </si>
  <si>
    <t>94396 </t>
  </si>
  <si>
    <t xml:space="preserve"> 6" DEF ATEX </t>
  </si>
  <si>
    <t>116837, 6" MFL (xHD) </t>
  </si>
  <si>
    <t>1/10/2024 11:41:11 AM </t>
  </si>
  <si>
    <t>94398 </t>
  </si>
  <si>
    <t>06_002, 6" MFL (NH3) </t>
  </si>
  <si>
    <t>4/17/2023 1:59:17 PM </t>
  </si>
  <si>
    <t>94409 </t>
  </si>
  <si>
    <t>06_6000, 6" DEF (1.5D) </t>
  </si>
  <si>
    <t>4/17/2023 2:02:52 PM </t>
  </si>
  <si>
    <t>94410 </t>
  </si>
  <si>
    <t>112200-01-01-02-01, 6" MFL4+Brush DEF2+SpirALL® MFL </t>
  </si>
  <si>
    <t>4/24/2023 3:56:07 PM </t>
  </si>
  <si>
    <t>94423 </t>
  </si>
  <si>
    <t>112200-01-01-01-01, 6" MFL4+DEF2+SMFL </t>
  </si>
  <si>
    <t>5/23/2025 9:19:56 AM </t>
  </si>
  <si>
    <t>94424 </t>
  </si>
  <si>
    <t>119403, 6" MFL5+XYZ </t>
  </si>
  <si>
    <t>4/17/2023 1:50:27 PM </t>
  </si>
  <si>
    <t>94531 </t>
  </si>
  <si>
    <t>105681, 6" LGT </t>
  </si>
  <si>
    <t>4/17/2023 1:47:28 PM </t>
  </si>
  <si>
    <t>94810 </t>
  </si>
  <si>
    <t>103829, 6" LGT Ammonia </t>
  </si>
  <si>
    <t>4/17/2023 1:45:38 PM </t>
  </si>
  <si>
    <t>94826 </t>
  </si>
  <si>
    <t>119785, 6" MFL+DEF </t>
  </si>
  <si>
    <t>5/8/2023 9:16:03 AM </t>
  </si>
  <si>
    <t>96187 </t>
  </si>
  <si>
    <t>122434, 6" MFL5 </t>
  </si>
  <si>
    <t>4/17/2023 1:53:28 PM </t>
  </si>
  <si>
    <t>97562 </t>
  </si>
  <si>
    <t>122975, 6" DEF+XYZ </t>
  </si>
  <si>
    <t>5/14/2024 10:58:34 AM </t>
  </si>
  <si>
    <t>99033 </t>
  </si>
  <si>
    <t>124750, 6" MFL+DEF (xHD) </t>
  </si>
  <si>
    <t>4/3/2020 6:26:03 AM </t>
  </si>
  <si>
    <t>103640 </t>
  </si>
  <si>
    <t>127231, 6" MFL+DEF+XYZ (xHD) </t>
  </si>
  <si>
    <t>4/17/2023 1:58:52 PM </t>
  </si>
  <si>
    <t>104636 </t>
  </si>
  <si>
    <t>126981, 6" DEF (xHD) </t>
  </si>
  <si>
    <t>4/17/2023 1:58:12 PM </t>
  </si>
  <si>
    <t>104791 </t>
  </si>
  <si>
    <t>112200-01-00-01-01, 6" MDS FLEX MFL4+DEF2 </t>
  </si>
  <si>
    <t>5/1/2023 2:23:56 PM </t>
  </si>
  <si>
    <t>106159 </t>
  </si>
  <si>
    <t>130095, 6" MFL4+DEF2+SMFL+XYZ </t>
  </si>
  <si>
    <t>5/14/2024 8:52:23 AM </t>
  </si>
  <si>
    <t>107275 </t>
  </si>
  <si>
    <t>129713, 6" MDS FLEX MFL4+DEF2+XYZ </t>
  </si>
  <si>
    <t>5/14/2024 10:38:18 AM </t>
  </si>
  <si>
    <t>107277 </t>
  </si>
  <si>
    <t>129654, 6" MFL+XYZ </t>
  </si>
  <si>
    <t>5/14/2024 11:00:18 AM </t>
  </si>
  <si>
    <t>107278 </t>
  </si>
  <si>
    <t xml:space="preserve"> 6" MFL+XYZ </t>
  </si>
  <si>
    <t>129655, 6" DEF+XYZ </t>
  </si>
  <si>
    <t>5/14/2024 10:58:55 AM </t>
  </si>
  <si>
    <t>107279 </t>
  </si>
  <si>
    <t>129658, 6" MFL (xHD) </t>
  </si>
  <si>
    <t>8/30/2024 8:54:45 AM </t>
  </si>
  <si>
    <t>107624 </t>
  </si>
  <si>
    <t>104863, 8" DEF3 </t>
  </si>
  <si>
    <t>4/17/2023 2:05:25 PM </t>
  </si>
  <si>
    <t>93097 </t>
  </si>
  <si>
    <t>106626, 8" DEF (NH3) </t>
  </si>
  <si>
    <t>6/7/2017 5:21:21 PM </t>
  </si>
  <si>
    <t>93098 </t>
  </si>
  <si>
    <t>108323, 8" DEF3 (Short) </t>
  </si>
  <si>
    <t>4/20/2023 8:17:49 AM </t>
  </si>
  <si>
    <t>93099 </t>
  </si>
  <si>
    <t xml:space="preserve"> 8" DEF3 (Short) </t>
  </si>
  <si>
    <t>108563, 8" DEF (xHD) </t>
  </si>
  <si>
    <t>4/17/2023 2:08:58 PM </t>
  </si>
  <si>
    <t>93100 </t>
  </si>
  <si>
    <t>106625, 8" MFL (3D, NH3) </t>
  </si>
  <si>
    <t>4/17/2023 2:05:54 PM </t>
  </si>
  <si>
    <t>93102 </t>
  </si>
  <si>
    <t>108561, 8" MFL (xHD) </t>
  </si>
  <si>
    <t>4/17/2023 2:08:23 PM </t>
  </si>
  <si>
    <t>93103 </t>
  </si>
  <si>
    <t>106998, 8" LGT+XYZ </t>
  </si>
  <si>
    <t>6/19/2017 3:00:43 PM </t>
  </si>
  <si>
    <t>94113 </t>
  </si>
  <si>
    <t>108206, 8" MFL+DEF (NH3, 3D) </t>
  </si>
  <si>
    <t>4/17/2023 2:07:28 PM </t>
  </si>
  <si>
    <t>94118 </t>
  </si>
  <si>
    <t>108472, 8" GMFL (Short)- EH </t>
  </si>
  <si>
    <t>11/13/2025 9:37:34 AM </t>
  </si>
  <si>
    <t>94121 </t>
  </si>
  <si>
    <t xml:space="preserve"> 8" GMFL (Short)- EH </t>
  </si>
  <si>
    <t>110250, 8" MFL2 (Hybrid) xHD </t>
  </si>
  <si>
    <t>4/17/2023 2:10:10 PM </t>
  </si>
  <si>
    <t>94211 </t>
  </si>
  <si>
    <t>110300, 8" MFL BI-DI xHD </t>
  </si>
  <si>
    <t>5/8/2023 2:13:38 PM </t>
  </si>
  <si>
    <t>94213 </t>
  </si>
  <si>
    <t xml:space="preserve"> 8" MFL BI-DI xHD </t>
  </si>
  <si>
    <t>112056, 8" GMFL ATEX </t>
  </si>
  <si>
    <t>4/17/2023 2:11:57 PM </t>
  </si>
  <si>
    <t>94301 </t>
  </si>
  <si>
    <t>113594, 8" MFL2 (Hybrid)+XYZ (xHD) </t>
  </si>
  <si>
    <t>6/19/2017 3:27:02 PM </t>
  </si>
  <si>
    <t>94327 </t>
  </si>
  <si>
    <t>113610, 8" MFL+XYZ (xHD) </t>
  </si>
  <si>
    <t>6/19/2017 3:28:13 PM </t>
  </si>
  <si>
    <t>94331 </t>
  </si>
  <si>
    <t>113622, 8" GMFL+XYZ (xHD) </t>
  </si>
  <si>
    <t>4/17/2023 2:18:52 PM </t>
  </si>
  <si>
    <t>94332 </t>
  </si>
  <si>
    <t>113623, 8" MFL+DEF+XYZ (xHD) </t>
  </si>
  <si>
    <t>4/17/2023 2:20:52 PM </t>
  </si>
  <si>
    <t>94333 </t>
  </si>
  <si>
    <t>114353, 8" DEF+XYZ (xHD) </t>
  </si>
  <si>
    <t>4/17/2023 2:25:38 PM </t>
  </si>
  <si>
    <t>94342 </t>
  </si>
  <si>
    <t>114418, 8" MFL (1.5D) ATEX </t>
  </si>
  <si>
    <t>4/17/2023 2:26:05 PM </t>
  </si>
  <si>
    <t>94350 </t>
  </si>
  <si>
    <t>08_650, 8" LGT </t>
  </si>
  <si>
    <t>4/28/2023 3:12:02 PM </t>
  </si>
  <si>
    <t>94411 </t>
  </si>
  <si>
    <t>08_900, 8" MFL+DEF (xHD) </t>
  </si>
  <si>
    <t>6/19/2017 3:55:22 PM </t>
  </si>
  <si>
    <t>94412 </t>
  </si>
  <si>
    <t>111884-01, 38" DEF (38-42) (xHD) </t>
  </si>
  <si>
    <t>DEF.38</t>
  </si>
  <si>
    <t>4/19/2023 3:56:20 PM </t>
  </si>
  <si>
    <t>94419 </t>
  </si>
  <si>
    <t xml:space="preserve"> 38" DEF (38-42) (xHD) </t>
  </si>
  <si>
    <t>116950-01, 38" DEF ATEX </t>
  </si>
  <si>
    <t>4/19/2023 3:56:46 PM </t>
  </si>
  <si>
    <t>94431 </t>
  </si>
  <si>
    <t xml:space="preserve"> 38" DEF ATEX </t>
  </si>
  <si>
    <t>120054, 14.8" MFL (377 MM) </t>
  </si>
  <si>
    <t>5/8/2023 9:22:21 AM </t>
  </si>
  <si>
    <t>96195 </t>
  </si>
  <si>
    <t>122500, 8" MFL5+DEF5+SMFL2+XYZ+LFM (V2) </t>
  </si>
  <si>
    <t>4/24/2023 3:58:45 PM </t>
  </si>
  <si>
    <t>98506 </t>
  </si>
  <si>
    <t>122503, 8" MDS FLEX MFL5+DEF5+LFM (V2) </t>
  </si>
  <si>
    <t>4/17/2023 2:27:43 PM </t>
  </si>
  <si>
    <t>98523 </t>
  </si>
  <si>
    <t>122502, 8" MDS FLEX MFL5+DEF5+XYZ+LFM (V2) </t>
  </si>
  <si>
    <t>5/22/2024 7:45:43 AM </t>
  </si>
  <si>
    <t>98524 </t>
  </si>
  <si>
    <t>122501, 8" MFL5+DEF5+SMFL2+LFM (V2) </t>
  </si>
  <si>
    <t>12/8/2023 2:41:02 PM </t>
  </si>
  <si>
    <t>98527 </t>
  </si>
  <si>
    <t>122972, 8" DEF+XYZ (NH3) </t>
  </si>
  <si>
    <t>4/17/2023 2:39:18 PM </t>
  </si>
  <si>
    <t>98786 </t>
  </si>
  <si>
    <t>123291, 8" GMFL+DEF (xHD) </t>
  </si>
  <si>
    <t>4/19/2023 11:40:12 AM </t>
  </si>
  <si>
    <t>100735 </t>
  </si>
  <si>
    <t>123925, 8" MDS FLEX MFL4+DEF+RES (V1) </t>
  </si>
  <si>
    <t>4/19/2023 11:40:57 AM </t>
  </si>
  <si>
    <t>102127 </t>
  </si>
  <si>
    <t>123924, 8" MFL4+DEF+SMFL+RES (V1) </t>
  </si>
  <si>
    <t>5/23/2025 9:21:02 AM </t>
  </si>
  <si>
    <t>102128 </t>
  </si>
  <si>
    <t>123926, 8" MFL4+DEF+SMFL+RES+XYZ (V1) </t>
  </si>
  <si>
    <t>4/25/2023 10:58:06 AM </t>
  </si>
  <si>
    <t>102129 </t>
  </si>
  <si>
    <t>124907, 8" Dual Drive SpirALL MFL+DEF+MFL4+RES </t>
  </si>
  <si>
    <t>4/24/2023 4:01:38 PM </t>
  </si>
  <si>
    <t>104856 </t>
  </si>
  <si>
    <t xml:space="preserve"> 8" Dual Drive SpirALL MFL+DEF+MFL4+RES </t>
  </si>
  <si>
    <t>127126, 8" DEF+GMFL+XYZ (xHD) </t>
  </si>
  <si>
    <t>4/19/2023 11:42:08 AM </t>
  </si>
  <si>
    <t>105243 </t>
  </si>
  <si>
    <t>129296, 8" MDS FLEX MFL4+DEF (V1) </t>
  </si>
  <si>
    <t>5/8/2023 2:14:47 PM </t>
  </si>
  <si>
    <t>106170 </t>
  </si>
  <si>
    <t>129297, 8" MDS FLEX MFL4+DEF+XYZ (V1) </t>
  </si>
  <si>
    <t>5/1/2023 2:30:04 PM </t>
  </si>
  <si>
    <t>106171 </t>
  </si>
  <si>
    <t>129312, 8" MDS FLEX MFL5+DEF5 </t>
  </si>
  <si>
    <t>5/8/2023 2:16:08 PM </t>
  </si>
  <si>
    <t>106208 </t>
  </si>
  <si>
    <t>129313, 8" MDS FLEX MFL5+DEF5+XYZ (V2) </t>
  </si>
  <si>
    <t>5/1/2023 2:31:18 PM </t>
  </si>
  <si>
    <t>106209 </t>
  </si>
  <si>
    <t>130598, 8" FLEX DEF+ULTRA RES MFL </t>
  </si>
  <si>
    <t>DEF.UMFL.V2.08</t>
  </si>
  <si>
    <t>10/3/2024 3:35:34 PM </t>
  </si>
  <si>
    <t>107692 </t>
  </si>
  <si>
    <t>130600, DEF+LFM+SMFL+ULTRA RES MFL+XYZ </t>
  </si>
  <si>
    <t xml:space="preserve"> DEF+LFM+SMFL+ULTRA RES MFL+XYZ </t>
  </si>
  <si>
    <t>130601, 8" MDS™ PRO DEF7+LFM+ULTRA RES MFL+SMFL2 </t>
  </si>
  <si>
    <t>10/28/2025 1:22:26 PM </t>
  </si>
  <si>
    <t>107875 </t>
  </si>
  <si>
    <t>130602, MDS™ Flex DEF+LFM+Ultra Res MFL+XYZ 08" </t>
  </si>
  <si>
    <t>10/28/2025 1:23:54 PM </t>
  </si>
  <si>
    <t>107877 </t>
  </si>
  <si>
    <t>130603, Flex DEF+LFM+Ultra Res MFL 08" </t>
  </si>
  <si>
    <t>10/28/2025 10:23:39 AM </t>
  </si>
  <si>
    <t>107878 </t>
  </si>
  <si>
    <t xml:space="preserve"> Flex DEF+LFM+Ultra Res MFL 08" </t>
  </si>
  <si>
    <t>130593, Pro 8" DEF+RES+SMFL+Ultra Res MFL+XYZ </t>
  </si>
  <si>
    <t>10/28/2025 1:23:43 PM </t>
  </si>
  <si>
    <t>107881 </t>
  </si>
  <si>
    <t>130595, 8" DEF+RES+Ultra Res MFL+XYZ 08" </t>
  </si>
  <si>
    <t>10/28/2025 1:23:17 PM </t>
  </si>
  <si>
    <t>107883 </t>
  </si>
  <si>
    <t>130596, 8" DEF+RES+Ultra Res MFL 08" </t>
  </si>
  <si>
    <t>10/28/2025 1:23:28 PM </t>
  </si>
  <si>
    <t>107884 </t>
  </si>
  <si>
    <t>130597, 8" MDS FLEX DEF+Ultra Res MFL+XYZ, V2 </t>
  </si>
  <si>
    <t>10/28/2025 10:24:21 AM </t>
  </si>
  <si>
    <t>107885 </t>
  </si>
  <si>
    <t>130604, 8" DEF+Ultra Res MFL+XYZ </t>
  </si>
  <si>
    <t>10/28/2025 1:23:04 PM </t>
  </si>
  <si>
    <t>107886 </t>
  </si>
  <si>
    <t>130605, 8" DEF+Ultra Res MFL </t>
  </si>
  <si>
    <t>2/14/2025 8:40:17 AM </t>
  </si>
  <si>
    <t>107887 </t>
  </si>
  <si>
    <t>130594, 8" DEF+RES+SMFL+ULTRA RES MFL, V1 </t>
  </si>
  <si>
    <t>10/28/2025 12:58:01 PM </t>
  </si>
  <si>
    <t>108307 </t>
  </si>
  <si>
    <t>101050, 10" MFL (8" Batt, NH3) </t>
  </si>
  <si>
    <t>4/19/2023 11:43:22 AM </t>
  </si>
  <si>
    <t>94025 </t>
  </si>
  <si>
    <t>103200, 12x10" GMFL </t>
  </si>
  <si>
    <t>4/19/2023 4:03:40 PM </t>
  </si>
  <si>
    <t>94046 </t>
  </si>
  <si>
    <t>106627, 10" DEF (NH3) </t>
  </si>
  <si>
    <t>4/19/2023 11:43:46 AM </t>
  </si>
  <si>
    <t>94111 </t>
  </si>
  <si>
    <t>108300, 10" MDS FLEX MFL3+DEF+RES </t>
  </si>
  <si>
    <t>4/19/2023 11:44:09 AM </t>
  </si>
  <si>
    <t>94119 </t>
  </si>
  <si>
    <t>108556, 10" GMFL (xHD) </t>
  </si>
  <si>
    <t>4/19/2023 11:44:28 AM </t>
  </si>
  <si>
    <t>94122 </t>
  </si>
  <si>
    <t>108558, 10" GMFL+DEF (xHD) </t>
  </si>
  <si>
    <t>4/19/2023 11:44:51 AM </t>
  </si>
  <si>
    <t>94123 </t>
  </si>
  <si>
    <t>108571, 10" DEF (8" Batt) xHD </t>
  </si>
  <si>
    <t>1/28/2025 8:58:48 AM </t>
  </si>
  <si>
    <t>94125 </t>
  </si>
  <si>
    <t xml:space="preserve"> 10" DEF (8" Batt) xHD </t>
  </si>
  <si>
    <t>108577, 10" MFL+DEF (8" Batt, xHD) </t>
  </si>
  <si>
    <t>4/19/2023 11:45:34 AM </t>
  </si>
  <si>
    <t>94126 </t>
  </si>
  <si>
    <t>110403, 10" DEF ATEX </t>
  </si>
  <si>
    <t>1/28/2025 8:58:45 AM </t>
  </si>
  <si>
    <t>94214 </t>
  </si>
  <si>
    <t>110548, 10" DEF+XYZ (xHD) </t>
  </si>
  <si>
    <t>4/19/2023 11:46:09 AM </t>
  </si>
  <si>
    <t>94220 </t>
  </si>
  <si>
    <t>110864, 10" MFL ATEX </t>
  </si>
  <si>
    <t>4/19/2023 11:47:07 AM </t>
  </si>
  <si>
    <t>94231 </t>
  </si>
  <si>
    <t>113240, 10" MFL+DEF (NH3) </t>
  </si>
  <si>
    <t>4/19/2023 11:47:26 AM </t>
  </si>
  <si>
    <t>94313 </t>
  </si>
  <si>
    <t>113407, 10" GMFL+XYZ (xHD) </t>
  </si>
  <si>
    <t>4/19/2023 11:47:53 AM </t>
  </si>
  <si>
    <t>94316 </t>
  </si>
  <si>
    <t>113580, 10" MFL+DEF+XYZ ATEX </t>
  </si>
  <si>
    <t>4/19/2023 11:48:23 AM </t>
  </si>
  <si>
    <t>94323 </t>
  </si>
  <si>
    <t>114362, 10" GMFL+DEF+XYZ ATEX </t>
  </si>
  <si>
    <t>6/19/2017 3:32:56 PM </t>
  </si>
  <si>
    <t>94343 </t>
  </si>
  <si>
    <t>115008, 10" DEF+XYZ ATEX </t>
  </si>
  <si>
    <t>4/24/2023 3:36:51 PM </t>
  </si>
  <si>
    <t>94383 </t>
  </si>
  <si>
    <t xml:space="preserve"> 10" DEF+XYZ ATEX </t>
  </si>
  <si>
    <t>115144, 10" MFL+XYZ ATEX </t>
  </si>
  <si>
    <t>6/19/2017 3:51:02 PM </t>
  </si>
  <si>
    <t>94385 </t>
  </si>
  <si>
    <t>117308, 10" MFL+IDOD+DEF (NH3) </t>
  </si>
  <si>
    <t>4/19/2023 11:49:52 AM </t>
  </si>
  <si>
    <t>94402 </t>
  </si>
  <si>
    <t xml:space="preserve"> 10" MFL+IDOD+DEF (NH3) </t>
  </si>
  <si>
    <t>10_650, 10" LGT </t>
  </si>
  <si>
    <t>4/28/2023 3:12:17 PM </t>
  </si>
  <si>
    <t>94415 </t>
  </si>
  <si>
    <t>119600, 10" (254 mm) </t>
  </si>
  <si>
    <t>6/19/2017 1:43:38 PM </t>
  </si>
  <si>
    <t>95105 </t>
  </si>
  <si>
    <t>120561, 10" MFL3+DEF+SMFL+RES </t>
  </si>
  <si>
    <t>4/24/2023 3:57:21 PM </t>
  </si>
  <si>
    <t>96198 </t>
  </si>
  <si>
    <t>120640, 10" MFL3+DEF+SMFL+XYZ+RES </t>
  </si>
  <si>
    <t>4/24/2023 3:57:39 PM </t>
  </si>
  <si>
    <t>96199 </t>
  </si>
  <si>
    <t>119024, 10" MFL+DEF+XYZ (Dual Drive) </t>
  </si>
  <si>
    <t>5/8/2023 2:19:24 PM </t>
  </si>
  <si>
    <t>98602 </t>
  </si>
  <si>
    <t xml:space="preserve"> 10" MFL+DEF+XYZ (Dual Drive) </t>
  </si>
  <si>
    <t>122986, 10" DEF+XYZ NH3 </t>
  </si>
  <si>
    <t>4/19/2023 11:52:09 AM </t>
  </si>
  <si>
    <t>98787 </t>
  </si>
  <si>
    <t>129299, 10" MDS FLEX MFL3+DEF+XYZ </t>
  </si>
  <si>
    <t>5/1/2023 2:35:14 PM </t>
  </si>
  <si>
    <t>106179 </t>
  </si>
  <si>
    <t>129298, 10" MDS FLEX MFL3+DEF </t>
  </si>
  <si>
    <t>5/1/2023 2:34:53 PM </t>
  </si>
  <si>
    <t>106180 </t>
  </si>
  <si>
    <t>129152, 10" MDS FLEX MFL3+DEF+RES+XYZ </t>
  </si>
  <si>
    <t>5/22/2024 7:52:45 AM </t>
  </si>
  <si>
    <t>106210 </t>
  </si>
  <si>
    <t>130611, 10" MDS FLEX DEF+ULTRA RES MFL </t>
  </si>
  <si>
    <t>6/9/2025 12:05:27 PM </t>
  </si>
  <si>
    <t>107691 </t>
  </si>
  <si>
    <t>130612, 10" MDS FLEX DEF+ULTRA RES MFL+XYZ </t>
  </si>
  <si>
    <t>11/11/2024 1:28:09 PM </t>
  </si>
  <si>
    <t>107741 </t>
  </si>
  <si>
    <t>130614, 10" DEF+RES+ULTRA RES MFL+SMFL3+XYZ </t>
  </si>
  <si>
    <t>12/1/2025 12:38:36 PM </t>
  </si>
  <si>
    <t>107796 </t>
  </si>
  <si>
    <t>130613, 10" MDS DEF+RES+ULTRA RES MFL+SMFL3 </t>
  </si>
  <si>
    <t>12/1/2025 12:39:07 PM </t>
  </si>
  <si>
    <t>107799 </t>
  </si>
  <si>
    <t>130610, 10" MDS FLEX DEF+RES+ULTRA RES MFL+XYZ </t>
  </si>
  <si>
    <t>12/1/2025 12:39:24 PM </t>
  </si>
  <si>
    <t>107800 </t>
  </si>
  <si>
    <t>130609, 10" MDS FLEX DEF+RES+ULTRA RES MFL </t>
  </si>
  <si>
    <t>12/1/2025 12:39:39 PM </t>
  </si>
  <si>
    <t>107801 </t>
  </si>
  <si>
    <t>103541, 12" GMFL+DEF+XYZ (xHD) </t>
  </si>
  <si>
    <t>DEF.GMFL.XYZ.12</t>
  </si>
  <si>
    <t>5/1/2023 2:35:38 PM </t>
  </si>
  <si>
    <t>94055 </t>
  </si>
  <si>
    <t xml:space="preserve"> 12" GMFL+DEF+XYZ (xHD) </t>
  </si>
  <si>
    <t>108740, 12" GMFL ATEX </t>
  </si>
  <si>
    <t>5/1/2023 2:37:04 PM </t>
  </si>
  <si>
    <t>94130 </t>
  </si>
  <si>
    <t>108768, 12" MFL+DEF ATEX </t>
  </si>
  <si>
    <t>6/19/2017 3:03:30 PM </t>
  </si>
  <si>
    <t>94133 </t>
  </si>
  <si>
    <t>108841, 12" DEF (12-14) (8BAT Drive) xHD </t>
  </si>
  <si>
    <t>4/28/2023 3:11:38 PM </t>
  </si>
  <si>
    <t>94136 </t>
  </si>
  <si>
    <t>108847, 12" LGT (12-14) (xHD) </t>
  </si>
  <si>
    <t>4/19/2023 11:56:23 AM </t>
  </si>
  <si>
    <t>94137 </t>
  </si>
  <si>
    <t>108917, 12” MFL2+DEF2+SMFL2+XYZ+LFM </t>
  </si>
  <si>
    <t>110511, 12” MFL2+DEF2+SMFL2+LFM </t>
  </si>
  <si>
    <t>108922, 12" MDS FLEX MFL2+DEF2+XYZ+LFM </t>
  </si>
  <si>
    <t>5/22/2024 7:51:24 AM </t>
  </si>
  <si>
    <t>94140 </t>
  </si>
  <si>
    <t>108923, 12" MDS FLEX MFL2+DEF2+LFM </t>
  </si>
  <si>
    <t>4/19/2023 11:57:26 AM </t>
  </si>
  <si>
    <t>94141 </t>
  </si>
  <si>
    <t>109090, 12" GMFL+DEF (xHD) </t>
  </si>
  <si>
    <t>5/1/2023 2:38:03 PM </t>
  </si>
  <si>
    <t>94145 </t>
  </si>
  <si>
    <t>112100, 12" DEF ATEX </t>
  </si>
  <si>
    <t>5/1/2023 2:38:17 PM </t>
  </si>
  <si>
    <t>94303 </t>
  </si>
  <si>
    <t>113938, 12" GMFL+DEF+XYZ ATEX </t>
  </si>
  <si>
    <t>5/1/2023 2:39:42 PM </t>
  </si>
  <si>
    <t>94337 </t>
  </si>
  <si>
    <t>113940, 12" MFL (10BAT Drive, xHD) </t>
  </si>
  <si>
    <t>4/19/2023 11:59:50 AM </t>
  </si>
  <si>
    <t>94338 </t>
  </si>
  <si>
    <t>114371, 12" MFL+DEF+XYZ ATEX </t>
  </si>
  <si>
    <t>5/1/2023 2:40:15 PM </t>
  </si>
  <si>
    <t>94345 </t>
  </si>
  <si>
    <t>114421, 12" DEF3 ATEX </t>
  </si>
  <si>
    <t>5/1/2023 2:40:40 PM </t>
  </si>
  <si>
    <t>94352 </t>
  </si>
  <si>
    <t>114577, 12" MFL+XYZ ATEX </t>
  </si>
  <si>
    <t>5/1/2023 2:42:15 PM </t>
  </si>
  <si>
    <t>94360 </t>
  </si>
  <si>
    <t>114579, 12" DEF+XYZ (xHD) </t>
  </si>
  <si>
    <t>5/1/2023 2:42:37 PM </t>
  </si>
  <si>
    <t>94361 </t>
  </si>
  <si>
    <t>114656, 12" GMFL+XYZ ATEX </t>
  </si>
  <si>
    <t>6/19/2017 3:43:55 PM </t>
  </si>
  <si>
    <t>94368 </t>
  </si>
  <si>
    <t>114898, 12" LGT ATEX </t>
  </si>
  <si>
    <t>4/19/2023 12:10:54 PM </t>
  </si>
  <si>
    <t>94381 </t>
  </si>
  <si>
    <t>115148, 12" DEF+XYZ ATEX </t>
  </si>
  <si>
    <t>5/1/2023 2:43:12 PM </t>
  </si>
  <si>
    <t>94386 </t>
  </si>
  <si>
    <t>115300, 12" MFL2 (Heavy Wall) </t>
  </si>
  <si>
    <t>5/1/2023 2:43:31 PM </t>
  </si>
  <si>
    <t>94389 </t>
  </si>
  <si>
    <t xml:space="preserve"> 12" MFL2 (Heavy Wall) </t>
  </si>
  <si>
    <t>120710, 12" DEF+XYZ (xHD) </t>
  </si>
  <si>
    <t>5/1/2023 2:43:51 PM </t>
  </si>
  <si>
    <t>96200 </t>
  </si>
  <si>
    <t>121052, 12" DEF, CHAIN COUPLER </t>
  </si>
  <si>
    <t>5/1/2023 2:44:17 PM </t>
  </si>
  <si>
    <t>96206 </t>
  </si>
  <si>
    <t>120733, 12" MFL2+DEF+SMFL3+XYZ+LFM </t>
  </si>
  <si>
    <t>9/30/2025 12:12:58 PM </t>
  </si>
  <si>
    <t>98927 </t>
  </si>
  <si>
    <t>123561-1, ASSY, TOOL, EMAT, PH2, 12" </t>
  </si>
  <si>
    <t>5/3/2023 8:13:24 AM </t>
  </si>
  <si>
    <t>102262 </t>
  </si>
  <si>
    <t>123561-2, ASSY, TOOL, EMAT, PH2, 12" </t>
  </si>
  <si>
    <t>5/3/2023 8:13:36 AM </t>
  </si>
  <si>
    <t>102263 </t>
  </si>
  <si>
    <t>124963, 12" MFL2+DEF+SMFL3+LFM </t>
  </si>
  <si>
    <t>5/1/2023 2:50:23 PM </t>
  </si>
  <si>
    <t>103812 </t>
  </si>
  <si>
    <t>129300, 12" MDS FLEX MFL+DEF </t>
  </si>
  <si>
    <t>5/8/2023 2:29:14 PM </t>
  </si>
  <si>
    <t>106197 </t>
  </si>
  <si>
    <t>129301, 12" MDS FLEX MFL2+DEF2+XYZ </t>
  </si>
  <si>
    <t>5/1/2023 2:50:45 PM </t>
  </si>
  <si>
    <t>106198 </t>
  </si>
  <si>
    <t>129647, 12" DEF+LFM+ULTRA RES MFL+SMFL3+XYZ </t>
  </si>
  <si>
    <t>9/30/2025 12:15:53 PM </t>
  </si>
  <si>
    <t>106976 </t>
  </si>
  <si>
    <t>129840, 12" MDS FLEX DEF+ULTRA RES MFL+XYZ </t>
  </si>
  <si>
    <t>10/1/2025 10:21:09 AM </t>
  </si>
  <si>
    <t>106977 </t>
  </si>
  <si>
    <t>129841, 12" MDS FLEX DEF+ULTRA RES MFL </t>
  </si>
  <si>
    <t>10/1/2025 9:15:22 AM </t>
  </si>
  <si>
    <t>106978 </t>
  </si>
  <si>
    <t>129842, 12" MDS DEF+LFM+ULTRA RES MFL+SMFL3 </t>
  </si>
  <si>
    <t>11/11/2024 1:29:04 PM </t>
  </si>
  <si>
    <t>106979 </t>
  </si>
  <si>
    <t>129843, 12" MDS FLEX DEF+LFM+ULTRA RES MFL </t>
  </si>
  <si>
    <t>11/11/2024 1:29:17 PM </t>
  </si>
  <si>
    <t>106980 </t>
  </si>
  <si>
    <t>129844, 12" MDS FLEX DEF+LFM+ULTRA RES MFL+XYZ </t>
  </si>
  <si>
    <t>11/11/2024 1:29:29 PM </t>
  </si>
  <si>
    <t>106981 </t>
  </si>
  <si>
    <t>108765, 14" GMFL+DEF ATEX </t>
  </si>
  <si>
    <t>5/1/2023 2:46:07 PM </t>
  </si>
  <si>
    <t>94131 </t>
  </si>
  <si>
    <t>108766, 14" GMFL (xHD) </t>
  </si>
  <si>
    <t>4/19/2023 12:18:09 PM </t>
  </si>
  <si>
    <t>94132 </t>
  </si>
  <si>
    <t>108769, 14" MFL+DEF ATEX </t>
  </si>
  <si>
    <t>5/1/2023 2:46:27 PM </t>
  </si>
  <si>
    <t>94134 </t>
  </si>
  <si>
    <t>108848, 14" LGT (12-14) (xHD) </t>
  </si>
  <si>
    <t>5/1/2023 2:46:41 PM </t>
  </si>
  <si>
    <t>94138 </t>
  </si>
  <si>
    <t>110410, 14" DEF ATEX </t>
  </si>
  <si>
    <t>5/1/2023 2:47:11 PM </t>
  </si>
  <si>
    <t>94215 </t>
  </si>
  <si>
    <t>110629, 14" MFL ATEX </t>
  </si>
  <si>
    <t>5/1/2023 2:47:28 PM </t>
  </si>
  <si>
    <t>94222 </t>
  </si>
  <si>
    <t>111456, 14" GMFL ATEX </t>
  </si>
  <si>
    <t>4/19/2023 12:19:41 PM </t>
  </si>
  <si>
    <t>94234 </t>
  </si>
  <si>
    <t>114587, 14" GMFL+XYZ ATEX </t>
  </si>
  <si>
    <t>6/19/2017 3:41:20 PM </t>
  </si>
  <si>
    <t>94362 </t>
  </si>
  <si>
    <t>114603, 14" GMFL+DEF+XYZ ATEX </t>
  </si>
  <si>
    <t>5/1/2023 2:47:46 PM </t>
  </si>
  <si>
    <t>94364 </t>
  </si>
  <si>
    <t>116645, 14" MFL2 (Heavy Wall) </t>
  </si>
  <si>
    <t>5/1/2023 2:48:05 PM </t>
  </si>
  <si>
    <t>94394 </t>
  </si>
  <si>
    <t xml:space="preserve"> 14" MFL2 (Heavy Wall) </t>
  </si>
  <si>
    <t>118099, 14" MFL+XYZ (xHD) </t>
  </si>
  <si>
    <t>5/1/2023 2:48:30 PM </t>
  </si>
  <si>
    <t>94405 </t>
  </si>
  <si>
    <t>120711, 14" DEF+XYZ (xHD) </t>
  </si>
  <si>
    <t>5/1/2023 2:49:02 PM </t>
  </si>
  <si>
    <t>96201 </t>
  </si>
  <si>
    <t>121043, 14" MFL+DEF+XYZ </t>
  </si>
  <si>
    <t>5/1/2023 2:49:30 PM </t>
  </si>
  <si>
    <t>96204 </t>
  </si>
  <si>
    <t>121049, 14" DEF, CHAIN COUPLER </t>
  </si>
  <si>
    <t>5/8/2023 2:32:52 PM </t>
  </si>
  <si>
    <t>96205 </t>
  </si>
  <si>
    <t>101002, 16" K360 </t>
  </si>
  <si>
    <t>K360.16</t>
  </si>
  <si>
    <t>5/1/2023 2:55:41 PM </t>
  </si>
  <si>
    <t>94024 </t>
  </si>
  <si>
    <t xml:space="preserve"> 16" K360 </t>
  </si>
  <si>
    <t>108734, 16" MFL ATEX </t>
  </si>
  <si>
    <t>4/19/2023 12:24:45 PM </t>
  </si>
  <si>
    <t>94129 </t>
  </si>
  <si>
    <t>109179, 16" DEF2 (GCPU xHD) </t>
  </si>
  <si>
    <t>11/10/2023 3:45:22 PM </t>
  </si>
  <si>
    <t>94148 </t>
  </si>
  <si>
    <t>109180, 16" DEF (16-18) 3D (xHD) </t>
  </si>
  <si>
    <t>4/19/2023 12:25:54 PM </t>
  </si>
  <si>
    <t>94149 </t>
  </si>
  <si>
    <t>109248, 16" GMFL+DEF (xHD) </t>
  </si>
  <si>
    <t>4/19/2023 12:26:31 PM </t>
  </si>
  <si>
    <t>94151 </t>
  </si>
  <si>
    <t>109249, 16" GMFL+DEF+XYZ Integrated CPU (xHD) </t>
  </si>
  <si>
    <t>4/19/2023 12:27:01 PM </t>
  </si>
  <si>
    <t>94152 </t>
  </si>
  <si>
    <t xml:space="preserve"> 16" GMFL+DEF+XYZ Integrated CPU (xHD) </t>
  </si>
  <si>
    <t>109575, 16" MDS FLEX MFL2+DEF2+LFM </t>
  </si>
  <si>
    <t>2/6/2025 10:42:40 AM </t>
  </si>
  <si>
    <t>94197 </t>
  </si>
  <si>
    <t>109576, 16" MDS FLEX MFL2+DEF2+XYZ+LFM </t>
  </si>
  <si>
    <t>5/22/2024 7:51:33 AM </t>
  </si>
  <si>
    <t>94198 </t>
  </si>
  <si>
    <t>112848, 16" GMFL (Short) </t>
  </si>
  <si>
    <t>4/19/2023 12:29:54 PM </t>
  </si>
  <si>
    <t>94310 </t>
  </si>
  <si>
    <t>113514, 16" DEF ATEX </t>
  </si>
  <si>
    <t>5/1/2023 3:08:15 PM </t>
  </si>
  <si>
    <t>94318 </t>
  </si>
  <si>
    <t>113569, 16" MFL+XYZ ATEX </t>
  </si>
  <si>
    <t>5/1/2023 3:08:36 PM </t>
  </si>
  <si>
    <t>94321 </t>
  </si>
  <si>
    <t>114530, 16" GMFL+DEF+XYZ ATEX </t>
  </si>
  <si>
    <t>5/1/2023 3:11:19 PM </t>
  </si>
  <si>
    <t>94357 </t>
  </si>
  <si>
    <t>114637, 16" MFL+DEF+XYZ ATEX </t>
  </si>
  <si>
    <t>DEF.MFL.XYZ.16</t>
  </si>
  <si>
    <t>5/1/2023 3:09:02 PM </t>
  </si>
  <si>
    <t>94365 </t>
  </si>
  <si>
    <t xml:space="preserve"> 16" MFL+DEF+XYZ ATEX </t>
  </si>
  <si>
    <t>114875, 16" DEF+XYZ ATEX </t>
  </si>
  <si>
    <t>5/1/2023 3:09:23 PM </t>
  </si>
  <si>
    <t>94379 </t>
  </si>
  <si>
    <t>16_002, 16" MFL+DEF (xHD) </t>
  </si>
  <si>
    <t>5/1/2023 3:09:48 PM </t>
  </si>
  <si>
    <t>94436 </t>
  </si>
  <si>
    <t>120901, 16" MFL2+DEF2+SMFL3+LFM </t>
  </si>
  <si>
    <t>4/24/2023 3:58:16 PM </t>
  </si>
  <si>
    <t>97206 </t>
  </si>
  <si>
    <t>123565-1, ASSY, TOOL, EMAT, 16" </t>
  </si>
  <si>
    <t>5/2/2023 1:31:56 PM </t>
  </si>
  <si>
    <t>102264 </t>
  </si>
  <si>
    <t>123565-2, ASSY, TOOL, EMAT, 16" </t>
  </si>
  <si>
    <t>5/2/2023 1:32:08 PM </t>
  </si>
  <si>
    <t>102265 </t>
  </si>
  <si>
    <t>122641, 16" MFL2+DEF2+SMFL3+XYZ+LFM, SpirALL MFL </t>
  </si>
  <si>
    <t>4/24/2023 4:02:03 PM </t>
  </si>
  <si>
    <t>105860 </t>
  </si>
  <si>
    <t>129302, 16" MDS FLEX MFL2+DEF2 </t>
  </si>
  <si>
    <t>5/8/2023 2:25:24 PM </t>
  </si>
  <si>
    <t>106199 </t>
  </si>
  <si>
    <t>129303, 16" MDS FLEX MFL2+DEF2+XYZ </t>
  </si>
  <si>
    <t>FLEX.DEF.MFL.XYZ.16</t>
  </si>
  <si>
    <t>5/8/2023 2:21:01 PM </t>
  </si>
  <si>
    <t>106200 </t>
  </si>
  <si>
    <t xml:space="preserve"> 16" MDS FLEX MFL2+DEF2+XYZ </t>
  </si>
  <si>
    <t>130178, 16" DEF2+LFM+SMFL3+ULTRA RES MFL, SpirALL MFL </t>
  </si>
  <si>
    <t>11/11/2024 1:29:49 PM </t>
  </si>
  <si>
    <t>107518 </t>
  </si>
  <si>
    <t>130179, 16" DEF2+LFM+SMFL3+ULTRA RES MFL, SpirALL MFL </t>
  </si>
  <si>
    <t>11/11/2024 1:30:02 PM </t>
  </si>
  <si>
    <t>107521 </t>
  </si>
  <si>
    <t>130180, 16" MDS FLEX DEF+LFM+ULTRA RES MFL+XYZ </t>
  </si>
  <si>
    <t>11/11/2024 1:30:15 PM </t>
  </si>
  <si>
    <t>107522 </t>
  </si>
  <si>
    <t>130181, 16" MDS FLEX DEF+LFM+ULTRA RES MFL </t>
  </si>
  <si>
    <t>11/11/2024 1:31:15 PM </t>
  </si>
  <si>
    <t>107523 </t>
  </si>
  <si>
    <t>130182, 16" MDS FLEX DEF+ULTRA RES MFL+XYZ </t>
  </si>
  <si>
    <t>11/11/2024 1:25:57 PM </t>
  </si>
  <si>
    <t>107524 </t>
  </si>
  <si>
    <t>130183, 16" MDS FLEX DEF+ULTRA RES MFL </t>
  </si>
  <si>
    <t>11/11/2024 1:26:29 PM </t>
  </si>
  <si>
    <t>107525 </t>
  </si>
  <si>
    <t>103123, 18" K360 (16-18) </t>
  </si>
  <si>
    <t>K360.18</t>
  </si>
  <si>
    <t>4/19/2023 12:45:22 PM </t>
  </si>
  <si>
    <t>94045 </t>
  </si>
  <si>
    <t xml:space="preserve"> 18" K360 (16-18) </t>
  </si>
  <si>
    <t>109168, 18" DEF (16-18) (xHD) </t>
  </si>
  <si>
    <t>DEF.18</t>
  </si>
  <si>
    <t>4/19/2023 12:45:42 PM </t>
  </si>
  <si>
    <t>94147 </t>
  </si>
  <si>
    <t xml:space="preserve"> 18" DEF (16-18) (xHD) </t>
  </si>
  <si>
    <t>112076, 18" GMFL Integrated DEF Combo+XYZ </t>
  </si>
  <si>
    <t>DEF.GMFL.XYZ.18</t>
  </si>
  <si>
    <t>9/11/2023 9:02:31 AM </t>
  </si>
  <si>
    <t>94302 </t>
  </si>
  <si>
    <t xml:space="preserve"> 18" GMFL Integrated DEF Combo+XYZ </t>
  </si>
  <si>
    <t>112552, 18" DEF+XYZ ATEX </t>
  </si>
  <si>
    <t>DEF.XYZ.18</t>
  </si>
  <si>
    <t>5/1/2023 3:10:15 PM </t>
  </si>
  <si>
    <t>94307 </t>
  </si>
  <si>
    <t xml:space="preserve"> 18" DEF+XYZ ATEX </t>
  </si>
  <si>
    <t>112882, 18" GMFL (Short) </t>
  </si>
  <si>
    <t>GMFL.18</t>
  </si>
  <si>
    <t>4/19/2023 12:47:00 PM </t>
  </si>
  <si>
    <t>94311 </t>
  </si>
  <si>
    <t xml:space="preserve"> 18" GMFL (Short) </t>
  </si>
  <si>
    <t>113589, 18" MFL+XYZ (xHD) </t>
  </si>
  <si>
    <t>MFL.XYZ.18</t>
  </si>
  <si>
    <t>5/1/2023 3:10:37 PM </t>
  </si>
  <si>
    <t>94324 </t>
  </si>
  <si>
    <t xml:space="preserve"> 18" MFL+XYZ (xHD) </t>
  </si>
  <si>
    <t>113595, 18" MFL+DEF+XYZ ATEX </t>
  </si>
  <si>
    <t>DEF.MFL.XYZ.18</t>
  </si>
  <si>
    <t>5/1/2023 3:10:55 PM </t>
  </si>
  <si>
    <t>94328 </t>
  </si>
  <si>
    <t xml:space="preserve"> 18" MFL+DEF+XYZ ATEX </t>
  </si>
  <si>
    <t>114729, 18" MFL+XYZ ATEX </t>
  </si>
  <si>
    <t>5/8/2023 2:31:16 PM </t>
  </si>
  <si>
    <t>94377 </t>
  </si>
  <si>
    <t xml:space="preserve"> 18" MFL+XYZ ATEX </t>
  </si>
  <si>
    <t>114900, 18" MFL+XYZ H2 </t>
  </si>
  <si>
    <t>4/26/2023 8:41:56 AM </t>
  </si>
  <si>
    <t>94382 </t>
  </si>
  <si>
    <t xml:space="preserve"> 18" MFL+XYZ H2 </t>
  </si>
  <si>
    <t>123115, 18" MFL (xHD) </t>
  </si>
  <si>
    <t>MFL.18</t>
  </si>
  <si>
    <t>5/1/2023 3:11:43 PM </t>
  </si>
  <si>
    <t>100103 </t>
  </si>
  <si>
    <t xml:space="preserve"> 18" MFL (xHD) </t>
  </si>
  <si>
    <t>123309, 18" MFL (16-18) + DEF (16-18) </t>
  </si>
  <si>
    <t>DEF.MFL.18</t>
  </si>
  <si>
    <t>5/1/2023 3:12:11 PM </t>
  </si>
  <si>
    <t>100162 </t>
  </si>
  <si>
    <t xml:space="preserve"> 18" MFL (16-18) + DEF (16-18) </t>
  </si>
  <si>
    <t>126341, 18" GMFL Integrated DEF COMBO </t>
  </si>
  <si>
    <t>DEF.GMFL.18</t>
  </si>
  <si>
    <t>10/9/2023 2:23:30 PM </t>
  </si>
  <si>
    <t>105975 </t>
  </si>
  <si>
    <t xml:space="preserve"> 18" GMFL Integrated DEF COMBO </t>
  </si>
  <si>
    <t>116900, 18" MDS FLEX MFL2+DEF2+LFM </t>
  </si>
  <si>
    <t>FLEX.DEF.LFM.MFL.18</t>
  </si>
  <si>
    <t>2/10/2025 1:16:07 PM </t>
  </si>
  <si>
    <t>107871 </t>
  </si>
  <si>
    <t xml:space="preserve"> 18" MDS FLEX MFL2+DEF2+LFM </t>
  </si>
  <si>
    <t>131181, 18" MDS FLEX MF2+DEF2+LFM+XYZ </t>
  </si>
  <si>
    <t>FLEX.DEF.LFM.MFL.XYZ.18 </t>
  </si>
  <si>
    <t>2/10/2025 11:20:50 AM </t>
  </si>
  <si>
    <t>107873 </t>
  </si>
  <si>
    <t xml:space="preserve"> 18" MDS FLEX MF2+DEF2+LFM+XYZ </t>
  </si>
  <si>
    <t>105258, 20" K360 </t>
  </si>
  <si>
    <t>K360.20</t>
  </si>
  <si>
    <t>4/19/2023 12:56:23 PM </t>
  </si>
  <si>
    <t>94091 </t>
  </si>
  <si>
    <t xml:space="preserve"> 20" K360 </t>
  </si>
  <si>
    <t>109357, 20" MFL+DEF2 ATEX </t>
  </si>
  <si>
    <t>DEF.MFL.20 </t>
  </si>
  <si>
    <t>5/1/2023 3:13:03 PM </t>
  </si>
  <si>
    <t>94154 </t>
  </si>
  <si>
    <t xml:space="preserve"> 20" MFL+DEF2 ATEX </t>
  </si>
  <si>
    <t>109492, 20" GMFL ATEX </t>
  </si>
  <si>
    <t>GMFL.20</t>
  </si>
  <si>
    <t>4/19/2023 12:57:31 PM </t>
  </si>
  <si>
    <t>94195 </t>
  </si>
  <si>
    <t xml:space="preserve"> 20" GMFL ATEX </t>
  </si>
  <si>
    <t>109627, 20" MFL ATEX </t>
  </si>
  <si>
    <t>MFL.20</t>
  </si>
  <si>
    <t>5/1/2023 3:13:36 PM </t>
  </si>
  <si>
    <t>94203 </t>
  </si>
  <si>
    <t xml:space="preserve"> 20" MFL ATEX </t>
  </si>
  <si>
    <t>109628, 20" DEF2 ATEX </t>
  </si>
  <si>
    <t>DEF.20 </t>
  </si>
  <si>
    <t>4/19/2023 12:58:32 PM </t>
  </si>
  <si>
    <t>94204 </t>
  </si>
  <si>
    <t xml:space="preserve"> 20" DEF2 ATEX </t>
  </si>
  <si>
    <t>109660, 20" GMFL+DEF2 ATEX </t>
  </si>
  <si>
    <t>DEF.GMFL.20</t>
  </si>
  <si>
    <t>5/1/2023 3:14:37 PM </t>
  </si>
  <si>
    <t>94205 </t>
  </si>
  <si>
    <t xml:space="preserve"> 20" GMFL+DEF2 ATEX </t>
  </si>
  <si>
    <t>112114, 20" MFL3+DEF+SpirALL® MFL+XYZ+LFM </t>
  </si>
  <si>
    <t>DEF.LFM.MFL.SMFL.XYZ.20</t>
  </si>
  <si>
    <t>12/14/2023 5:03:24 PM </t>
  </si>
  <si>
    <t>94304 </t>
  </si>
  <si>
    <t xml:space="preserve"> 20" MFL3+DEF+SpirALL® MFL+XYZ+LFM </t>
  </si>
  <si>
    <t>112115, 20" MFL3+DEF+SpirALL® MFL+LFM </t>
  </si>
  <si>
    <t>DEF.LFM.MFL.SMFL.20</t>
  </si>
  <si>
    <t>10/9/2023 2:23:32 PM </t>
  </si>
  <si>
    <t>94305 </t>
  </si>
  <si>
    <t xml:space="preserve"> 20" MFL3+DEF+SpirALL® MFL+LFM </t>
  </si>
  <si>
    <t>114402, 20" GMFL+XYZ ATEX </t>
  </si>
  <si>
    <t>GMFL.XYZ.20</t>
  </si>
  <si>
    <t>6/19/2017 3:39:26 PM </t>
  </si>
  <si>
    <t>94348 </t>
  </si>
  <si>
    <t xml:space="preserve"> 20" GMFL+XYZ ATEX </t>
  </si>
  <si>
    <t>114865, 20" GMFL+DEF+XYZ ATEX </t>
  </si>
  <si>
    <t>DEF.GMFL.XYZ.20</t>
  </si>
  <si>
    <t>5/1/2023 3:15:09 PM </t>
  </si>
  <si>
    <t>94378 </t>
  </si>
  <si>
    <t xml:space="preserve"> 20" GMFL+DEF+XYZ ATEX </t>
  </si>
  <si>
    <t>115727, 20" MDS FLEX MFL3+DEF+LFM+XYZ </t>
  </si>
  <si>
    <t>FLEXDEFLFMMFLXYZ.20</t>
  </si>
  <si>
    <t>5/22/2024 7:51:43 AM </t>
  </si>
  <si>
    <t>94391 </t>
  </si>
  <si>
    <t xml:space="preserve"> 20" MDS FLEX MFL3+DEF+LFM+XYZ </t>
  </si>
  <si>
    <t>115728, 20" MDS FLEX MFL3+DEF+LFM </t>
  </si>
  <si>
    <t>FLEX.DEF.LFM.MFL.20</t>
  </si>
  <si>
    <t>4/19/2023 1:00:27 PM </t>
  </si>
  <si>
    <t>94392 </t>
  </si>
  <si>
    <t xml:space="preserve"> 20" MDS FLEX MFL3+DEF+LFM </t>
  </si>
  <si>
    <t>117837, 20" DEF Single Body </t>
  </si>
  <si>
    <t>DEF.20</t>
  </si>
  <si>
    <t>4/19/2023 1:01:33 PM </t>
  </si>
  <si>
    <t>94404 </t>
  </si>
  <si>
    <t xml:space="preserve"> 20" DEF Single Body </t>
  </si>
  <si>
    <t>120312, 20" DEF+XYZ (xHD) </t>
  </si>
  <si>
    <t>DEF.XYZ.20</t>
  </si>
  <si>
    <t>5/1/2023 3:15:42 PM </t>
  </si>
  <si>
    <t>96196 </t>
  </si>
  <si>
    <t xml:space="preserve"> 20" DEF+XYZ (xHD) </t>
  </si>
  <si>
    <t>125459, 20" DEF2+GMFL+XYZ </t>
  </si>
  <si>
    <t>5/1/2023 3:16:00 PM </t>
  </si>
  <si>
    <t>103838 </t>
  </si>
  <si>
    <t xml:space="preserve"> 20" DEF2+GMFL+XYZ </t>
  </si>
  <si>
    <t>125487, 20" DEF2+GMFL+XYZ </t>
  </si>
  <si>
    <t>5/1/2023 3:16:29 PM </t>
  </si>
  <si>
    <t>103843 </t>
  </si>
  <si>
    <t>125486, 20" DEF2+XYZ </t>
  </si>
  <si>
    <t>5/1/2023 3:22:58 PM </t>
  </si>
  <si>
    <t>103844 </t>
  </si>
  <si>
    <t xml:space="preserve"> 20" DEF2+XYZ </t>
  </si>
  <si>
    <t>127353, 20" MFL+DEF2+XYZ </t>
  </si>
  <si>
    <t>DEF.MFL.XYZ.20</t>
  </si>
  <si>
    <t>11/1/2024 12:33:39 PM </t>
  </si>
  <si>
    <t>104690 </t>
  </si>
  <si>
    <t xml:space="preserve"> 20" MFL+DEF2+XYZ </t>
  </si>
  <si>
    <t>129304, 20" MDS FLEX MFL3+DEF </t>
  </si>
  <si>
    <t>FLEX.DEF.MFL.20</t>
  </si>
  <si>
    <t>5/8/2023 2:15:05 PM </t>
  </si>
  <si>
    <t>106201 </t>
  </si>
  <si>
    <t xml:space="preserve"> 20" MDS FLEX MFL3+DEF </t>
  </si>
  <si>
    <t>129305, 20" MDS FLEX MFL3+DEF+XYZ </t>
  </si>
  <si>
    <t>FLEX.DEF.MFL.XYZ.20</t>
  </si>
  <si>
    <t>5/8/2023 2:14:19 PM </t>
  </si>
  <si>
    <t>106202 </t>
  </si>
  <si>
    <t xml:space="preserve"> 20" MDS FLEX MFL3+DEF+XYZ </t>
  </si>
  <si>
    <t>130184, 20" DEF2+LFM+SMFL3+ULTRA RES MFL, SpirALL MFL </t>
  </si>
  <si>
    <t>DEF.LFM.SMFL.UMFL.XYZ.20</t>
  </si>
  <si>
    <t>11/11/2024 1:31:28 PM </t>
  </si>
  <si>
    <t>107526 </t>
  </si>
  <si>
    <t xml:space="preserve"> 20" DEF2+LFM+SMFL3+ULTRA RES MFL, SpirALL MFL </t>
  </si>
  <si>
    <t>130185, 20" DEF2+LFM+SMFL3+ULTRA RES MFL, SpirALL MFL </t>
  </si>
  <si>
    <t>DEF.LFM.SMFL.UMFL.20</t>
  </si>
  <si>
    <t>11/11/2024 1:31:37 PM </t>
  </si>
  <si>
    <t>107528 </t>
  </si>
  <si>
    <t>130186, 20" MDS FLEX DEF+LFM+ULTRA RES MFL+XYZ </t>
  </si>
  <si>
    <t>DEF.LFM.UMFL.XYZ.20</t>
  </si>
  <si>
    <t>11/11/2024 1:31:49 PM </t>
  </si>
  <si>
    <t>107529 </t>
  </si>
  <si>
    <t xml:space="preserve"> 20" MDS FLEX DEF+LFM+ULTRA RES MFL+XYZ </t>
  </si>
  <si>
    <t>130187, 20" MDS FLEX DEF+LFM+ULTRA RES MFL </t>
  </si>
  <si>
    <t>DEF.LFM.UMFL.20</t>
  </si>
  <si>
    <t>11/11/2024 1:32:00 PM </t>
  </si>
  <si>
    <t>107530 </t>
  </si>
  <si>
    <t xml:space="preserve"> 20" MDS FLEX DEF+LFM+ULTRA RES MFL </t>
  </si>
  <si>
    <t>130188, 20" MDS FLEX DEF+ULTRA RES MFL+XYZ </t>
  </si>
  <si>
    <t>DEF.UMFL.XYZ.20</t>
  </si>
  <si>
    <t>11/11/2024 1:26:43 PM </t>
  </si>
  <si>
    <t>107531 </t>
  </si>
  <si>
    <t xml:space="preserve"> 20" MDS FLEX DEF+ULTRA RES MFL+XYZ </t>
  </si>
  <si>
    <t>130189, 20" MDS FLEX DEF+ULTRA RES MFL </t>
  </si>
  <si>
    <t>DEF.UMFL.20</t>
  </si>
  <si>
    <t>11/11/2024 1:26:57 PM </t>
  </si>
  <si>
    <t>107541 </t>
  </si>
  <si>
    <t xml:space="preserve"> 20" MDS FLEX DEF+ULTRA RES MFL </t>
  </si>
  <si>
    <t>109620, 22" MFL (20-22) + DEF (20-24) ATEX </t>
  </si>
  <si>
    <t>DEF.MFL.22</t>
  </si>
  <si>
    <t>5/8/2023 2:13:58 PM </t>
  </si>
  <si>
    <t>94202 </t>
  </si>
  <si>
    <t xml:space="preserve"> 22" MFL (20-22) + DEF (20-24) ATEX </t>
  </si>
  <si>
    <t>116772, 22" GMFL2+DEF+XYZ ATEX </t>
  </si>
  <si>
    <t>DEF.GMFL.XYZ.22</t>
  </si>
  <si>
    <t>5/1/2023 3:20:25 PM </t>
  </si>
  <si>
    <t>94397 </t>
  </si>
  <si>
    <t xml:space="preserve"> 22" GMFL2+DEF+XYZ ATEX </t>
  </si>
  <si>
    <t>117836, 22" DEF Single Body </t>
  </si>
  <si>
    <t>DEF.22</t>
  </si>
  <si>
    <t>5/1/2023 3:20:46 PM </t>
  </si>
  <si>
    <t>94403 </t>
  </si>
  <si>
    <t xml:space="preserve"> 22" DEF Single Body </t>
  </si>
  <si>
    <t>120369, 22" MFL+DEF+XYZ (xHD) </t>
  </si>
  <si>
    <t>DEF.MFL.XYZ.22</t>
  </si>
  <si>
    <t>5/8/2023 2:27:59 PM </t>
  </si>
  <si>
    <t>96197 </t>
  </si>
  <si>
    <t xml:space="preserve"> 22" MFL+DEF+XYZ (xHD) </t>
  </si>
  <si>
    <t>109627-01, 22" MFL (ATEX) </t>
  </si>
  <si>
    <t>MFL.22</t>
  </si>
  <si>
    <t>5/1/2023 3:13:50 PM </t>
  </si>
  <si>
    <t>97045 </t>
  </si>
  <si>
    <t xml:space="preserve"> 22" MFL (ATEX) </t>
  </si>
  <si>
    <t>102451-01, 22" GMFL2 </t>
  </si>
  <si>
    <t>GMFL.22</t>
  </si>
  <si>
    <t>4/19/2023 1:05:34 PM </t>
  </si>
  <si>
    <t>97047 </t>
  </si>
  <si>
    <t xml:space="preserve"> 22" GMFL2 </t>
  </si>
  <si>
    <t>124936, 22" DEF+XYZ (xHD) </t>
  </si>
  <si>
    <t>DEF.XYZ.22</t>
  </si>
  <si>
    <t>5/1/2023 3:23:54 PM </t>
  </si>
  <si>
    <t>103811 </t>
  </si>
  <si>
    <t xml:space="preserve"> 22" DEF+XYZ (xHD) </t>
  </si>
  <si>
    <t>129500, 22" MFL2+DEF+SpirALL+MFL XYZ+LFM </t>
  </si>
  <si>
    <t>DEF.LFM.MFL.SMFL.XYZ.22</t>
  </si>
  <si>
    <t>4/17/2024 2:56:17 PM </t>
  </si>
  <si>
    <t>106712 </t>
  </si>
  <si>
    <t xml:space="preserve"> 22" MFL2+DEF+SpirALL+MFL XYZ+LFM </t>
  </si>
  <si>
    <t>129501, 22" MFL2+DEF+SMFL+LFM,SpirALL MFL </t>
  </si>
  <si>
    <t>DEF.LFM.MFL.SMFL.22</t>
  </si>
  <si>
    <t>4/18/2024 8:14:25 AM </t>
  </si>
  <si>
    <t>107118 </t>
  </si>
  <si>
    <t xml:space="preserve"> 22" MFL2+DEF+SMFL+LFM,SpirALL MFL </t>
  </si>
  <si>
    <t>129502, 22" MFL2+DEF+SpirALL+MFL+XYZ </t>
  </si>
  <si>
    <t>DEF.MFL.SMFL.XYZ.22</t>
  </si>
  <si>
    <t>4/18/2024 7:23:09 AM </t>
  </si>
  <si>
    <t>107119 </t>
  </si>
  <si>
    <t xml:space="preserve"> 22" MFL2+DEF+SpirALL+MFL+XYZ </t>
  </si>
  <si>
    <t>129503, 22" MFL2+DEF+ SpirALL+MFL </t>
  </si>
  <si>
    <t>DEF.MFL.SMFL.22</t>
  </si>
  <si>
    <t>4/17/2024 3:30:32 PM </t>
  </si>
  <si>
    <t>107122 </t>
  </si>
  <si>
    <t xml:space="preserve"> 22" MFL2+DEF+ SpirALL+MFL </t>
  </si>
  <si>
    <t>129504, 22" MFL2+DEF+LFM+XYZ </t>
  </si>
  <si>
    <t>FLEXDEFLFMMFLXYZ.22</t>
  </si>
  <si>
    <t>5/22/2024 1:17:22 PM </t>
  </si>
  <si>
    <t>107123 </t>
  </si>
  <si>
    <t xml:space="preserve"> 22" MFL2+DEF+LFM+XYZ </t>
  </si>
  <si>
    <t>129505, 22" MFL2+DEF+LFM </t>
  </si>
  <si>
    <t>FLEX.DEF.LFM.MFL.22</t>
  </si>
  <si>
    <t>4/18/2024 7:28:49 AM </t>
  </si>
  <si>
    <t>107124 </t>
  </si>
  <si>
    <t xml:space="preserve"> 22" MFL2+DEF+LFM </t>
  </si>
  <si>
    <t>129506, 22" MFL2+DEF2+XYZ </t>
  </si>
  <si>
    <t>FLEX.DEF.MFL.XYZ.22</t>
  </si>
  <si>
    <t>4/18/2024 7:28:41 AM </t>
  </si>
  <si>
    <t>107125 </t>
  </si>
  <si>
    <t xml:space="preserve"> 22" MFL2+DEF2+XYZ </t>
  </si>
  <si>
    <t>129507, 22" MFL2+DEF2 </t>
  </si>
  <si>
    <t>FLEX.DEF.MFL.22</t>
  </si>
  <si>
    <t>4/18/2024 7:28:32 AM </t>
  </si>
  <si>
    <t>107126 </t>
  </si>
  <si>
    <t xml:space="preserve"> 22" MFL2+DEF2 </t>
  </si>
  <si>
    <t>102958, 24" GMFL2 (22-24) +DEF (20-24) </t>
  </si>
  <si>
    <t>DEF.GMFL.24</t>
  </si>
  <si>
    <t>5/1/2023 3:21:22 PM </t>
  </si>
  <si>
    <t>94042 </t>
  </si>
  <si>
    <t xml:space="preserve"> 24" GMFL2 (22-24) +DEF (20-24) </t>
  </si>
  <si>
    <t>104139, 24" K360 </t>
  </si>
  <si>
    <t>K360.24</t>
  </si>
  <si>
    <t>4/19/2023 1:05:52 PM </t>
  </si>
  <si>
    <t>94070 </t>
  </si>
  <si>
    <t xml:space="preserve"> 24" K360 </t>
  </si>
  <si>
    <t>109346, 24" GMFL2 (xHD) </t>
  </si>
  <si>
    <t>GMFL.24</t>
  </si>
  <si>
    <t>4/19/2023 1:06:21 PM </t>
  </si>
  <si>
    <t>94153 </t>
  </si>
  <si>
    <t xml:space="preserve"> 24" GMFL2 (xHD) </t>
  </si>
  <si>
    <t>109410, 24" DEF (20-24) (xHD) </t>
  </si>
  <si>
    <t>DEF.24</t>
  </si>
  <si>
    <t>4/19/2023 1:06:46 PM </t>
  </si>
  <si>
    <t>94155 </t>
  </si>
  <si>
    <t xml:space="preserve"> 24" DEF (20-24) (xHD) </t>
  </si>
  <si>
    <t>109465, 24" GMFL2+DEF ATEX </t>
  </si>
  <si>
    <t>5/1/2023 3:21:44 PM </t>
  </si>
  <si>
    <t>94156 </t>
  </si>
  <si>
    <t xml:space="preserve"> 24" GMFL2+DEF ATEX </t>
  </si>
  <si>
    <t>110470, 24" MDS FLEX MFL3+DEF+LFM+XYZ </t>
  </si>
  <si>
    <t>FLEXDEFLFMMFLXYZ.24</t>
  </si>
  <si>
    <t>5/22/2024 7:51:58 AM </t>
  </si>
  <si>
    <t>94216 </t>
  </si>
  <si>
    <t xml:space="preserve"> 24" MDS FLEX MFL3+DEF+LFM+XYZ </t>
  </si>
  <si>
    <t>110639, 24" DEF1+XYZ(20-24) ATEX </t>
  </si>
  <si>
    <t>DEF.XYZ.24 </t>
  </si>
  <si>
    <t>5/1/2023 3:22:00 PM </t>
  </si>
  <si>
    <t>94223 </t>
  </si>
  <si>
    <t xml:space="preserve"> 24" DEF1+XYZ(20-24) ATEX </t>
  </si>
  <si>
    <t>111453, 24" GMFL2 (xHD ATEX) </t>
  </si>
  <si>
    <t>4/19/2023 1:08:22 PM </t>
  </si>
  <si>
    <t>94233 </t>
  </si>
  <si>
    <t xml:space="preserve"> 24" GMFL2 (xHD ATEX) </t>
  </si>
  <si>
    <t>111481, 24" MFL3+DEF+SpirALL® MFL+XYZ+LFM </t>
  </si>
  <si>
    <t>DEF.LFM.MFL.SMFL.XYZ.24</t>
  </si>
  <si>
    <t>10/1/2025 1:44:28 PM </t>
  </si>
  <si>
    <t>94235 </t>
  </si>
  <si>
    <t xml:space="preserve"> 24" MFL3+DEF+SpirALL® MFL+XYZ+LFM </t>
  </si>
  <si>
    <t>113651, 24" MFL3+DEF+SpirALL® MFL+LFM </t>
  </si>
  <si>
    <t>DEF.LFM.MFL.SMFL.24</t>
  </si>
  <si>
    <t>4/24/2023 3:55:51 PM </t>
  </si>
  <si>
    <t>94334 </t>
  </si>
  <si>
    <t xml:space="preserve"> 24" MFL3+DEF+SpirALL® MFL+LFM </t>
  </si>
  <si>
    <t>113660, 24" MDS FLEX MFL3+DEF+LFM </t>
  </si>
  <si>
    <t>FLEX.DEF.LFM.MFL.24</t>
  </si>
  <si>
    <t>4/19/2023 1:13:17 PM </t>
  </si>
  <si>
    <t>94335 </t>
  </si>
  <si>
    <t xml:space="preserve"> 24" MDS FLEX MFL3+DEF+LFM </t>
  </si>
  <si>
    <t>114485, 24" GMFL2+DEF+XYZ ATEX </t>
  </si>
  <si>
    <t>DEF.GMFL.XYZ.24</t>
  </si>
  <si>
    <t>5/1/2023 3:23:35 PM </t>
  </si>
  <si>
    <t>94354 </t>
  </si>
  <si>
    <t xml:space="preserve"> 24" GMFL2+DEF+XYZ ATEX </t>
  </si>
  <si>
    <t>114495, 24" GMFL2+XYZ </t>
  </si>
  <si>
    <t>GMFL.XYZ.24</t>
  </si>
  <si>
    <t>5/1/2023 3:25:21 PM </t>
  </si>
  <si>
    <t>94356 </t>
  </si>
  <si>
    <t xml:space="preserve"> 24" GMFL2+XYZ </t>
  </si>
  <si>
    <t>114661, 24" DEF (Short) </t>
  </si>
  <si>
    <t>4/19/2023 1:14:36 PM </t>
  </si>
  <si>
    <t>94370 </t>
  </si>
  <si>
    <t xml:space="preserve"> 24" DEF (Short) </t>
  </si>
  <si>
    <t>114681, 24" DEF+XYZ ATEX </t>
  </si>
  <si>
    <t>DEF.XYZ.24</t>
  </si>
  <si>
    <t>5/1/2023 3:22:21 PM </t>
  </si>
  <si>
    <t>94372 </t>
  </si>
  <si>
    <t xml:space="preserve"> 24" DEF+XYZ ATEX </t>
  </si>
  <si>
    <t>111895, 24" GMFL2+XYZ (ATEX) </t>
  </si>
  <si>
    <t>4/24/2023 3:51:16 PM </t>
  </si>
  <si>
    <t>98964 </t>
  </si>
  <si>
    <t xml:space="preserve"> 24" GMFL2+XYZ (ATEX) </t>
  </si>
  <si>
    <t>125460, 24" DEF2+GMFL+XYZ </t>
  </si>
  <si>
    <t>5/1/2023 3:22:41 PM </t>
  </si>
  <si>
    <t>103842 </t>
  </si>
  <si>
    <t xml:space="preserve"> 24" DEF2+GMFL+XYZ </t>
  </si>
  <si>
    <t>129306, 24" MDS FLEX MFL+DEF </t>
  </si>
  <si>
    <t>FLEX.DEF.MFL.24</t>
  </si>
  <si>
    <t>5/8/2023 2:16:23 PM </t>
  </si>
  <si>
    <t>106211 </t>
  </si>
  <si>
    <t xml:space="preserve"> 24" MDS FLEX MFL+DEF </t>
  </si>
  <si>
    <t>129307, 24" MDS FLEX MFL+DEF+XYZ </t>
  </si>
  <si>
    <t>FLEX.DEF.MFL.XYZ.24</t>
  </si>
  <si>
    <t>5/8/2023 2:15:55 PM </t>
  </si>
  <si>
    <t>106212 </t>
  </si>
  <si>
    <t xml:space="preserve"> 24" MDS FLEX MFL+DEF+XYZ </t>
  </si>
  <si>
    <t>130190, 24" MDS DEF2+LFM+SMFL3+ULTRA RES MFL, SpirALL MFL </t>
  </si>
  <si>
    <t>DEF.LFM.SMFL.UMFL.XYZ.24</t>
  </si>
  <si>
    <t>11/11/2024 1:32:12 PM </t>
  </si>
  <si>
    <t>107548 </t>
  </si>
  <si>
    <t xml:space="preserve"> 24" MDS DEF2+LFM+SMFL3+ULTRA RES MFL, SpirALL MFL </t>
  </si>
  <si>
    <t>130191, 24" MDS DEF2+LFM+SMFL3+ULTRA RES MFL, SpirALL MFL </t>
  </si>
  <si>
    <t>DEF.LFM.SMFL.UMFL.24</t>
  </si>
  <si>
    <t>11/11/2024 1:32:22 PM </t>
  </si>
  <si>
    <t>107551 </t>
  </si>
  <si>
    <t>130192, 24" MDS FLEX DEF+LFM+ULTRA RES MFL+XYZ </t>
  </si>
  <si>
    <t>DEF.LFM.UMFL.XYZ.24</t>
  </si>
  <si>
    <t>11/11/2024 1:32:33 PM </t>
  </si>
  <si>
    <t>107552 </t>
  </si>
  <si>
    <t xml:space="preserve"> 24" MDS FLEX DEF+LFM+ULTRA RES MFL+XYZ </t>
  </si>
  <si>
    <t>130193, 24" MDS FLEX DEF+LFM+ULTRA RES MFL+XYZ </t>
  </si>
  <si>
    <t>DEF.LFM.UMFL.24</t>
  </si>
  <si>
    <t>11/11/2024 1:32:47 PM </t>
  </si>
  <si>
    <t>107553 </t>
  </si>
  <si>
    <t>130194, 24" MDS FLEX DEF+ULTRA RES MFL+XYZ </t>
  </si>
  <si>
    <t>DEF.UMFL.XYZ.24</t>
  </si>
  <si>
    <t>11/11/2024 1:27:25 PM </t>
  </si>
  <si>
    <t>107554 </t>
  </si>
  <si>
    <t xml:space="preserve"> 24" MDS FLEX DEF+ULTRA RES MFL+XYZ </t>
  </si>
  <si>
    <t>130195, 24" MDS FLEX DEF+ULTRA RES MFL </t>
  </si>
  <si>
    <t>DEF.UMFL.24</t>
  </si>
  <si>
    <t>11/11/2024 1:27:38 PM </t>
  </si>
  <si>
    <t>107555 </t>
  </si>
  <si>
    <t xml:space="preserve"> 24" MDS FLEX DEF+ULTRA RES MFL </t>
  </si>
  <si>
    <t>102861, 26" K360 </t>
  </si>
  <si>
    <t>K360.26</t>
  </si>
  <si>
    <t>5/1/2023 3:25:40 PM </t>
  </si>
  <si>
    <t>94040 </t>
  </si>
  <si>
    <t xml:space="preserve"> 26" K360 </t>
  </si>
  <si>
    <t>110251, 26" GMFL (xHD) </t>
  </si>
  <si>
    <t>GMFL.26</t>
  </si>
  <si>
    <t>4/19/2023 1:16:24 PM </t>
  </si>
  <si>
    <t>94212 </t>
  </si>
  <si>
    <t xml:space="preserve"> 26" GMFL (xHD) </t>
  </si>
  <si>
    <t>110890, 26" DEF (26-30) (xHD) </t>
  </si>
  <si>
    <t>DEF.26</t>
  </si>
  <si>
    <t>4/19/2023 1:16:50 PM </t>
  </si>
  <si>
    <t>94232 </t>
  </si>
  <si>
    <t xml:space="preserve"> 26" DEF (26-30) (xHD) </t>
  </si>
  <si>
    <t>114433, 26" GMFL+DEF+XYZ (xHD) </t>
  </si>
  <si>
    <t>DEF.GMFL.XYZ.26</t>
  </si>
  <si>
    <t>5/1/2023 3:30:04 PM </t>
  </si>
  <si>
    <t>94353 </t>
  </si>
  <si>
    <t xml:space="preserve"> 26" GMFL+DEF+XYZ (xHD) </t>
  </si>
  <si>
    <t>114486, 26" GMFL ATEX </t>
  </si>
  <si>
    <t>4/24/2023 3:44:05 PM </t>
  </si>
  <si>
    <t>94355 </t>
  </si>
  <si>
    <t xml:space="preserve"> 26" GMFL ATEX </t>
  </si>
  <si>
    <t>114879, 26" DEF+XYZ (xHD) </t>
  </si>
  <si>
    <t>DEF.XYZ.26</t>
  </si>
  <si>
    <t>5/1/2023 3:26:07 PM </t>
  </si>
  <si>
    <t>94380 </t>
  </si>
  <si>
    <t xml:space="preserve"> 26" DEF+XYZ (xHD) </t>
  </si>
  <si>
    <t>120816, 26" GMFL+DEF (xHD) </t>
  </si>
  <si>
    <t>DEF.GMFL.26</t>
  </si>
  <si>
    <t>5/1/2023 3:26:26 PM </t>
  </si>
  <si>
    <t>96202 </t>
  </si>
  <si>
    <t xml:space="preserve"> 26" GMFL+DEF (xHD) </t>
  </si>
  <si>
    <t>122700, 26" MFL+DEF2+SMFL+XYZ+LFM </t>
  </si>
  <si>
    <t>DEF.LFM.MFL.SMFL.XYZ.26</t>
  </si>
  <si>
    <t>4/24/2023 3:59:19 PM </t>
  </si>
  <si>
    <t>98534 </t>
  </si>
  <si>
    <t xml:space="preserve"> 26" MFL+DEF2+SMFL+XYZ+LFM </t>
  </si>
  <si>
    <t>122701, 26" MFL+DEF2+SMFL+LFM </t>
  </si>
  <si>
    <t>DEF.LFM.MFL.SMFL.26</t>
  </si>
  <si>
    <t>4/24/2023 3:59:33 PM </t>
  </si>
  <si>
    <t>98538 </t>
  </si>
  <si>
    <t xml:space="preserve"> 26" MFL+DEF2+SMFL+LFM </t>
  </si>
  <si>
    <t>122702, 26" MDS FLEX MFL+DEF2+XYZ+LFM </t>
  </si>
  <si>
    <t>FLEXDEFLFMMFLXYZ.26</t>
  </si>
  <si>
    <t>5/22/2024 7:52:07 AM </t>
  </si>
  <si>
    <t>98541 </t>
  </si>
  <si>
    <t xml:space="preserve"> 26" MDS FLEX MFL+DEF2+XYZ+LFM </t>
  </si>
  <si>
    <t>122703, 26" MDS FLEX MFL+DEF2+LFM </t>
  </si>
  <si>
    <t>FLEX.DEF.LFM.MFL.26</t>
  </si>
  <si>
    <t>4/19/2023 1:18:39 PM </t>
  </si>
  <si>
    <t>98543 </t>
  </si>
  <si>
    <t xml:space="preserve"> 26" MDS FLEX MFL+DEF2+LFM </t>
  </si>
  <si>
    <t>122710, 26" MFL+DEF2+SMFL+XYZ+LFM ATEX </t>
  </si>
  <si>
    <t>4/24/2023 3:59:48 PM </t>
  </si>
  <si>
    <t>98544 </t>
  </si>
  <si>
    <t xml:space="preserve"> 26" MFL+DEF2+SMFL+XYZ+LFM ATEX </t>
  </si>
  <si>
    <t>122711, 26" MFL+DEF2+SMFL+LFM ATEX </t>
  </si>
  <si>
    <t>4/24/2023 4:00:03 PM </t>
  </si>
  <si>
    <t>98545 </t>
  </si>
  <si>
    <t xml:space="preserve"> 26" MFL+DEF2+SMFL+LFM ATEX </t>
  </si>
  <si>
    <t>122712, 26" MDS FLEX MFL+DEF2+XYZ+LFM ATEX </t>
  </si>
  <si>
    <t>DEF.LFM.MFL.XYZ.26</t>
  </si>
  <si>
    <t>4/19/2023 1:19:41 PM </t>
  </si>
  <si>
    <t>98546 </t>
  </si>
  <si>
    <t xml:space="preserve"> 26" MDS FLEX MFL+DEF2+XYZ+LFM ATEX </t>
  </si>
  <si>
    <t>122713, 26" MDS FLEX MFL+DEF2+LFM ATEX </t>
  </si>
  <si>
    <t>DEF.LFM.MFL.26</t>
  </si>
  <si>
    <t>4/19/2023 1:20:04 PM </t>
  </si>
  <si>
    <t>98549 </t>
  </si>
  <si>
    <t xml:space="preserve"> 26" MDS FLEX MFL+DEF2+LFM ATEX </t>
  </si>
  <si>
    <t>124832, 26" DEF (Single Body) </t>
  </si>
  <si>
    <t>12/22/2025 1:26:00 PM </t>
  </si>
  <si>
    <t>103893 </t>
  </si>
  <si>
    <t xml:space="preserve"> 26" DEF (Single Body) </t>
  </si>
  <si>
    <t>129308, 26" MDS FLEX MFL+DEF </t>
  </si>
  <si>
    <t>FLEX.DEF.MFL.26</t>
  </si>
  <si>
    <t>5/8/2023 2:15:38 PM </t>
  </si>
  <si>
    <t>106213 </t>
  </si>
  <si>
    <t xml:space="preserve"> 26" MDS FLEX MFL+DEF </t>
  </si>
  <si>
    <t>129309, 26" MDS FLEX MFL+DEF+XYZ </t>
  </si>
  <si>
    <t>FLEX.DEF.MFL.XYZ.26</t>
  </si>
  <si>
    <t>5/8/2023 2:26:30 PM </t>
  </si>
  <si>
    <t>106214 </t>
  </si>
  <si>
    <t xml:space="preserve"> 26" MDS FLEX MFL+DEF+XYZ </t>
  </si>
  <si>
    <t>104140, 28" K360 </t>
  </si>
  <si>
    <t>K360.28</t>
  </si>
  <si>
    <t>5/1/2023 3:27:08 PM </t>
  </si>
  <si>
    <t>94071 </t>
  </si>
  <si>
    <t xml:space="preserve"> 28" K360 </t>
  </si>
  <si>
    <t>113574, 28" DEF+XYZ (xHD) </t>
  </si>
  <si>
    <t>DEF.XYZ.28</t>
  </si>
  <si>
    <t>5/1/2023 3:27:29 PM </t>
  </si>
  <si>
    <t>94322 </t>
  </si>
  <si>
    <t xml:space="preserve"> 28" DEF+XYZ (xHD) </t>
  </si>
  <si>
    <t>113608, 28" GMFL ATEX </t>
  </si>
  <si>
    <t>GMFL.28</t>
  </si>
  <si>
    <t>5/1/2023 3:30:26 PM </t>
  </si>
  <si>
    <t>94330 </t>
  </si>
  <si>
    <t xml:space="preserve"> 28" GMFL ATEX </t>
  </si>
  <si>
    <t>114420, 28" GMFL+DEF+XYZ (xHD) </t>
  </si>
  <si>
    <t>DEF.GMFL.XYZ.28</t>
  </si>
  <si>
    <t>5/1/2023 3:29:46 PM </t>
  </si>
  <si>
    <t>94351 </t>
  </si>
  <si>
    <t xml:space="preserve"> 28" GMFL+DEF+XYZ (xHD) </t>
  </si>
  <si>
    <t>104141, 30" K360 </t>
  </si>
  <si>
    <t>K360.30</t>
  </si>
  <si>
    <t>5/1/2023 3:27:51 PM </t>
  </si>
  <si>
    <t>94072 </t>
  </si>
  <si>
    <t xml:space="preserve"> 30" K360 </t>
  </si>
  <si>
    <t>109938, 30" GMFL2 (HW) </t>
  </si>
  <si>
    <t>GMFL.30</t>
  </si>
  <si>
    <t>4/19/2023 1:27:08 PM </t>
  </si>
  <si>
    <t>94207 </t>
  </si>
  <si>
    <t xml:space="preserve"> 30" GMFL2 (HW) </t>
  </si>
  <si>
    <t>110486, 30" GMFL (28-30) (xHD) </t>
  </si>
  <si>
    <t>4/19/2023 1:27:34 PM </t>
  </si>
  <si>
    <t>94217 </t>
  </si>
  <si>
    <t xml:space="preserve"> 30" GMFL (28-30) (xHD) </t>
  </si>
  <si>
    <t>111694, 30" DEF (26-30) (xHD) </t>
  </si>
  <si>
    <t>DEF.30</t>
  </si>
  <si>
    <t>4/19/2023 1:27:57 PM </t>
  </si>
  <si>
    <t>94239 </t>
  </si>
  <si>
    <t xml:space="preserve"> 30" DEF (26-30) (xHD) </t>
  </si>
  <si>
    <t>111782, 30" GMFL+DEF (xHD) </t>
  </si>
  <si>
    <t>DEF.GMFL.30</t>
  </si>
  <si>
    <t>5/1/2023 3:28:09 PM </t>
  </si>
  <si>
    <t>94240 </t>
  </si>
  <si>
    <t xml:space="preserve"> 30" GMFL+DEF (xHD) </t>
  </si>
  <si>
    <t>113922, 30" GMFL+DEF+XYZ (xHD) </t>
  </si>
  <si>
    <t>DEF.GMFL.XYZ.30</t>
  </si>
  <si>
    <t>5/1/2023 3:28:25 PM </t>
  </si>
  <si>
    <t>94336 </t>
  </si>
  <si>
    <t xml:space="preserve"> 30" GMFL+DEF+XYZ (xHD) </t>
  </si>
  <si>
    <t>114533, 30" GMFL ATEX </t>
  </si>
  <si>
    <t>5/8/2023 2:18:50 PM </t>
  </si>
  <si>
    <t>94358 </t>
  </si>
  <si>
    <t xml:space="preserve"> 30" GMFL ATEX </t>
  </si>
  <si>
    <t>114596, 30" DEF+XYZ ATEX </t>
  </si>
  <si>
    <t>DEF.XYZ.30</t>
  </si>
  <si>
    <t>5/1/2023 3:28:48 PM </t>
  </si>
  <si>
    <t>94363 </t>
  </si>
  <si>
    <t xml:space="preserve"> 30" DEF+XYZ ATEX </t>
  </si>
  <si>
    <t>114682, 30" DEF+XYZ (xHD) </t>
  </si>
  <si>
    <t>5/1/2023 3:29:07 PM </t>
  </si>
  <si>
    <t>94373 </t>
  </si>
  <si>
    <t xml:space="preserve"> 30" DEF+XYZ (xHD) </t>
  </si>
  <si>
    <t>115171, 30" DEF (xHD) (Short) </t>
  </si>
  <si>
    <t>4/19/2023 1:32:00 PM </t>
  </si>
  <si>
    <t>94387 </t>
  </si>
  <si>
    <t xml:space="preserve"> 30" DEF (xHD) (Short) </t>
  </si>
  <si>
    <t>115600-01-02-02-01, 30" MFL+DEF+SpirALL® MFL+LFM+XYZ </t>
  </si>
  <si>
    <t>DEF.LFM.MFL.SMFL.XYZ.30</t>
  </si>
  <si>
    <t>4/24/2023 3:56:35 PM </t>
  </si>
  <si>
    <t>94429 </t>
  </si>
  <si>
    <t xml:space="preserve"> 30" MFL+DEF+SpirALL® MFL+LFM+XYZ </t>
  </si>
  <si>
    <t>115600-01-00-02-01, 30" MDS FLEX MFL+DEF+LFM+XYZ </t>
  </si>
  <si>
    <t>FLEXDEFLFMMFLXYZ.30</t>
  </si>
  <si>
    <t>5/22/2024 7:52:15 AM </t>
  </si>
  <si>
    <t>94430 </t>
  </si>
  <si>
    <t xml:space="preserve"> 30" MDS FLEX MFL+DEF+LFM+XYZ </t>
  </si>
  <si>
    <t>115600-01-00-01-01, 30" MDS FLEX MFL+DEF+LFM </t>
  </si>
  <si>
    <t>FLEX.DEF.LFM.MFL.30</t>
  </si>
  <si>
    <t>4/19/2023 1:34:03 PM </t>
  </si>
  <si>
    <t>94769 </t>
  </si>
  <si>
    <t xml:space="preserve"> 30" MDS FLEX MFL+DEF+LFM </t>
  </si>
  <si>
    <t>115600-01-02-01-01, 30" MFL+DEF+LFM+SMFL </t>
  </si>
  <si>
    <t>DEF.LFM.MFL.SMFL.30</t>
  </si>
  <si>
    <t>4/24/2023 3:56:52 PM </t>
  </si>
  <si>
    <t>94770 </t>
  </si>
  <si>
    <t xml:space="preserve"> 30" MFL+DEF+LFM+SMFL </t>
  </si>
  <si>
    <t>124764, 30" DEF+XYZ (Single Body) </t>
  </si>
  <si>
    <t>5/1/2023 3:29:26 PM </t>
  </si>
  <si>
    <t>103306 </t>
  </si>
  <si>
    <t xml:space="preserve"> 30" DEF+XYZ (Single Body) </t>
  </si>
  <si>
    <t>129310, 30" MDS FLEX MFL+DEF </t>
  </si>
  <si>
    <t>FLEX.DEF.MFL.30</t>
  </si>
  <si>
    <t>5/8/2023 2:16:42 PM </t>
  </si>
  <si>
    <t>106215 </t>
  </si>
  <si>
    <t xml:space="preserve"> 30" MDS FLEX MFL+DEF </t>
  </si>
  <si>
    <t>129311, 30" MDS FLEX MFL+DEF+XYZ </t>
  </si>
  <si>
    <t>FLEX.DEF.MFL.XYZ.30</t>
  </si>
  <si>
    <t>5/8/2023 2:16:55 PM </t>
  </si>
  <si>
    <t>106216 </t>
  </si>
  <si>
    <t xml:space="preserve"> 30" MDS FLEX MFL+DEF+XYZ </t>
  </si>
  <si>
    <t>130197, 30" DEF+ULTRA RES MFL+LFM+SMFL </t>
  </si>
  <si>
    <t>DEF.LFM.SMFL.UMFL.30</t>
  </si>
  <si>
    <t>11/11/2024 1:33:14 PM </t>
  </si>
  <si>
    <t>107620 </t>
  </si>
  <si>
    <t xml:space="preserve"> 30" DEF+ULTRA RES MFL+LFM+SMFL </t>
  </si>
  <si>
    <t>130199, 30" MDS FLEX DEF+ULTRA RES MFL+LFM </t>
  </si>
  <si>
    <t>DEF.LFM.UMFL.30</t>
  </si>
  <si>
    <t>12/11/2025 8:03:49 AM </t>
  </si>
  <si>
    <t>107622 </t>
  </si>
  <si>
    <t xml:space="preserve"> 30" MDS FLEX DEF+ULTRA RES MFL+LFM </t>
  </si>
  <si>
    <t>130196, 30" DEF+LFM+SpirALL MFL+ULTRA RES MFL+XYZ </t>
  </si>
  <si>
    <t>DEF.LFM.SMFL.UMFL.XYZ.30</t>
  </si>
  <si>
    <t>12/11/2025 8:04:53 AM </t>
  </si>
  <si>
    <t>107630 </t>
  </si>
  <si>
    <t xml:space="preserve"> 30" DEF+LFM+SpirALL MFL+ULTRA RES MFL+XYZ </t>
  </si>
  <si>
    <t>130201, 30" MDS FLEX DEF+ULTRA RES MFL </t>
  </si>
  <si>
    <t>DEF.UMFL.30</t>
  </si>
  <si>
    <t>12/11/2025 8:03:21 AM </t>
  </si>
  <si>
    <t>108345 </t>
  </si>
  <si>
    <t xml:space="preserve"> 30" MDS FLEX DEF+ULTRA RES MFL </t>
  </si>
  <si>
    <t>130200, 30" MDS FLEX DEF+ULTRA RES MFL+XYZ </t>
  </si>
  <si>
    <t>DEF.UMFL.XYZ.30</t>
  </si>
  <si>
    <t>12/11/2025 8:05:20 AM </t>
  </si>
  <si>
    <t>108346 </t>
  </si>
  <si>
    <t xml:space="preserve"> 30" MDS FLEX DEF+ULTRA RES MFL+XYZ </t>
  </si>
  <si>
    <t>113606, 32" DEF ATEX </t>
  </si>
  <si>
    <t>DEF.32</t>
  </si>
  <si>
    <t>4/19/2023 1:35:59 PM </t>
  </si>
  <si>
    <t>94329 </t>
  </si>
  <si>
    <t xml:space="preserve"> 32" DEF ATEX </t>
  </si>
  <si>
    <t>113946, 32" DEF+XYZ ATEX </t>
  </si>
  <si>
    <t>DEF.XYZ.32</t>
  </si>
  <si>
    <t>5/8/2023 2:21:28 PM </t>
  </si>
  <si>
    <t>94340 </t>
  </si>
  <si>
    <t xml:space="preserve"> 32" DEF+XYZ ATEX </t>
  </si>
  <si>
    <t>114409, 32" GMFL+DEF+XYZ (xHD) </t>
  </si>
  <si>
    <t>DEF.GMFL.XYZ.32</t>
  </si>
  <si>
    <t>5/1/2023 3:34:13 PM </t>
  </si>
  <si>
    <t>94349 </t>
  </si>
  <si>
    <t xml:space="preserve"> 32" GMFL+DEF+XYZ (xHD) </t>
  </si>
  <si>
    <t>114724, 32" DEF+XYZ (xHD) </t>
  </si>
  <si>
    <t>5/1/2023 3:31:19 PM </t>
  </si>
  <si>
    <t>94376 </t>
  </si>
  <si>
    <t xml:space="preserve"> 32" DEF+XYZ (xHD) </t>
  </si>
  <si>
    <t>115475, 32" DEF (xHD) </t>
  </si>
  <si>
    <t>4/19/2023 1:37:57 PM </t>
  </si>
  <si>
    <t>94390 </t>
  </si>
  <si>
    <t xml:space="preserve"> 32" DEF (xHD) </t>
  </si>
  <si>
    <t>102446, 32" K360 </t>
  </si>
  <si>
    <t>K360.32</t>
  </si>
  <si>
    <t>5/8/2023 2:13:06 PM </t>
  </si>
  <si>
    <t>97508 </t>
  </si>
  <si>
    <t xml:space="preserve"> 32" K360 </t>
  </si>
  <si>
    <t>114382, 34" GMFL+DEF+XYZ (xHD) </t>
  </si>
  <si>
    <t>DEF.GMFL.XYZ.34</t>
  </si>
  <si>
    <t>5/8/2023 2:18:18 PM </t>
  </si>
  <si>
    <t>94346 </t>
  </si>
  <si>
    <t xml:space="preserve"> 34" GMFL+DEF+XYZ (xHD) </t>
  </si>
  <si>
    <t>114683, 34" DEF+XYZ (xHD) </t>
  </si>
  <si>
    <t>DEF.XYZ.34</t>
  </si>
  <si>
    <t>5/8/2023 2:17:31 PM </t>
  </si>
  <si>
    <t>94374 </t>
  </si>
  <si>
    <t xml:space="preserve"> 34" DEF+XYZ (xHD) </t>
  </si>
  <si>
    <t>120839, 34" DEF (xHD) </t>
  </si>
  <si>
    <t>DEF.34</t>
  </si>
  <si>
    <t>4/19/2023 1:38:54 PM </t>
  </si>
  <si>
    <t>96203 </t>
  </si>
  <si>
    <t xml:space="preserve"> 34" DEF (xHD) </t>
  </si>
  <si>
    <t>104143, 36" K360 (32-38) </t>
  </si>
  <si>
    <t>K360.36</t>
  </si>
  <si>
    <t>4/19/2023 1:39:13 PM </t>
  </si>
  <si>
    <t>94073 </t>
  </si>
  <si>
    <t xml:space="preserve"> 36" K360 (32-38) </t>
  </si>
  <si>
    <t>107400, 48x36" DEF+XYZ DUAL DIAMETER </t>
  </si>
  <si>
    <t>DEF.XYZ.36.48</t>
  </si>
  <si>
    <t>4/19/2023 4:04:12 PM </t>
  </si>
  <si>
    <t>94115 </t>
  </si>
  <si>
    <t xml:space="preserve"> 48x36" DEF+XYZ DUAL DIAMETER </t>
  </si>
  <si>
    <t>110067, 36" DEF (Short) </t>
  </si>
  <si>
    <t>DEF.36</t>
  </si>
  <si>
    <t>4/19/2023 1:39:34 PM </t>
  </si>
  <si>
    <t>94209 </t>
  </si>
  <si>
    <t xml:space="preserve"> 36" DEF (Short) </t>
  </si>
  <si>
    <t>110533, 36" GMFL (xHD) </t>
  </si>
  <si>
    <t>GMFL.36</t>
  </si>
  <si>
    <t>5/1/2023 3:36:05 PM </t>
  </si>
  <si>
    <t>94219 </t>
  </si>
  <si>
    <t xml:space="preserve"> 36" GMFL (xHD) </t>
  </si>
  <si>
    <t>111601, 36" GMFL (32-36) ATEX </t>
  </si>
  <si>
    <t>5/1/2023 3:35:49 PM </t>
  </si>
  <si>
    <t>94237 </t>
  </si>
  <si>
    <t xml:space="preserve"> 36" GMFL (32-36) ATEX </t>
  </si>
  <si>
    <t>112573, 36" GMFL+DEF (xHD) </t>
  </si>
  <si>
    <t>DEF.GMFL.36</t>
  </si>
  <si>
    <t>5/1/2023 3:35:31 PM </t>
  </si>
  <si>
    <t>94308 </t>
  </si>
  <si>
    <t xml:space="preserve"> 36" GMFL+DEF (xHD) </t>
  </si>
  <si>
    <t>112574, 36" DEF (xHD) </t>
  </si>
  <si>
    <t>4/19/2023 1:41:42 PM </t>
  </si>
  <si>
    <t>94309 </t>
  </si>
  <si>
    <t xml:space="preserve"> 36" DEF (xHD) </t>
  </si>
  <si>
    <t>113592, 36" DEF+XYZ (xHD) </t>
  </si>
  <si>
    <t>DEF.XYZ.36</t>
  </si>
  <si>
    <t>5/1/2023 3:35:11 PM </t>
  </si>
  <si>
    <t>94326 </t>
  </si>
  <si>
    <t xml:space="preserve"> 36" DEF+XYZ (xHD) </t>
  </si>
  <si>
    <t>113945, 36" DEF ATEX </t>
  </si>
  <si>
    <t>4/19/2023 1:44:00 PM </t>
  </si>
  <si>
    <t>94339 </t>
  </si>
  <si>
    <t xml:space="preserve"> 36" DEF ATEX </t>
  </si>
  <si>
    <t>114349, 36" GMFL+DEF+XYZ (xHD) </t>
  </si>
  <si>
    <t>DEF.GMFL.XYZ.36</t>
  </si>
  <si>
    <t>5/1/2023 3:34:53 PM </t>
  </si>
  <si>
    <t>94341 </t>
  </si>
  <si>
    <t xml:space="preserve"> 36" GMFL+DEF+XYZ (xHD) </t>
  </si>
  <si>
    <t>114364, 36" DEF+XYZ ATEX </t>
  </si>
  <si>
    <t>5/1/2023 3:34:34 PM </t>
  </si>
  <si>
    <t>94344 </t>
  </si>
  <si>
    <t xml:space="preserve"> 36" DEF+XYZ ATEX </t>
  </si>
  <si>
    <t>126101, 36" DEF+XYZ (Single Body) </t>
  </si>
  <si>
    <t>5/8/2023 2:32:14 PM </t>
  </si>
  <si>
    <t>104855 </t>
  </si>
  <si>
    <t xml:space="preserve"> 36" DEF+XYZ (Single Body) </t>
  </si>
  <si>
    <t>101600, 42" K360 (40-48) </t>
  </si>
  <si>
    <t>K360.42</t>
  </si>
  <si>
    <t>4/19/2023 4:00:37 PM </t>
  </si>
  <si>
    <t>94027 </t>
  </si>
  <si>
    <t xml:space="preserve"> 42" K360 (40-48) </t>
  </si>
  <si>
    <t>110179, 42" DEF (Short) </t>
  </si>
  <si>
    <t>DEF.42</t>
  </si>
  <si>
    <t>4/19/2023 4:00:55 PM </t>
  </si>
  <si>
    <t>94210 </t>
  </si>
  <si>
    <t xml:space="preserve"> 42" DEF (Short) </t>
  </si>
  <si>
    <t>111622, 42" GMFL (xHD) </t>
  </si>
  <si>
    <t>GMFL.42</t>
  </si>
  <si>
    <t>5/1/2023 3:32:18 PM </t>
  </si>
  <si>
    <t>94238 </t>
  </si>
  <si>
    <t xml:space="preserve"> 42" GMFL (xHD) </t>
  </si>
  <si>
    <t>113557, 42" GMFL+DEF+XYZ (xHD) </t>
  </si>
  <si>
    <t>5/1/2023 3:33:21 PM </t>
  </si>
  <si>
    <t>94320 </t>
  </si>
  <si>
    <t xml:space="preserve"> 42" GMFL+DEF+XYZ (xHD) </t>
  </si>
  <si>
    <t>113590, 42" DEF+XYZ (xHD) </t>
  </si>
  <si>
    <t>DEF.XYZ.42</t>
  </si>
  <si>
    <t>5/1/2023 3:33:01 PM </t>
  </si>
  <si>
    <t>94325 </t>
  </si>
  <si>
    <t xml:space="preserve"> 42" DEF+XYZ (xHD) </t>
  </si>
  <si>
    <t>114655, 42" GMFL+DEF+XYZ (xHD) </t>
  </si>
  <si>
    <t>5/1/2023 3:32:41 PM </t>
  </si>
  <si>
    <t>94367 </t>
  </si>
  <si>
    <t>116951, 42" GMFL ATEX </t>
  </si>
  <si>
    <t>4/19/2023 4:02:30 PM </t>
  </si>
  <si>
    <t>94400 </t>
  </si>
  <si>
    <t xml:space="preserve"> 42" GMFL ATEX </t>
  </si>
  <si>
    <t>116952, 42" GMFL+DEF+XYZ ATEX </t>
  </si>
  <si>
    <t>5/8/2023 2:27:02 PM </t>
  </si>
  <si>
    <t>94401 </t>
  </si>
  <si>
    <t xml:space="preserve"> 42" GMFL+DEF+XYZ ATEX </t>
  </si>
  <si>
    <t>111884-03, 42" DEF (38-42) (xHD) </t>
  </si>
  <si>
    <t>4/19/2023 3:59:23 PM </t>
  </si>
  <si>
    <t>94421 </t>
  </si>
  <si>
    <t xml:space="preserve"> 42" DEF (38-42) (xHD) </t>
  </si>
  <si>
    <t>111884-03</t>
  </si>
  <si>
    <t>116950-03, 42" DEF ATEX </t>
  </si>
  <si>
    <t>4/19/2023 4:00:16 PM </t>
  </si>
  <si>
    <t>94433 </t>
  </si>
  <si>
    <t xml:space="preserve"> 42" DEF ATEX </t>
  </si>
  <si>
    <t>127865, 42" DEF+GMFL </t>
  </si>
  <si>
    <t>DEF.GMFL.42</t>
  </si>
  <si>
    <t>5/8/2023 2:28:54 PM </t>
  </si>
  <si>
    <t>105959 </t>
  </si>
  <si>
    <t xml:space="preserve"> 42" DEF+GMFL </t>
  </si>
  <si>
    <t>101852, 48" K360 (40-48) </t>
  </si>
  <si>
    <t>K360.48</t>
  </si>
  <si>
    <t>4/19/2023 4:03:22 PM </t>
  </si>
  <si>
    <t>94028 </t>
  </si>
  <si>
    <t xml:space="preserve"> 48" K360 (40-48) </t>
  </si>
  <si>
    <t>103550, 48" GMFL </t>
  </si>
  <si>
    <t>GMFL.48</t>
  </si>
  <si>
    <t>4/24/2023 3:42:17 PM </t>
  </si>
  <si>
    <t>94061 </t>
  </si>
  <si>
    <t xml:space="preserve"> 48" GMFL </t>
  </si>
  <si>
    <t>123249, 48" GMFL DEF XYZ </t>
  </si>
  <si>
    <t>DEF.GMFL.XYZ.48</t>
  </si>
  <si>
    <t>5/1/2023 3:31:56 PM </t>
  </si>
  <si>
    <t>100621 </t>
  </si>
  <si>
    <t xml:space="preserve"> 48" GMFL DEF XYZ </t>
  </si>
  <si>
    <t>123170, 48" GMFL+DEF </t>
  </si>
  <si>
    <t>DEF.GMFL.48</t>
  </si>
  <si>
    <t>5/8/2023 2:08:16 PM </t>
  </si>
  <si>
    <t>101725 </t>
  </si>
  <si>
    <t xml:space="preserve"> 48" GMFL+DEF </t>
  </si>
  <si>
    <t>114653, 40" GMFL+DEF+XYZ (xHD) </t>
  </si>
  <si>
    <t>130198, MDS FLEX DEF+LFM+ULTRA RES MFL+XYZ </t>
  </si>
  <si>
    <t xml:space="preserve"> MDS FLEX DEF+LFM+ULTRA RES MFL+XYZ </t>
  </si>
  <si>
    <t>126498, 31" MFL+DEF+LFM+SMFL </t>
  </si>
  <si>
    <t>DEF.LFM.MFL.SMFL.31</t>
  </si>
  <si>
    <t xml:space="preserve"> 31" MFL+DEF+LFM+SMFL </t>
  </si>
  <si>
    <t>Number </t>
  </si>
  <si>
    <t>Username </t>
  </si>
  <si>
    <t>Make </t>
  </si>
  <si>
    <t>Model </t>
  </si>
  <si>
    <t>Model Year </t>
  </si>
  <si>
    <t>Tag Number </t>
  </si>
  <si>
    <t>Serial Number </t>
  </si>
  <si>
    <t>Function </t>
  </si>
  <si>
    <t>Home Location </t>
  </si>
  <si>
    <t>Actual </t>
  </si>
  <si>
    <t>Manufacturer Part Number </t>
  </si>
  <si>
    <t>Standard Cost </t>
  </si>
  <si>
    <t>Standard Rate </t>
  </si>
  <si>
    <t>Vehicle Identification Number </t>
  </si>
  <si>
    <t>License Plate Number </t>
  </si>
  <si>
    <t>Deleted On </t>
  </si>
  <si>
    <t>Version </t>
  </si>
  <si>
    <t>Category </t>
  </si>
  <si>
    <t>Disciplines </t>
  </si>
  <si>
    <t>Home </t>
  </si>
  <si>
    <t>Phone </t>
  </si>
  <si>
    <t>Unit Of Measure </t>
  </si>
  <si>
    <t>4/24/2023 3:54:02 PM </t>
  </si>
  <si>
    <t>0.00 </t>
  </si>
  <si>
    <t>4 </t>
  </si>
  <si>
    <t>94139 </t>
  </si>
  <si>
    <t>6 </t>
  </si>
  <si>
    <t>5 </t>
  </si>
  <si>
    <t>8 </t>
  </si>
  <si>
    <t>4/24/2023 3:54:36 PM </t>
  </si>
  <si>
    <t>94218 </t>
  </si>
  <si>
    <t>9 </t>
  </si>
  <si>
    <t>7 </t>
  </si>
  <si>
    <t>5/8/2023 11:48:42 AM </t>
  </si>
  <si>
    <t>105023 </t>
  </si>
  <si>
    <t>10 </t>
  </si>
  <si>
    <t>2 </t>
  </si>
  <si>
    <t>3 </t>
  </si>
  <si>
    <t>9/17/2025 9:42:14 AM </t>
  </si>
  <si>
    <t>107693 </t>
  </si>
  <si>
    <t>FLEX.DEF.LFM.MFL.XYZ.18</t>
  </si>
  <si>
    <t>130601 8" MDS™ PRO DEF7+LFM+ULTRA RES MFL+SMFL2 </t>
  </si>
  <si>
    <t>12/11/2025 8:05:58 AM </t>
  </si>
  <si>
    <t>108347 </t>
  </si>
  <si>
    <t>DEF.GMFL.24 </t>
  </si>
  <si>
    <t>DEF.GMFL.XYZ.12 </t>
  </si>
  <si>
    <t>GMFL.48 </t>
  </si>
  <si>
    <t>GMFL.08 </t>
  </si>
  <si>
    <t>13 </t>
  </si>
  <si>
    <t>DEF.GMFL.16 </t>
  </si>
  <si>
    <t>DEF.GMFL.XYZ.16 </t>
  </si>
  <si>
    <t>GMFL.24 </t>
  </si>
  <si>
    <t>GMFL.20 </t>
  </si>
  <si>
    <t>DEF.GMFL.20 </t>
  </si>
  <si>
    <t>GMFL.30 </t>
  </si>
  <si>
    <t>GMFL.26 </t>
  </si>
  <si>
    <t>GMFL.36 </t>
  </si>
  <si>
    <t>GMFL.42 </t>
  </si>
  <si>
    <t>DEF.GMFL.30 </t>
  </si>
  <si>
    <t>DEF.GMFL.XYZ.18 </t>
  </si>
  <si>
    <t>DEF.GMFL.36 </t>
  </si>
  <si>
    <t>GMFL.16 </t>
  </si>
  <si>
    <t>GMFL.18 </t>
  </si>
  <si>
    <t>DEF.GMFL.XYZ.42 </t>
  </si>
  <si>
    <t>GMFL.28 </t>
  </si>
  <si>
    <t>GMFL.XYZ.08 </t>
  </si>
  <si>
    <t>DEF.GMFL.XYZ.30 </t>
  </si>
  <si>
    <t>DEF.GMFL.XYZ.36 </t>
  </si>
  <si>
    <t>DEF.GMFL.XYZ.34 </t>
  </si>
  <si>
    <t>GMFL.XYZ.20 </t>
  </si>
  <si>
    <t>DEF.GMFL.XYZ.32 </t>
  </si>
  <si>
    <t>DEF.GMFL.XYZ.28 </t>
  </si>
  <si>
    <t>DEF.GMFL.XYZ.26 </t>
  </si>
  <si>
    <t>DEF.GMFL.XYZ.24 </t>
  </si>
  <si>
    <t>GMFL.XYZ.24 </t>
  </si>
  <si>
    <t>GMFL.XYZ.14 </t>
  </si>
  <si>
    <t>DEF.GMFL.XYZ.40 </t>
  </si>
  <si>
    <t>5/1/2023 3:33:46 PM </t>
  </si>
  <si>
    <t>94366 </t>
  </si>
  <si>
    <t>DEF.GMFL.XYZ.20 </t>
  </si>
  <si>
    <t>DEF.GMFL.XYZ.22 </t>
  </si>
  <si>
    <t>DEF.GMFL.26 </t>
  </si>
  <si>
    <t>GMFL.22 </t>
  </si>
  <si>
    <t>DEF.GMFL.XYZ.48 </t>
  </si>
  <si>
    <t>DEF.GMFL.08 </t>
  </si>
  <si>
    <t>DEF.GMFL.48 </t>
  </si>
  <si>
    <t>DEF.GMFL.42 </t>
  </si>
  <si>
    <t>DEF.GMFL.18 </t>
  </si>
  <si>
    <t>Run Type</t>
  </si>
  <si>
    <t>Tool Body TAS Report</t>
  </si>
  <si>
    <t>Days to Turn</t>
  </si>
  <si>
    <t>FSA Item Number</t>
  </si>
  <si>
    <t>FSA Tool Config Code</t>
  </si>
  <si>
    <t>4 DEF</t>
  </si>
  <si>
    <t>DEF.MFL.04</t>
  </si>
  <si>
    <t>4 MDS</t>
  </si>
  <si>
    <t>DEF2.MFL2.04</t>
  </si>
  <si>
    <t>4 MFL</t>
  </si>
  <si>
    <t>DEF.UMFL.04</t>
  </si>
  <si>
    <t>6 DEF</t>
  </si>
  <si>
    <t xml:space="preserve">6 MDS </t>
  </si>
  <si>
    <t xml:space="preserve">DEF.MFL.XYZ.06 </t>
  </si>
  <si>
    <t>DEF2.MFL4.06</t>
  </si>
  <si>
    <t>6 MDS</t>
  </si>
  <si>
    <t>6 LGT</t>
  </si>
  <si>
    <t>MFL3.06</t>
  </si>
  <si>
    <t>MFL3.XYZ.06</t>
  </si>
  <si>
    <t>MFL5.06</t>
  </si>
  <si>
    <t>MFL5.XYZ.06</t>
  </si>
  <si>
    <t>DEF.SMFL.UMFL.06</t>
  </si>
  <si>
    <t>DEF.SMFL.UMFL.XYZ.06</t>
  </si>
  <si>
    <t>DEF.UMFL.06</t>
  </si>
  <si>
    <t>DEF.UMFL.XYZ.06</t>
  </si>
  <si>
    <t>8 DEF</t>
  </si>
  <si>
    <t>DEF.LFM.MFL.08</t>
  </si>
  <si>
    <t>DEF.LFM.MFL.XYZ.08</t>
  </si>
  <si>
    <t>DEF.MFL.RES.08</t>
  </si>
  <si>
    <t>DEF.MFL.SMFL.08</t>
  </si>
  <si>
    <t>DEF.MFL.SMFL.XYZ.08</t>
  </si>
  <si>
    <t>DEFLFMMFLSMFLXYZ.08</t>
  </si>
  <si>
    <t>FLEXDEFLFMMFLXYZ08</t>
  </si>
  <si>
    <t>FLEXDEFMFLRESXYZ08</t>
  </si>
  <si>
    <t>8/10 LGT</t>
  </si>
  <si>
    <t>DEF.MFL.SMFL.V1.08</t>
  </si>
  <si>
    <t>DEF.MFL.SMFL.XYZ.V1.08</t>
  </si>
  <si>
    <t>DEF.MFL.SMFL.V2.08</t>
  </si>
  <si>
    <t>DEF.MFL.SMFL.XYZ.V2.08</t>
  </si>
  <si>
    <t>DEF.LFM.SMFL.UMFL.08</t>
  </si>
  <si>
    <t>DEF.LFM.UMFL.08</t>
  </si>
  <si>
    <t>DEF.LFM.UMFL.XYZ.08</t>
  </si>
  <si>
    <t>DEF.RES.SMFL.UMFL.08</t>
  </si>
  <si>
    <t>DEF.RES.UMFL.08</t>
  </si>
  <si>
    <t>DEF.RES.UMFL.XYZ.08</t>
  </si>
  <si>
    <t>DEF.SMFL.UMFL.V1.08</t>
  </si>
  <si>
    <t>DEF.SMFL.UMFL.V2.08</t>
  </si>
  <si>
    <t>DEFLFMSMFLUMFLXYZ.08</t>
  </si>
  <si>
    <t>DEFRESSMFLUMFLXYZ.08</t>
  </si>
  <si>
    <t>DEFSMFLUMFLXYZV1.08</t>
  </si>
  <si>
    <t>DEFSMFLUMFLXYZV2.08</t>
  </si>
  <si>
    <t>10 DEF</t>
  </si>
  <si>
    <t>10 GDEF</t>
  </si>
  <si>
    <t>DEF.MFL.RES.10</t>
  </si>
  <si>
    <t>DEF.MFL.RES.XYZ.10</t>
  </si>
  <si>
    <t>DEF.MFL.SMFL.10</t>
  </si>
  <si>
    <t>DEF.MFL.SMFL.XYZ.10</t>
  </si>
  <si>
    <t>DEFMFLRESSMFLXYZ.10</t>
  </si>
  <si>
    <t>10 EMAT</t>
  </si>
  <si>
    <t>FLEXDEFMFLRESXYZ10</t>
  </si>
  <si>
    <t>DEF.SMFL.UMFL.10</t>
  </si>
  <si>
    <t>DEF.SMFL.UMFL.XYZ.10</t>
  </si>
  <si>
    <t>DEFRESSMFLUMFLXYZ.10</t>
  </si>
  <si>
    <t>12/14 DEF</t>
  </si>
  <si>
    <t>12/14 GDEF</t>
  </si>
  <si>
    <t>DEF.LFM.MFL.12</t>
  </si>
  <si>
    <t xml:space="preserve">12 MDS </t>
  </si>
  <si>
    <t>DEF.LFM.MFL.XYZ.12</t>
  </si>
  <si>
    <t>12/14 MFL</t>
  </si>
  <si>
    <t>DEF.MFL.SMFL.12</t>
  </si>
  <si>
    <t>DEF.MFL.SMFL.XYZ.12</t>
  </si>
  <si>
    <t>DEFLFMMFLSMFLXYZ.12</t>
  </si>
  <si>
    <t>12 EMAT</t>
  </si>
  <si>
    <t>FLEXDEFLFMMFLXYZ12</t>
  </si>
  <si>
    <t>GMFL.DD.10.12</t>
  </si>
  <si>
    <t>12/10 GMFL</t>
  </si>
  <si>
    <t>12/14 LGT</t>
  </si>
  <si>
    <t>DEF.SMFL.UMFL.12</t>
  </si>
  <si>
    <t>DEF.SMFL.UMFL.XYZ.12</t>
  </si>
  <si>
    <t>DEFLFMSMFLUMFLXYZ.12</t>
  </si>
  <si>
    <t>14 GMFL</t>
  </si>
  <si>
    <t>16/18 DEF</t>
  </si>
  <si>
    <t>16 GDEF</t>
  </si>
  <si>
    <t>16 GMFL</t>
  </si>
  <si>
    <t>DEF.LFM.MFL.16</t>
  </si>
  <si>
    <t>DEF.LFM.MFL.XYZ.16</t>
  </si>
  <si>
    <t>16/18 MFL</t>
  </si>
  <si>
    <t>DEF.MFL.SMFL.16</t>
  </si>
  <si>
    <t>DEF.MFL.SMFL.XYZ.16</t>
  </si>
  <si>
    <t>DEFLFMMFLSMFLXYZ.16</t>
  </si>
  <si>
    <t>16 EMAT</t>
  </si>
  <si>
    <t>FLEXDEFLFMMFLXYZ16</t>
  </si>
  <si>
    <t>16/18 K360</t>
  </si>
  <si>
    <t>DEF.SMFL.UMFL.16</t>
  </si>
  <si>
    <t>DEF.SMFL.UMFL.XYZ.16</t>
  </si>
  <si>
    <t>DEFLFMSMFLUMFLXYZ.16</t>
  </si>
  <si>
    <t>18 GMFL</t>
  </si>
  <si>
    <t>18 MGDEF</t>
  </si>
  <si>
    <t>20 GMFL</t>
  </si>
  <si>
    <t>DEF.LFM.MFL.20</t>
  </si>
  <si>
    <t>DEF.LFM.MFL.XYZ.20</t>
  </si>
  <si>
    <t>DEF.MFL.20</t>
  </si>
  <si>
    <t>DEF.MFL.SMFL.20</t>
  </si>
  <si>
    <t>DEF.MFL.SMFL.XYZ.20</t>
  </si>
  <si>
    <t>DEFLFMMFLSMFL.20</t>
  </si>
  <si>
    <t>DEFLFMMFLSMFLXYZ.20</t>
  </si>
  <si>
    <t>FLEXDEFLFMMFLXYZ20</t>
  </si>
  <si>
    <t>20/24 K360</t>
  </si>
  <si>
    <t>DEF.SMFL.UMFL.20</t>
  </si>
  <si>
    <t>DEF.SMFL.UMFL.XYZ.20</t>
  </si>
  <si>
    <t>DEFLFMSMFLUMFLXYZ.20</t>
  </si>
  <si>
    <t>DEF.GMFL.22</t>
  </si>
  <si>
    <t>22/24 GMFL</t>
  </si>
  <si>
    <t xml:space="preserve">FLEX.DEF.LFM.MFL.22 </t>
  </si>
  <si>
    <t xml:space="preserve">FLEX.DEF.MFL.22 </t>
  </si>
  <si>
    <t>FLEXDEFLFMMFLXYZ22</t>
  </si>
  <si>
    <t>GMFL.XYZ.22</t>
  </si>
  <si>
    <t>DEF.LFM.SMFL.UMFL.22</t>
  </si>
  <si>
    <t>DEF.LFM.UMFL.22</t>
  </si>
  <si>
    <t>DEF.LFM.UMFL.XYZ.22</t>
  </si>
  <si>
    <t>DEF.SMFL.UMFL.22</t>
  </si>
  <si>
    <t>DEF.SMFL.UMFL.XYZ.22</t>
  </si>
  <si>
    <t>DEF.UMFL.22</t>
  </si>
  <si>
    <t>DEF.UMFL.XYZ.22</t>
  </si>
  <si>
    <t>DEFLFMSMFLUMFLXYZ.22</t>
  </si>
  <si>
    <t>DEF.LFM.MFL.24</t>
  </si>
  <si>
    <t xml:space="preserve">24 MDS </t>
  </si>
  <si>
    <t>DEF.LFM.MFL.XYZ.24</t>
  </si>
  <si>
    <t>DEF.MFL.SMFL.24</t>
  </si>
  <si>
    <t>DEF.MFL.SMFL.XYZ.24</t>
  </si>
  <si>
    <t>DEFLFMMFLSMFLXYZ.24</t>
  </si>
  <si>
    <t>FLEXDEFLFMMFLXYZ24</t>
  </si>
  <si>
    <t xml:space="preserve">24/26 MDS </t>
  </si>
  <si>
    <t>DEF.SMFL.UMFL.24</t>
  </si>
  <si>
    <t>DEF.SMFL.UMFL.XYZ.24</t>
  </si>
  <si>
    <t>DEFLFMSMFLUMFLXYZ.24</t>
  </si>
  <si>
    <t>26/30 DEF</t>
  </si>
  <si>
    <t>26 GMFL</t>
  </si>
  <si>
    <t xml:space="preserve">26 MDS </t>
  </si>
  <si>
    <t>DEFLFMMFLSMFLXYZ.26</t>
  </si>
  <si>
    <t>FLEXDEFLFMMFLXYZ26</t>
  </si>
  <si>
    <t>GMFL.XYZ.26</t>
  </si>
  <si>
    <t>26/30 K360</t>
  </si>
  <si>
    <t>DEF.LFM.SMFL.UMFL.26</t>
  </si>
  <si>
    <t>DEF.LFM.UMFL.26</t>
  </si>
  <si>
    <t>DEF.LFM.UMFL.XYZ.26</t>
  </si>
  <si>
    <t>DEF.SMFL.UMFL.26</t>
  </si>
  <si>
    <t>DEF.SMFL.UMFL.XYZ.26</t>
  </si>
  <si>
    <t>DEF.UMFL.26</t>
  </si>
  <si>
    <t>DEF.UMFL.XYZ.26</t>
  </si>
  <si>
    <t>DEFLFMSMFLUMFLXYZ.26</t>
  </si>
  <si>
    <t>DEF.28</t>
  </si>
  <si>
    <t>DEF.GMFL.28</t>
  </si>
  <si>
    <t>28/30 GMFL</t>
  </si>
  <si>
    <t>DEF.LFM.MFL.30</t>
  </si>
  <si>
    <t>DEF.LFM.MFL.XYZ.30</t>
  </si>
  <si>
    <t>DEFLFMMFLSMFLXYZ.30</t>
  </si>
  <si>
    <t>FLEXDEFLFMMFLXYZ30</t>
  </si>
  <si>
    <t>DEF.SMFL.UMFL.30</t>
  </si>
  <si>
    <t>DEF.SMFL.UMFL.XYZ.30</t>
  </si>
  <si>
    <t>DEFLFMSMFLUMFLXYZ.30</t>
  </si>
  <si>
    <t>32/36 DEF</t>
  </si>
  <si>
    <t>DEF.GMFL.32</t>
  </si>
  <si>
    <t>GMFL.32</t>
  </si>
  <si>
    <t>32/38 K360</t>
  </si>
  <si>
    <t>GMFL.34</t>
  </si>
  <si>
    <t>DEF.GMFL.SC.XYZ.36</t>
  </si>
  <si>
    <t>38/42 DEF</t>
  </si>
  <si>
    <t>DEF.XYZ.38</t>
  </si>
  <si>
    <t>DEF.GMFL.40</t>
  </si>
  <si>
    <t>GMFL.40</t>
  </si>
  <si>
    <t>K360.40</t>
  </si>
  <si>
    <t>40/48 K360</t>
  </si>
  <si>
    <t>DEF.GMFL.SC.42</t>
  </si>
  <si>
    <t>DEF.GMFL.SC.XYZ.42</t>
  </si>
  <si>
    <t>DEF.DD.36.48</t>
  </si>
  <si>
    <t>DEF.GMFL.SC.XYZ.48</t>
  </si>
  <si>
    <t>48 GMFL</t>
  </si>
  <si>
    <t>DEF.XYZ.DD.36.48</t>
  </si>
  <si>
    <t>DEF2.IDOD</t>
  </si>
  <si>
    <t xml:space="preserve">4 MDS </t>
  </si>
  <si>
    <t>Asset = Serial Number = Alias</t>
  </si>
  <si>
    <t>Will care most about Asset Types That are NOT Tool Configuration</t>
  </si>
  <si>
    <t>Model = Item Number = Part Number</t>
  </si>
  <si>
    <t>Available means not assigned to a work order in progress.
Will care most about 'Needs Repair' 'In Quarantine'</t>
  </si>
  <si>
    <t>Asset</t>
  </si>
  <si>
    <t>Name</t>
  </si>
  <si>
    <t>Asset type</t>
  </si>
  <si>
    <t>Model</t>
  </si>
  <si>
    <t>Current lifecycle state</t>
  </si>
  <si>
    <t>Functional location</t>
  </si>
  <si>
    <t>Home Functional Location</t>
  </si>
  <si>
    <t>4" MFL</t>
  </si>
  <si>
    <t>Tool Configuration</t>
  </si>
  <si>
    <t>Available</t>
  </si>
  <si>
    <t>Salt Lake City - PI Service Center</t>
  </si>
  <si>
    <t>Salt Lake City - PI</t>
  </si>
  <si>
    <t>04_001-HOU1</t>
  </si>
  <si>
    <t>Houston - PI Service Center</t>
  </si>
  <si>
    <t>Houston - PI Service</t>
  </si>
  <si>
    <t>04_001-HOU2</t>
  </si>
  <si>
    <t>04_001-HOU3</t>
  </si>
  <si>
    <t>04_001-HOU4</t>
  </si>
  <si>
    <t>04_001-HOU5</t>
  </si>
  <si>
    <t>04_001-HOU6</t>
  </si>
  <si>
    <t>04_001-HOU7</t>
  </si>
  <si>
    <t>04_001-SLC1</t>
  </si>
  <si>
    <t>04_001-SLC2</t>
  </si>
  <si>
    <t>04_001-SLC3</t>
  </si>
  <si>
    <t>04_001-SLC4</t>
  </si>
  <si>
    <t>04_001-SLC5</t>
  </si>
  <si>
    <t>04_001-SLC6</t>
  </si>
  <si>
    <t>04_001-SLC7</t>
  </si>
  <si>
    <t>04_001-TUL1</t>
  </si>
  <si>
    <t>Tulsa - PI Service Center</t>
  </si>
  <si>
    <t>Tulsa - PI Service C</t>
  </si>
  <si>
    <t>04_001-TUL2</t>
  </si>
  <si>
    <t>04_001-TUL3</t>
  </si>
  <si>
    <t>04_001-TUL4</t>
  </si>
  <si>
    <t>04_001-TUL5</t>
  </si>
  <si>
    <t>04_001-TUL6</t>
  </si>
  <si>
    <t>04_001-TUL7</t>
  </si>
  <si>
    <t>4" DEF</t>
  </si>
  <si>
    <t>04_600-HOU1</t>
  </si>
  <si>
    <t>04_600-HOU2</t>
  </si>
  <si>
    <t>04_600-HOU3</t>
  </si>
  <si>
    <t>04_600-HOU4</t>
  </si>
  <si>
    <t>04_600-HOU5</t>
  </si>
  <si>
    <t>04_600-HOU6</t>
  </si>
  <si>
    <t>04_600-HOU7</t>
  </si>
  <si>
    <t>04_600-SLC1</t>
  </si>
  <si>
    <t>04_600-SLC2</t>
  </si>
  <si>
    <t>04_600-SLC3</t>
  </si>
  <si>
    <t>04_600-SLC4</t>
  </si>
  <si>
    <t>04_600-SLC5</t>
  </si>
  <si>
    <t>04_600-SLC6</t>
  </si>
  <si>
    <t>04_600-SLC7</t>
  </si>
  <si>
    <t>04_600-TUL1</t>
  </si>
  <si>
    <t>04_600-TUL2</t>
  </si>
  <si>
    <t>04_600-TUL3</t>
  </si>
  <si>
    <t>04_600-TUL4</t>
  </si>
  <si>
    <t>04_600-TUL5</t>
  </si>
  <si>
    <t>04_600-TUL6</t>
  </si>
  <si>
    <t>04_600-TUL7</t>
  </si>
  <si>
    <t>04ADAA09</t>
  </si>
  <si>
    <t>ASSY, DEFORMATION, LGT, 6"</t>
  </si>
  <si>
    <t>105683</t>
  </si>
  <si>
    <t>04ADAA12</t>
  </si>
  <si>
    <t>ASSY, CALIPER, 4"</t>
  </si>
  <si>
    <t>Unavailable</t>
  </si>
  <si>
    <t>04ADEA08</t>
  </si>
  <si>
    <t>ASSY, PLATE, FRONT, CPU</t>
  </si>
  <si>
    <t>04_632</t>
  </si>
  <si>
    <t>04ADRV12</t>
  </si>
  <si>
    <t>SPACER, NOSE CONE, 4"</t>
  </si>
  <si>
    <t>04_105</t>
  </si>
  <si>
    <t>04ADRV15</t>
  </si>
  <si>
    <t>04AMAG10</t>
  </si>
  <si>
    <t>ASSY, MAGNET</t>
  </si>
  <si>
    <t>04AXMT13</t>
  </si>
  <si>
    <t>ASSY, TRANSMITTER, 4"</t>
  </si>
  <si>
    <t>112402</t>
  </si>
  <si>
    <t>04AXMT14</t>
  </si>
  <si>
    <t>ASSY, ENDPLATE, TRANSMITTER, FRONT, LGT, 6"</t>
  </si>
  <si>
    <t>103834</t>
  </si>
  <si>
    <t>04AXMT19</t>
  </si>
  <si>
    <t>04CPU01</t>
  </si>
  <si>
    <t>ASSY, CPU, 4"</t>
  </si>
  <si>
    <t>112502</t>
  </si>
  <si>
    <t>04CPU02</t>
  </si>
  <si>
    <t>ASSY, CANISTER, CPU, NH3, 4"</t>
  </si>
  <si>
    <t>115338</t>
  </si>
  <si>
    <t>04CPU04</t>
  </si>
  <si>
    <t>04CPU06</t>
  </si>
  <si>
    <t>Working</t>
  </si>
  <si>
    <t>04DAA01</t>
  </si>
  <si>
    <t>04DAA02</t>
  </si>
  <si>
    <t>04DAA03</t>
  </si>
  <si>
    <t>04DAA04</t>
  </si>
  <si>
    <t>04DAA05</t>
  </si>
  <si>
    <t>04DAA09</t>
  </si>
  <si>
    <t>04DEA01</t>
  </si>
  <si>
    <t>04DEA02</t>
  </si>
  <si>
    <t>ASSY, CPU. 4"</t>
  </si>
  <si>
    <t>04DEA03</t>
  </si>
  <si>
    <t>04DEA04</t>
  </si>
  <si>
    <t>04DEA05</t>
  </si>
  <si>
    <t>04DRV01</t>
  </si>
  <si>
    <t>04DRV05</t>
  </si>
  <si>
    <t>04DRV06</t>
  </si>
  <si>
    <t>04DRV07</t>
  </si>
  <si>
    <t>04DRV08</t>
  </si>
  <si>
    <t>04DRV09</t>
  </si>
  <si>
    <t>04DRV10</t>
  </si>
  <si>
    <t>04DRV11</t>
  </si>
  <si>
    <t>04MAG07</t>
  </si>
  <si>
    <t>04XMT01</t>
  </si>
  <si>
    <t>04XMT03</t>
  </si>
  <si>
    <t>04XMT06</t>
  </si>
  <si>
    <t>ASSY, TRANSMITTER, NH3, 4"</t>
  </si>
  <si>
    <t>115390</t>
  </si>
  <si>
    <t>04XMT07</t>
  </si>
  <si>
    <t>04XMT09</t>
  </si>
  <si>
    <t>04XMT10</t>
  </si>
  <si>
    <t>04XMT11</t>
  </si>
  <si>
    <t>04XMT12</t>
  </si>
  <si>
    <t>04XMT14</t>
  </si>
  <si>
    <t>6" MFL (NH3)</t>
  </si>
  <si>
    <t>06_002-HOU1</t>
  </si>
  <si>
    <t>06_002-HOU2</t>
  </si>
  <si>
    <t>06_002-HOU3</t>
  </si>
  <si>
    <t>06_002-HOU4</t>
  </si>
  <si>
    <t>06_002-HOU5</t>
  </si>
  <si>
    <t>06_002-HOU6</t>
  </si>
  <si>
    <t>06_002-HOU7</t>
  </si>
  <si>
    <t>06_002-SLC1</t>
  </si>
  <si>
    <t>06_002-SLC2</t>
  </si>
  <si>
    <t>06_002-SLC3</t>
  </si>
  <si>
    <t>06_002-SLC4</t>
  </si>
  <si>
    <t>06_002-SLC5</t>
  </si>
  <si>
    <t>06_002-SLC6</t>
  </si>
  <si>
    <t>06_002-SLC7</t>
  </si>
  <si>
    <t>06_002-TUL1</t>
  </si>
  <si>
    <t>06_002-TUL2</t>
  </si>
  <si>
    <t>06_002-TUL3</t>
  </si>
  <si>
    <t>06_002-TUL4</t>
  </si>
  <si>
    <t>06_002-TUL5</t>
  </si>
  <si>
    <t>06_002-TUL6</t>
  </si>
  <si>
    <t>06_002-TUL7</t>
  </si>
  <si>
    <t>6" DEF (1.5D)</t>
  </si>
  <si>
    <t>06_6000-HOU1</t>
  </si>
  <si>
    <t>06_6000-HOU2</t>
  </si>
  <si>
    <t>06_6000-HOU3</t>
  </si>
  <si>
    <t>06_6000-HOU4</t>
  </si>
  <si>
    <t>06_6000-HOU5</t>
  </si>
  <si>
    <t>06_6000-HOU6</t>
  </si>
  <si>
    <t>06_6000-HOU7</t>
  </si>
  <si>
    <t>06_6000-SLC1</t>
  </si>
  <si>
    <t>06_6000-SLC2</t>
  </si>
  <si>
    <t>06_6000-SLC3</t>
  </si>
  <si>
    <t>06_6000-SLC4</t>
  </si>
  <si>
    <t>06_6000-SLC5</t>
  </si>
  <si>
    <t>06_6000-SLC6</t>
  </si>
  <si>
    <t>06_6000-SLC7</t>
  </si>
  <si>
    <t>06_6000-TUL1</t>
  </si>
  <si>
    <t>06_6000-TUL2</t>
  </si>
  <si>
    <t>06_6000-TUL3</t>
  </si>
  <si>
    <t>06_6000-TUL4</t>
  </si>
  <si>
    <t>06_6000-TUL5</t>
  </si>
  <si>
    <t>06_6000-TUL6</t>
  </si>
  <si>
    <t>06_6000-TUL7</t>
  </si>
  <si>
    <t>0606ACPU010</t>
  </si>
  <si>
    <t>ASSY, END PLATE, CPU, NoXMIT, FRONT, 6"</t>
  </si>
  <si>
    <t>106498</t>
  </si>
  <si>
    <t>0606ACPU011</t>
  </si>
  <si>
    <t>0606AXMT025</t>
  </si>
  <si>
    <t>ASSY, CANISTER, TRANSMITTER, DRIVE, 6"</t>
  </si>
  <si>
    <t>106487</t>
  </si>
  <si>
    <t>0606AXMT026</t>
  </si>
  <si>
    <t>0606AXMT027</t>
  </si>
  <si>
    <t>0606MCPU001</t>
  </si>
  <si>
    <t>ASSY, ENDPLATE, CPU, MAPPING, 6"</t>
  </si>
  <si>
    <t>MAP</t>
  </si>
  <si>
    <t>105941</t>
  </si>
  <si>
    <t>0606MCPU003</t>
  </si>
  <si>
    <t>0606MCPU004</t>
  </si>
  <si>
    <t>06ADAA19</t>
  </si>
  <si>
    <t>06ADEA32</t>
  </si>
  <si>
    <t>06ADEA35</t>
  </si>
  <si>
    <t>ASSY, CPU, LGT, 8"</t>
  </si>
  <si>
    <t>08_652</t>
  </si>
  <si>
    <t>06ADRD01</t>
  </si>
  <si>
    <t>ASSY, DRIVE SECTION, NH3, LGT, 6"</t>
  </si>
  <si>
    <t>103821</t>
  </si>
  <si>
    <t>06AXMT28</t>
  </si>
  <si>
    <t>ASSY, TRANSMITTER, LGT</t>
  </si>
  <si>
    <t>06_552</t>
  </si>
  <si>
    <t>06DAA01</t>
  </si>
  <si>
    <t>ASSY, DEF SECTION, 1.5D, 6"</t>
  </si>
  <si>
    <t>06DAA09</t>
  </si>
  <si>
    <t>06DAA10</t>
  </si>
  <si>
    <t>06DAA11</t>
  </si>
  <si>
    <t>06DAA12</t>
  </si>
  <si>
    <t>06DAA13</t>
  </si>
  <si>
    <t>06DAA14</t>
  </si>
  <si>
    <t>06DAA15</t>
  </si>
  <si>
    <t>06DAA17</t>
  </si>
  <si>
    <t>06DAA18</t>
  </si>
  <si>
    <t>06DAA28</t>
  </si>
  <si>
    <t>06DEA05</t>
  </si>
  <si>
    <t>06DEA11</t>
  </si>
  <si>
    <t>ASSY, ARM CARRIER, LGT, 10"</t>
  </si>
  <si>
    <t>112179</t>
  </si>
  <si>
    <t>06DEA13</t>
  </si>
  <si>
    <t>ASSY, PLATE, CPU, FRONT, 1.5D, 6"</t>
  </si>
  <si>
    <t>105639</t>
  </si>
  <si>
    <t>06DEA14</t>
  </si>
  <si>
    <t>06DEA17</t>
  </si>
  <si>
    <t>06DEA18</t>
  </si>
  <si>
    <t>06DEA19</t>
  </si>
  <si>
    <t>06DEA20</t>
  </si>
  <si>
    <t>06DEA21</t>
  </si>
  <si>
    <t>06dea28</t>
  </si>
  <si>
    <t>ASSY, DEF, 6" NH3</t>
  </si>
  <si>
    <t>102784</t>
  </si>
  <si>
    <t>06DRD01</t>
  </si>
  <si>
    <t>ASSY, DRIVE SECTION, DEF</t>
  </si>
  <si>
    <t>06_605</t>
  </si>
  <si>
    <t>06DRD03</t>
  </si>
  <si>
    <t>06DRD04</t>
  </si>
  <si>
    <t>06DRD05</t>
  </si>
  <si>
    <t>06DRD07</t>
  </si>
  <si>
    <t>06DRD11</t>
  </si>
  <si>
    <t>06DRM01</t>
  </si>
  <si>
    <t>06DRM03</t>
  </si>
  <si>
    <t>06DRM04</t>
  </si>
  <si>
    <t>06DRM06</t>
  </si>
  <si>
    <t>06DRM07</t>
  </si>
  <si>
    <t>06DRM09</t>
  </si>
  <si>
    <t>06DRM12</t>
  </si>
  <si>
    <t>06DRM13</t>
  </si>
  <si>
    <t>Edmonton - PI Service Center</t>
  </si>
  <si>
    <t>Edmonton - PI Servic</t>
  </si>
  <si>
    <t>06DRM14</t>
  </si>
  <si>
    <t>06GCPU04</t>
  </si>
  <si>
    <t>06GXMT03</t>
  </si>
  <si>
    <t>ASSY, END PLATE, TRANSMITTER, REAR, 6"</t>
  </si>
  <si>
    <t>100238</t>
  </si>
  <si>
    <t>06GXMT07</t>
  </si>
  <si>
    <t>06SMT16</t>
  </si>
  <si>
    <t>06SXMT01</t>
  </si>
  <si>
    <t>ASSY, CANISTER, TRANSMITTER, xHD, 6"</t>
  </si>
  <si>
    <t>124786</t>
  </si>
  <si>
    <t>06SXMT02</t>
  </si>
  <si>
    <t>06SXMT03</t>
  </si>
  <si>
    <t>ASSY, ENDPLATE, BACK, TRANSMITTER, 6"</t>
  </si>
  <si>
    <t>113729</t>
  </si>
  <si>
    <t>06SXMT05</t>
  </si>
  <si>
    <t>06SXMT06</t>
  </si>
  <si>
    <t>06SXMT07</t>
  </si>
  <si>
    <t>06SXMT09</t>
  </si>
  <si>
    <t>06SXMT13</t>
  </si>
  <si>
    <t>06SXMT14</t>
  </si>
  <si>
    <t>06SXMT15</t>
  </si>
  <si>
    <t>06XMIT14</t>
  </si>
  <si>
    <t>ASSY, ENDPLATE, TRANSMITTER, MFL, xHD, 6"</t>
  </si>
  <si>
    <t>116937</t>
  </si>
  <si>
    <t>06XMT10</t>
  </si>
  <si>
    <t>ASSY, ENDPLATE, ODOMETER, NH3, 6"</t>
  </si>
  <si>
    <t>107221</t>
  </si>
  <si>
    <t>06XMT13</t>
  </si>
  <si>
    <t>06XMT16</t>
  </si>
  <si>
    <t>06XMT19</t>
  </si>
  <si>
    <t>06XMT21</t>
  </si>
  <si>
    <t>06XMT23</t>
  </si>
  <si>
    <t>08_650-HOU1</t>
  </si>
  <si>
    <t>08_650-SLC1</t>
  </si>
  <si>
    <t>08_650-TUL1</t>
  </si>
  <si>
    <t>08_900-HOU1</t>
  </si>
  <si>
    <t>08_900-HOU2</t>
  </si>
  <si>
    <t>08_900-HOU3</t>
  </si>
  <si>
    <t>08_900-HOU4</t>
  </si>
  <si>
    <t>08_900-HOU5</t>
  </si>
  <si>
    <t>08_900-HOU6</t>
  </si>
  <si>
    <t>08_900-HOU7</t>
  </si>
  <si>
    <t>08_900-SLC1</t>
  </si>
  <si>
    <t>08_900-SLC2</t>
  </si>
  <si>
    <t>08_900-SLC3</t>
  </si>
  <si>
    <t>08_900-SLC4</t>
  </si>
  <si>
    <t>08_900-SLC5</t>
  </si>
  <si>
    <t>08_900-SLC6</t>
  </si>
  <si>
    <t>08_900-SLC7</t>
  </si>
  <si>
    <t>08_900-TUL1</t>
  </si>
  <si>
    <t>08_900-TUL2</t>
  </si>
  <si>
    <t>08_900-TUL3</t>
  </si>
  <si>
    <t>08_900-TUL4</t>
  </si>
  <si>
    <t>08_900-TUL5</t>
  </si>
  <si>
    <t>08_900-TUL6</t>
  </si>
  <si>
    <t>08_900-TUL7</t>
  </si>
  <si>
    <t>0808ADAA01</t>
  </si>
  <si>
    <t>ASSY, DEF, CANISTER, SENSOR, 8"</t>
  </si>
  <si>
    <t>110255</t>
  </si>
  <si>
    <t>0808ADAA02</t>
  </si>
  <si>
    <t>0808ADAA04</t>
  </si>
  <si>
    <t>ASSY, DEF, UR CANISTER, SENSOR, 8"</t>
  </si>
  <si>
    <t>0808ADRV02</t>
  </si>
  <si>
    <t>ASSY, CANISTER, DRIVE, 8"</t>
  </si>
  <si>
    <t>106682</t>
  </si>
  <si>
    <t>0808ADRV03</t>
  </si>
  <si>
    <t>0808ADRV04</t>
  </si>
  <si>
    <t>0808ARAA02</t>
  </si>
  <si>
    <t>ASSY, RESIDUAL SECTION, 8"</t>
  </si>
  <si>
    <t>RES</t>
  </si>
  <si>
    <t>110472</t>
  </si>
  <si>
    <t>0808ARAA03</t>
  </si>
  <si>
    <t>0808ARAA04</t>
  </si>
  <si>
    <t>0808ARAA05</t>
  </si>
  <si>
    <t>0808ARAA06</t>
  </si>
  <si>
    <t>0810ADAA01</t>
  </si>
  <si>
    <t>0810ADAA02</t>
  </si>
  <si>
    <t>08ADAA25</t>
  </si>
  <si>
    <t>ASSY, DEFORMATION, 8"</t>
  </si>
  <si>
    <t>108564</t>
  </si>
  <si>
    <t>08ADRV35</t>
  </si>
  <si>
    <t>ASSY, DRIVE SECTION, CHAIN COUPLER, GMFL, 8"</t>
  </si>
  <si>
    <t>101437</t>
  </si>
  <si>
    <t>08ADRV37</t>
  </si>
  <si>
    <t>08AXMT103</t>
  </si>
  <si>
    <t>ASSY, TRANSMITTER, xHD, MFL, 8"</t>
  </si>
  <si>
    <t>109528</t>
  </si>
  <si>
    <t>08CPU02</t>
  </si>
  <si>
    <t>ASSY, ENDPLATE, FRONT, W/CPU, NH3, GEN 4, 8"</t>
  </si>
  <si>
    <t>110278</t>
  </si>
  <si>
    <t>08CPU05</t>
  </si>
  <si>
    <t>08CPU07</t>
  </si>
  <si>
    <t>08CPU12</t>
  </si>
  <si>
    <t>ASSY, DEF, CPU, NH3, 8"</t>
  </si>
  <si>
    <t>106981</t>
  </si>
  <si>
    <t>08CPU14</t>
  </si>
  <si>
    <t>08CPU31</t>
  </si>
  <si>
    <t>08CPU37</t>
  </si>
  <si>
    <t>08DAA02</t>
  </si>
  <si>
    <t>08DAA03</t>
  </si>
  <si>
    <t>08DAA04</t>
  </si>
  <si>
    <t>08DAA06</t>
  </si>
  <si>
    <t>08DAA07</t>
  </si>
  <si>
    <t>08DAA09</t>
  </si>
  <si>
    <t>08DAA10</t>
  </si>
  <si>
    <t>08DAA11</t>
  </si>
  <si>
    <t>08DAA12</t>
  </si>
  <si>
    <t>08DAA13</t>
  </si>
  <si>
    <t>08DAA14</t>
  </si>
  <si>
    <t>08DAA15</t>
  </si>
  <si>
    <t>08DAA16</t>
  </si>
  <si>
    <t>08DRV01</t>
  </si>
  <si>
    <t>08DRV02</t>
  </si>
  <si>
    <t>ASSY, CANISTER, DRIVE SECTION, 8"</t>
  </si>
  <si>
    <t>104146</t>
  </si>
  <si>
    <t>08DRV03</t>
  </si>
  <si>
    <t>08DRV05</t>
  </si>
  <si>
    <t>08DRV06</t>
  </si>
  <si>
    <t>08DRV08</t>
  </si>
  <si>
    <t>ASSY, CANISTER, DRIVE SECTION,  8"</t>
  </si>
  <si>
    <t>107068</t>
  </si>
  <si>
    <t>08DRV09</t>
  </si>
  <si>
    <t>08DRV12</t>
  </si>
  <si>
    <t>08DRV16</t>
  </si>
  <si>
    <t>08DRV17</t>
  </si>
  <si>
    <t>08DRV18</t>
  </si>
  <si>
    <t>08DRV20</t>
  </si>
  <si>
    <t>08DRV23</t>
  </si>
  <si>
    <t>08DRV32</t>
  </si>
  <si>
    <t>08DRV33</t>
  </si>
  <si>
    <t>08DRV34</t>
  </si>
  <si>
    <t>08GMAG08</t>
  </si>
  <si>
    <t>ASSY, MAG SECTION, DAMPENED, GMFL, xHD, 8"</t>
  </si>
  <si>
    <t>109401</t>
  </si>
  <si>
    <t>08GXMT01</t>
  </si>
  <si>
    <t>ASSY, ENDPLATE, TRANSMITTER, GMFL, 8"</t>
  </si>
  <si>
    <t>109919</t>
  </si>
  <si>
    <t>08GXMT06</t>
  </si>
  <si>
    <t>08MAG30</t>
  </si>
  <si>
    <t>ASSY, MAGNET, 1.5D, 8"</t>
  </si>
  <si>
    <t>08MCPU01</t>
  </si>
  <si>
    <t>ASSY, ENDPLATE, CPU, MAPPING, 8"</t>
  </si>
  <si>
    <t>102058</t>
  </si>
  <si>
    <t>08MCPU02</t>
  </si>
  <si>
    <t>08MCPU05</t>
  </si>
  <si>
    <t>08MCPU07</t>
  </si>
  <si>
    <t>08MCPU08</t>
  </si>
  <si>
    <t>08MCPU09</t>
  </si>
  <si>
    <t>ASSY, ENDPLATE, CPU, MAPPING, SOLID COUPLER, 10"-12"</t>
  </si>
  <si>
    <t>105585</t>
  </si>
  <si>
    <t>08MCPU12</t>
  </si>
  <si>
    <t>ASSY, ENDPLATE, CPU, XYZ, 8"</t>
  </si>
  <si>
    <t>104013</t>
  </si>
  <si>
    <t>08MCPU14</t>
  </si>
  <si>
    <t>08MCPU15</t>
  </si>
  <si>
    <t>08MCPU16</t>
  </si>
  <si>
    <t>08MCPU17</t>
  </si>
  <si>
    <t>08MXMT03</t>
  </si>
  <si>
    <t>ASSY, TRANSMITTER, ENDPLATE, 12"</t>
  </si>
  <si>
    <t>112093</t>
  </si>
  <si>
    <t>08XMT02</t>
  </si>
  <si>
    <t>08XMT03</t>
  </si>
  <si>
    <t>08XMT09</t>
  </si>
  <si>
    <t>08XMT10</t>
  </si>
  <si>
    <t>08XMT12</t>
  </si>
  <si>
    <t>08XMT14</t>
  </si>
  <si>
    <t>08XMT15</t>
  </si>
  <si>
    <t>08XMT18</t>
  </si>
  <si>
    <t>08XMT20</t>
  </si>
  <si>
    <t>08XMT21</t>
  </si>
  <si>
    <t>08XMT25</t>
  </si>
  <si>
    <t>08XMT26</t>
  </si>
  <si>
    <t>08XMT27</t>
  </si>
  <si>
    <t>08XMT33</t>
  </si>
  <si>
    <t>ASSY, TRANSMITTER, NH3, 8"</t>
  </si>
  <si>
    <t>106996</t>
  </si>
  <si>
    <t>08XMT35</t>
  </si>
  <si>
    <t>08XMT37</t>
  </si>
  <si>
    <t>08XMT38</t>
  </si>
  <si>
    <t>08XMT41</t>
  </si>
  <si>
    <t>08XMT42</t>
  </si>
  <si>
    <t>08XMT43</t>
  </si>
  <si>
    <t>08XMT44</t>
  </si>
  <si>
    <t>08XMT46</t>
  </si>
  <si>
    <t>08XMT47</t>
  </si>
  <si>
    <t>08XMT49</t>
  </si>
  <si>
    <t>08XMT50</t>
  </si>
  <si>
    <t>08XMT54</t>
  </si>
  <si>
    <t>08XMT56</t>
  </si>
  <si>
    <t>08XMT61</t>
  </si>
  <si>
    <t>08XMT62</t>
  </si>
  <si>
    <t>08XMT66</t>
  </si>
  <si>
    <t>08XMT67</t>
  </si>
  <si>
    <t>08XMT69</t>
  </si>
  <si>
    <t>08XMT76</t>
  </si>
  <si>
    <t>08XMT78</t>
  </si>
  <si>
    <t>08XMT79</t>
  </si>
  <si>
    <t>US01 - Transfer OUT</t>
  </si>
  <si>
    <t>08XMT80</t>
  </si>
  <si>
    <t>08XMT81</t>
  </si>
  <si>
    <t>08XMT82</t>
  </si>
  <si>
    <t>08XMT86</t>
  </si>
  <si>
    <t>08XMT87</t>
  </si>
  <si>
    <t>08XMT88</t>
  </si>
  <si>
    <t>08XMT90</t>
  </si>
  <si>
    <t>08XMT92</t>
  </si>
  <si>
    <t>08XMT94</t>
  </si>
  <si>
    <t>08XMT95</t>
  </si>
  <si>
    <t>08XMT97</t>
  </si>
  <si>
    <t>08XMT98</t>
  </si>
  <si>
    <t>10_650-HOU1</t>
  </si>
  <si>
    <t>10_650-SLC1</t>
  </si>
  <si>
    <t>10_650-TUL1</t>
  </si>
  <si>
    <t>101050</t>
  </si>
  <si>
    <t>10" MFL (8" Batt NH3)</t>
  </si>
  <si>
    <t>101050-HOU1</t>
  </si>
  <si>
    <t>101050-HOU2</t>
  </si>
  <si>
    <t>101050-HOU3</t>
  </si>
  <si>
    <t>101050-HOU4</t>
  </si>
  <si>
    <t>101050-HOU5</t>
  </si>
  <si>
    <t>101050-HOU6</t>
  </si>
  <si>
    <t>101050-HOU7</t>
  </si>
  <si>
    <t>101050-SLC1</t>
  </si>
  <si>
    <t>101050-SLC2</t>
  </si>
  <si>
    <t>101050-SLC3</t>
  </si>
  <si>
    <t>101050-SLC4</t>
  </si>
  <si>
    <t>101050-SLC5</t>
  </si>
  <si>
    <t>101050-SLC6</t>
  </si>
  <si>
    <t>101050-SLC7</t>
  </si>
  <si>
    <t>101050-TUL1</t>
  </si>
  <si>
    <t>101050-TUL2</t>
  </si>
  <si>
    <t>101050-TUL3</t>
  </si>
  <si>
    <t>101050-TUL4</t>
  </si>
  <si>
    <t>101050-TUL5</t>
  </si>
  <si>
    <t>101050-TUL6</t>
  </si>
  <si>
    <t>101050-TUL7</t>
  </si>
  <si>
    <t>1010ADAA01</t>
  </si>
  <si>
    <t>ASSY, DEF, CANISTER, SENSOR, 10"</t>
  </si>
  <si>
    <t>110257</t>
  </si>
  <si>
    <t>1010ADAA02</t>
  </si>
  <si>
    <t>1010ADAA04</t>
  </si>
  <si>
    <t>ASSY, GDEF, BODY, xHD, 10"</t>
  </si>
  <si>
    <t>113727</t>
  </si>
  <si>
    <t>1010ADAA07</t>
  </si>
  <si>
    <t>ASSY, CANISTER, DEF, 10"</t>
  </si>
  <si>
    <t>112058</t>
  </si>
  <si>
    <t>1010ADRV01</t>
  </si>
  <si>
    <t>ASSY, CANISTER, DRIVE, 10"</t>
  </si>
  <si>
    <t>108051</t>
  </si>
  <si>
    <t>1010ADRV02</t>
  </si>
  <si>
    <t>1010ADRV03</t>
  </si>
  <si>
    <t>1010AMAG01</t>
  </si>
  <si>
    <t>ASSY, MAGNETIZER, MFL, 10"</t>
  </si>
  <si>
    <t>108081</t>
  </si>
  <si>
    <t>1010ARAA01</t>
  </si>
  <si>
    <t>ASSY, RES, CANISTER, SENSOR, 10"</t>
  </si>
  <si>
    <t>109595</t>
  </si>
  <si>
    <t>1010ARAA02</t>
  </si>
  <si>
    <t>1010ARAA03</t>
  </si>
  <si>
    <t>102451-01-HOU1</t>
  </si>
  <si>
    <t>102451-01-HOU2</t>
  </si>
  <si>
    <t>102451-01-SLC1</t>
  </si>
  <si>
    <t>102451-01-TUL1</t>
  </si>
  <si>
    <t>102451-01-TUL2</t>
  </si>
  <si>
    <t>102783</t>
  </si>
  <si>
    <t>6" DEF (NH3)</t>
  </si>
  <si>
    <t>102783-HOU1</t>
  </si>
  <si>
    <t>102783-HOU2</t>
  </si>
  <si>
    <t>102783-HOU3</t>
  </si>
  <si>
    <t>102783-HOU4</t>
  </si>
  <si>
    <t>102783-HOU5</t>
  </si>
  <si>
    <t>102783-HOU6</t>
  </si>
  <si>
    <t>102783-HOU7</t>
  </si>
  <si>
    <t>102783-SLC1</t>
  </si>
  <si>
    <t>102783-SLC2</t>
  </si>
  <si>
    <t>102783-SLC3</t>
  </si>
  <si>
    <t>102783-SLC4</t>
  </si>
  <si>
    <t>102783-SLC5</t>
  </si>
  <si>
    <t>102783-SLC6</t>
  </si>
  <si>
    <t>102783-SLC7</t>
  </si>
  <si>
    <t>102783-TUL1</t>
  </si>
  <si>
    <t>102783-TUL2</t>
  </si>
  <si>
    <t>102783-TUL3</t>
  </si>
  <si>
    <t>102783-TUL4</t>
  </si>
  <si>
    <t>102783-TUL5</t>
  </si>
  <si>
    <t>102783-TUL6</t>
  </si>
  <si>
    <t>102783-TUL7</t>
  </si>
  <si>
    <t>102958</t>
  </si>
  <si>
    <t>24" GMFL2 (22-24) +DEF (20-24)</t>
  </si>
  <si>
    <t>102958-HOU1</t>
  </si>
  <si>
    <t>102958-HOU2</t>
  </si>
  <si>
    <t>102958-SLC1</t>
  </si>
  <si>
    <t>102958-TUL1</t>
  </si>
  <si>
    <t>102958-TUL2</t>
  </si>
  <si>
    <t>103200</t>
  </si>
  <si>
    <t>12x10" GMFL</t>
  </si>
  <si>
    <t>103200-HOU1</t>
  </si>
  <si>
    <t>103200-HOU2</t>
  </si>
  <si>
    <t>103200-HOU3</t>
  </si>
  <si>
    <t>103200-HOU4</t>
  </si>
  <si>
    <t>103200-HOU5</t>
  </si>
  <si>
    <t>103200-HOU6</t>
  </si>
  <si>
    <t>103200-HOU7</t>
  </si>
  <si>
    <t>103200-SLC1</t>
  </si>
  <si>
    <t>103200-SLC2</t>
  </si>
  <si>
    <t>103200-SLC3</t>
  </si>
  <si>
    <t>103200-SLC4</t>
  </si>
  <si>
    <t>103200-SLC5</t>
  </si>
  <si>
    <t>103200-SLC6</t>
  </si>
  <si>
    <t>103200-SLC7</t>
  </si>
  <si>
    <t>103200-TUL1</t>
  </si>
  <si>
    <t>103200-TUL2</t>
  </si>
  <si>
    <t>103200-TUL3</t>
  </si>
  <si>
    <t>103200-TUL4</t>
  </si>
  <si>
    <t>103200-TUL5</t>
  </si>
  <si>
    <t>103200-TUL6</t>
  </si>
  <si>
    <t>103200-TUL7</t>
  </si>
  <si>
    <t>103541</t>
  </si>
  <si>
    <t>12" GMFL+DEF+XYZ (xHD)</t>
  </si>
  <si>
    <t>103541-HOU1</t>
  </si>
  <si>
    <t>103541-HOU2</t>
  </si>
  <si>
    <t>103541-HOU3</t>
  </si>
  <si>
    <t>103541-HOU4</t>
  </si>
  <si>
    <t>103541-HOU5</t>
  </si>
  <si>
    <t>103541-HOU6</t>
  </si>
  <si>
    <t>103541-HOU7</t>
  </si>
  <si>
    <t>103541-SLC1</t>
  </si>
  <si>
    <t>103541-SLC2</t>
  </si>
  <si>
    <t>103541-SLC3</t>
  </si>
  <si>
    <t>103541-SLC4</t>
  </si>
  <si>
    <t>103541-SLC5</t>
  </si>
  <si>
    <t>103541-SLC6</t>
  </si>
  <si>
    <t>103541-SLC7</t>
  </si>
  <si>
    <t>103541-TUL1</t>
  </si>
  <si>
    <t>103541-TUL2</t>
  </si>
  <si>
    <t>103541-TUL3</t>
  </si>
  <si>
    <t>103541-TUL4</t>
  </si>
  <si>
    <t>103541-TUL5</t>
  </si>
  <si>
    <t>103541-TUL6</t>
  </si>
  <si>
    <t>103541-TUL7</t>
  </si>
  <si>
    <t>103550</t>
  </si>
  <si>
    <t>48" GMFL</t>
  </si>
  <si>
    <t>103550-SLC1</t>
  </si>
  <si>
    <t>103829</t>
  </si>
  <si>
    <t>6" LGT Ammonia</t>
  </si>
  <si>
    <t>103829-HOU1</t>
  </si>
  <si>
    <t>103829-SLC1</t>
  </si>
  <si>
    <t>103829-TUL1</t>
  </si>
  <si>
    <t>104863</t>
  </si>
  <si>
    <t>8" DEF3</t>
  </si>
  <si>
    <t>104863-HOU1</t>
  </si>
  <si>
    <t>104863-HOU2</t>
  </si>
  <si>
    <t>104863-HOU3</t>
  </si>
  <si>
    <t>104863-HOU4</t>
  </si>
  <si>
    <t>104863-HOU5</t>
  </si>
  <si>
    <t>104863-HOU6</t>
  </si>
  <si>
    <t>104863-HOU7</t>
  </si>
  <si>
    <t>104863-SLC1</t>
  </si>
  <si>
    <t>104863-SLC2</t>
  </si>
  <si>
    <t>104863-SLC3</t>
  </si>
  <si>
    <t>104863-SLC4</t>
  </si>
  <si>
    <t>104863-SLC5</t>
  </si>
  <si>
    <t>104863-SLC6</t>
  </si>
  <si>
    <t>104863-SLC7</t>
  </si>
  <si>
    <t>104863-TUL1</t>
  </si>
  <si>
    <t>104863-TUL2</t>
  </si>
  <si>
    <t>104863-TUL3</t>
  </si>
  <si>
    <t>104863-TUL4</t>
  </si>
  <si>
    <t>104863-TUL5</t>
  </si>
  <si>
    <t>104863-TUL6</t>
  </si>
  <si>
    <t>104863-TUL7</t>
  </si>
  <si>
    <t>105681</t>
  </si>
  <si>
    <t>105681-HOU1</t>
  </si>
  <si>
    <t>105681-SLC1</t>
  </si>
  <si>
    <t>105681-TUL1</t>
  </si>
  <si>
    <t>106496</t>
  </si>
  <si>
    <t>106496-HOU1</t>
  </si>
  <si>
    <t>106496-HOU2</t>
  </si>
  <si>
    <t>106496-HOU3</t>
  </si>
  <si>
    <t>106496-HOU4</t>
  </si>
  <si>
    <t>106496-HOU5</t>
  </si>
  <si>
    <t>106496-HOU6</t>
  </si>
  <si>
    <t>106496-HOU7</t>
  </si>
  <si>
    <t>106496-SLC1</t>
  </si>
  <si>
    <t>106496-SLC2</t>
  </si>
  <si>
    <t>106496-SLC3</t>
  </si>
  <si>
    <t>106496-SLC4</t>
  </si>
  <si>
    <t>106496-SLC5</t>
  </si>
  <si>
    <t>106496-SLC6</t>
  </si>
  <si>
    <t>106496-SLC7</t>
  </si>
  <si>
    <t>106496-TUL1</t>
  </si>
  <si>
    <t>106496-TUL2</t>
  </si>
  <si>
    <t>106496-TUL3</t>
  </si>
  <si>
    <t>106496-TUL4</t>
  </si>
  <si>
    <t>106496-TUL5</t>
  </si>
  <si>
    <t>106496-TUL6</t>
  </si>
  <si>
    <t>106496-TUL7</t>
  </si>
  <si>
    <t>106625</t>
  </si>
  <si>
    <t>8" MFL (3D NH3)</t>
  </si>
  <si>
    <t>106625-HOU1</t>
  </si>
  <si>
    <t>106625-HOU2</t>
  </si>
  <si>
    <t>106625-HOU3</t>
  </si>
  <si>
    <t>106625-HOU4</t>
  </si>
  <si>
    <t>106625-HOU5</t>
  </si>
  <si>
    <t>106625-HOU6</t>
  </si>
  <si>
    <t>106625-HOU7</t>
  </si>
  <si>
    <t>106625-SLC1</t>
  </si>
  <si>
    <t>106625-SLC2</t>
  </si>
  <si>
    <t>106625-SLC3</t>
  </si>
  <si>
    <t>106625-SLC4</t>
  </si>
  <si>
    <t>106625-SLC5</t>
  </si>
  <si>
    <t>106625-SLC6</t>
  </si>
  <si>
    <t>106625-SLC7</t>
  </si>
  <si>
    <t>106625-TUL1</t>
  </si>
  <si>
    <t>106625-TUL2</t>
  </si>
  <si>
    <t>106625-TUL3</t>
  </si>
  <si>
    <t>106625-TUL4</t>
  </si>
  <si>
    <t>106625-TUL5</t>
  </si>
  <si>
    <t>106625-TUL6</t>
  </si>
  <si>
    <t>106625-TUL7</t>
  </si>
  <si>
    <t>106626</t>
  </si>
  <si>
    <t>8" DEF (NH3)</t>
  </si>
  <si>
    <t>106626-HOU1</t>
  </si>
  <si>
    <t>106626-HOU2</t>
  </si>
  <si>
    <t>106626-HOU3</t>
  </si>
  <si>
    <t>106626-HOU4</t>
  </si>
  <si>
    <t>106626-HOU5</t>
  </si>
  <si>
    <t>106626-HOU6</t>
  </si>
  <si>
    <t>106626-HOU7</t>
  </si>
  <si>
    <t>106626-SLC1</t>
  </si>
  <si>
    <t>106626-SLC2</t>
  </si>
  <si>
    <t>106626-SLC3</t>
  </si>
  <si>
    <t>106626-SLC4</t>
  </si>
  <si>
    <t>106626-SLC5</t>
  </si>
  <si>
    <t>106626-SLC6</t>
  </si>
  <si>
    <t>106626-SLC7</t>
  </si>
  <si>
    <t>106626-TUL1</t>
  </si>
  <si>
    <t>106626-TUL2</t>
  </si>
  <si>
    <t>106626-TUL3</t>
  </si>
  <si>
    <t>106626-TUL4</t>
  </si>
  <si>
    <t>106626-TUL5</t>
  </si>
  <si>
    <t>106626-TUL6</t>
  </si>
  <si>
    <t>106626-TUL7</t>
  </si>
  <si>
    <t>106627</t>
  </si>
  <si>
    <t>10" DEF (NH3)</t>
  </si>
  <si>
    <t>106627-HOU1</t>
  </si>
  <si>
    <t>106627-HOU2</t>
  </si>
  <si>
    <t>106627-HOU3</t>
  </si>
  <si>
    <t>106627-HOU4</t>
  </si>
  <si>
    <t>106627-HOU5</t>
  </si>
  <si>
    <t>106627-HOU6</t>
  </si>
  <si>
    <t>106627-HOU7</t>
  </si>
  <si>
    <t>106627-SLC1</t>
  </si>
  <si>
    <t>106627-SLC2</t>
  </si>
  <si>
    <t>106627-SLC3</t>
  </si>
  <si>
    <t>106627-SLC4</t>
  </si>
  <si>
    <t>106627-SLC5</t>
  </si>
  <si>
    <t>106627-SLC6</t>
  </si>
  <si>
    <t>106627-SLC7</t>
  </si>
  <si>
    <t>106627-TUL1</t>
  </si>
  <si>
    <t>106627-TUL2</t>
  </si>
  <si>
    <t>106627-TUL3</t>
  </si>
  <si>
    <t>106627-TUL4</t>
  </si>
  <si>
    <t>106627-TUL5</t>
  </si>
  <si>
    <t>106627-TUL6</t>
  </si>
  <si>
    <t>106627-TUL7</t>
  </si>
  <si>
    <t>106762SN001</t>
  </si>
  <si>
    <t>ASSY, ENDPLATE, CPU, 8"</t>
  </si>
  <si>
    <t>106762</t>
  </si>
  <si>
    <t>106762SN002</t>
  </si>
  <si>
    <t>ASSY, ENDPLATE, CPU, DEF6, 8" V1 Ultra Res</t>
  </si>
  <si>
    <t>130371</t>
  </si>
  <si>
    <t>106998</t>
  </si>
  <si>
    <t>106998-HOU1</t>
  </si>
  <si>
    <t>106998-SLC1</t>
  </si>
  <si>
    <t>106998-TUL1</t>
  </si>
  <si>
    <t>107400</t>
  </si>
  <si>
    <t>48x36" DEF+XYZ DUAL DIAMETER</t>
  </si>
  <si>
    <t>107400-HOU1</t>
  </si>
  <si>
    <t>107400-SLC1</t>
  </si>
  <si>
    <t>107400-TUL1</t>
  </si>
  <si>
    <t>108206</t>
  </si>
  <si>
    <t>8" MFL+DEF (NH3 3D)</t>
  </si>
  <si>
    <t>108206-HOU1</t>
  </si>
  <si>
    <t>108206-HOU2</t>
  </si>
  <si>
    <t>108206-HOU3</t>
  </si>
  <si>
    <t>108206-HOU4</t>
  </si>
  <si>
    <t>108206-HOU5</t>
  </si>
  <si>
    <t>108206-HOU6</t>
  </si>
  <si>
    <t>108206-HOU7</t>
  </si>
  <si>
    <t>108206-SLC1</t>
  </si>
  <si>
    <t>108206-SLC2</t>
  </si>
  <si>
    <t>108206-SLC3</t>
  </si>
  <si>
    <t>108206-SLC4</t>
  </si>
  <si>
    <t>108206-SLC5</t>
  </si>
  <si>
    <t>108206-SLC6</t>
  </si>
  <si>
    <t>108206-SLC7</t>
  </si>
  <si>
    <t>108206-TUL1</t>
  </si>
  <si>
    <t>108206-TUL2</t>
  </si>
  <si>
    <t>108206-TUL3</t>
  </si>
  <si>
    <t>108206-TUL4</t>
  </si>
  <si>
    <t>108206-TUL5</t>
  </si>
  <si>
    <t>108206-TUL6</t>
  </si>
  <si>
    <t>108206-TUL7</t>
  </si>
  <si>
    <t>108300</t>
  </si>
  <si>
    <t>10" MDS FLEX MFL3+DEF+RES</t>
  </si>
  <si>
    <t>108300-HOU1</t>
  </si>
  <si>
    <t>108300-HOU2</t>
  </si>
  <si>
    <t>108300-SLC1</t>
  </si>
  <si>
    <t>108300-TUL1</t>
  </si>
  <si>
    <t>108307SN001</t>
  </si>
  <si>
    <t>ASSY, CPU, DEF, SC, 10"</t>
  </si>
  <si>
    <t>108307</t>
  </si>
  <si>
    <t>108307SN002</t>
  </si>
  <si>
    <t>108307SN003</t>
  </si>
  <si>
    <t>108342SN001</t>
  </si>
  <si>
    <t>ASSY, CPU, xHD, 8"</t>
  </si>
  <si>
    <t>108342</t>
  </si>
  <si>
    <t>108342SN002</t>
  </si>
  <si>
    <t>108472</t>
  </si>
  <si>
    <t>8" GMFL (Short)- EH</t>
  </si>
  <si>
    <t>108472-HOU1</t>
  </si>
  <si>
    <t>108472-HOU2</t>
  </si>
  <si>
    <t>108472-HOU3</t>
  </si>
  <si>
    <t>108472-HOU4</t>
  </si>
  <si>
    <t>108472-HOU5</t>
  </si>
  <si>
    <t>108472-HOU6</t>
  </si>
  <si>
    <t>108472-HOU7</t>
  </si>
  <si>
    <t>108472-SLC1</t>
  </si>
  <si>
    <t>108472-SLC2</t>
  </si>
  <si>
    <t>108472-SLC3</t>
  </si>
  <si>
    <t>108472-SLC4</t>
  </si>
  <si>
    <t>108472-SLC5</t>
  </si>
  <si>
    <t>108472-SLC6</t>
  </si>
  <si>
    <t>108472-SLC7</t>
  </si>
  <si>
    <t>108472-TUL1</t>
  </si>
  <si>
    <t>108472-TUL2</t>
  </si>
  <si>
    <t>108472-TUL3</t>
  </si>
  <si>
    <t>108472-TUL4</t>
  </si>
  <si>
    <t>108472-TUL5</t>
  </si>
  <si>
    <t>108472-TUL6</t>
  </si>
  <si>
    <t>108472-TUL7</t>
  </si>
  <si>
    <t>108474SN004</t>
  </si>
  <si>
    <t>108474SN006</t>
  </si>
  <si>
    <t>108525SN002</t>
  </si>
  <si>
    <t>ASSY, CPU, GDEF, xHD, 10"</t>
  </si>
  <si>
    <t>108525-01</t>
  </si>
  <si>
    <t>108525SN004</t>
  </si>
  <si>
    <t>ASSY, CPU, DEF, xHD, 10"</t>
  </si>
  <si>
    <t>108525-02</t>
  </si>
  <si>
    <t>108532SN002</t>
  </si>
  <si>
    <t>ASSY, ENDPLATE, CPU, FRONT, xHD, GMFL, 8"</t>
  </si>
  <si>
    <t>108532</t>
  </si>
  <si>
    <t>108556</t>
  </si>
  <si>
    <t>108556-HOU1</t>
  </si>
  <si>
    <t>108556-HOU2</t>
  </si>
  <si>
    <t>108556-HOU3</t>
  </si>
  <si>
    <t>108556-HOU4</t>
  </si>
  <si>
    <t>108556-HOU5</t>
  </si>
  <si>
    <t>108556-HOU6</t>
  </si>
  <si>
    <t>108556-HOU7</t>
  </si>
  <si>
    <t>108556-SLC1</t>
  </si>
  <si>
    <t>108556-SLC2</t>
  </si>
  <si>
    <t>108556-SLC3</t>
  </si>
  <si>
    <t>108556-SLC4</t>
  </si>
  <si>
    <t>108556-SLC5</t>
  </si>
  <si>
    <t>108556-SLC6</t>
  </si>
  <si>
    <t>108556-SLC7</t>
  </si>
  <si>
    <t>108556-TUL1</t>
  </si>
  <si>
    <t>108556-TUL2</t>
  </si>
  <si>
    <t>108556-TUL3</t>
  </si>
  <si>
    <t>108556-TUL4</t>
  </si>
  <si>
    <t>108556-TUL5</t>
  </si>
  <si>
    <t>108556-TUL6</t>
  </si>
  <si>
    <t>108556-TUL7</t>
  </si>
  <si>
    <t>108558</t>
  </si>
  <si>
    <t>108558-HOU1</t>
  </si>
  <si>
    <t>108558-HOU2</t>
  </si>
  <si>
    <t>108558-HOU3</t>
  </si>
  <si>
    <t>108558-HOU4</t>
  </si>
  <si>
    <t>108558-HOU5</t>
  </si>
  <si>
    <t>108558-HOU6</t>
  </si>
  <si>
    <t>108558-HOU7</t>
  </si>
  <si>
    <t>108558-SLC1</t>
  </si>
  <si>
    <t>108558-SLC2</t>
  </si>
  <si>
    <t>108558-SLC3</t>
  </si>
  <si>
    <t>108558-SLC4</t>
  </si>
  <si>
    <t>108558-SLC5</t>
  </si>
  <si>
    <t>108558-SLC6</t>
  </si>
  <si>
    <t>108558-SLC7</t>
  </si>
  <si>
    <t>108558-TUL1</t>
  </si>
  <si>
    <t>108558-TUL2</t>
  </si>
  <si>
    <t>108558-TUL3</t>
  </si>
  <si>
    <t>108558-TUL4</t>
  </si>
  <si>
    <t>108558-TUL5</t>
  </si>
  <si>
    <t>108558-TUL6</t>
  </si>
  <si>
    <t>108558-TUL7</t>
  </si>
  <si>
    <t>108561</t>
  </si>
  <si>
    <t>In Staging</t>
  </si>
  <si>
    <t>108561-HOU1</t>
  </si>
  <si>
    <t>108561-HOU2</t>
  </si>
  <si>
    <t>108561-HOU3</t>
  </si>
  <si>
    <t>108561-HOU4</t>
  </si>
  <si>
    <t>108561-HOU5</t>
  </si>
  <si>
    <t>108561-HOU6</t>
  </si>
  <si>
    <t>108561-HOU7</t>
  </si>
  <si>
    <t>108561-SLC1</t>
  </si>
  <si>
    <t>108561-SLC2</t>
  </si>
  <si>
    <t>108561-SLC3</t>
  </si>
  <si>
    <t>108561-SLC4</t>
  </si>
  <si>
    <t>108561-SLC5</t>
  </si>
  <si>
    <t>108561-SLC6</t>
  </si>
  <si>
    <t>108561-SLC7</t>
  </si>
  <si>
    <t>108561-TUL1</t>
  </si>
  <si>
    <t>108561-TUL2</t>
  </si>
  <si>
    <t>108561-TUL3</t>
  </si>
  <si>
    <t>108561-TUL4</t>
  </si>
  <si>
    <t>108561-TUL5</t>
  </si>
  <si>
    <t>108561-TUL6</t>
  </si>
  <si>
    <t>108561-TUL7</t>
  </si>
  <si>
    <t>108563</t>
  </si>
  <si>
    <t>108563-HOU1</t>
  </si>
  <si>
    <t>108563-HOU2</t>
  </si>
  <si>
    <t>108563-HOU3</t>
  </si>
  <si>
    <t>108563-HOU4</t>
  </si>
  <si>
    <t>108563-HOU5</t>
  </si>
  <si>
    <t>108563-HOU6</t>
  </si>
  <si>
    <t>108563-HOU7</t>
  </si>
  <si>
    <t>108563-SLC1</t>
  </si>
  <si>
    <t>108563-SLC2</t>
  </si>
  <si>
    <t>108563-SLC3</t>
  </si>
  <si>
    <t>108563-SLC4</t>
  </si>
  <si>
    <t>108563-SLC5</t>
  </si>
  <si>
    <t>108563-SLC6</t>
  </si>
  <si>
    <t>108563-SLC7</t>
  </si>
  <si>
    <t>108563-TUL1</t>
  </si>
  <si>
    <t>108563-TUL2</t>
  </si>
  <si>
    <t>108563-TUL3</t>
  </si>
  <si>
    <t>108563-TUL4</t>
  </si>
  <si>
    <t>108563-TUL5</t>
  </si>
  <si>
    <t>108563-TUL6</t>
  </si>
  <si>
    <t>108563-TUL7</t>
  </si>
  <si>
    <t>108571</t>
  </si>
  <si>
    <t>10" DEF (8" Batt) xHD</t>
  </si>
  <si>
    <t>108571-HOU1</t>
  </si>
  <si>
    <t>108571-HOU2</t>
  </si>
  <si>
    <t>108571-HOU3</t>
  </si>
  <si>
    <t>108571-HOU4</t>
  </si>
  <si>
    <t>108571-HOU5</t>
  </si>
  <si>
    <t>108571-HOU6</t>
  </si>
  <si>
    <t>108571-HOU7</t>
  </si>
  <si>
    <t>108571-SLC1</t>
  </si>
  <si>
    <t>108571-SLC2</t>
  </si>
  <si>
    <t>108571-SLC3</t>
  </si>
  <si>
    <t>108571-SLC4</t>
  </si>
  <si>
    <t>108571-SLC5</t>
  </si>
  <si>
    <t>108571-SLC6</t>
  </si>
  <si>
    <t>108571-SLC7</t>
  </si>
  <si>
    <t>108571-TUL1</t>
  </si>
  <si>
    <t>108571-TUL2</t>
  </si>
  <si>
    <t>108571-TUL3</t>
  </si>
  <si>
    <t>108571-TUL4</t>
  </si>
  <si>
    <t>108571-TUL5</t>
  </si>
  <si>
    <t>108571-TUL6</t>
  </si>
  <si>
    <t>108571-TUL7</t>
  </si>
  <si>
    <t>108577</t>
  </si>
  <si>
    <t>10" MFL+DEF (8" Batt xHD)</t>
  </si>
  <si>
    <t>108577-HOU1</t>
  </si>
  <si>
    <t>108577-HOU2</t>
  </si>
  <si>
    <t>108577-HOU3</t>
  </si>
  <si>
    <t>108577-HOU4</t>
  </si>
  <si>
    <t>108577-HOU5</t>
  </si>
  <si>
    <t>108577-HOU6</t>
  </si>
  <si>
    <t>108577-HOU7</t>
  </si>
  <si>
    <t>108577-SLC1</t>
  </si>
  <si>
    <t>108577-SLC2</t>
  </si>
  <si>
    <t>108577-SLC3</t>
  </si>
  <si>
    <t>108577-SLC4</t>
  </si>
  <si>
    <t>108577-SLC5</t>
  </si>
  <si>
    <t>108577-SLC6</t>
  </si>
  <si>
    <t>108577-SLC7</t>
  </si>
  <si>
    <t>108577-TUL1</t>
  </si>
  <si>
    <t>108577-TUL2</t>
  </si>
  <si>
    <t>108577-TUL3</t>
  </si>
  <si>
    <t>108577-TUL4</t>
  </si>
  <si>
    <t>108577-TUL5</t>
  </si>
  <si>
    <t>108577-TUL6</t>
  </si>
  <si>
    <t>108577-TUL7</t>
  </si>
  <si>
    <t>108704SN001</t>
  </si>
  <si>
    <t>ASSY, CPU, MAPPING, SHORT COMBO, 8"</t>
  </si>
  <si>
    <t>108704</t>
  </si>
  <si>
    <t>108734</t>
  </si>
  <si>
    <t>16" MFL ATEX</t>
  </si>
  <si>
    <t>108734-HOU1</t>
  </si>
  <si>
    <t>108734-HOU2</t>
  </si>
  <si>
    <t>108734-TUL1</t>
  </si>
  <si>
    <t>108740</t>
  </si>
  <si>
    <t>12" GMFL ATEX</t>
  </si>
  <si>
    <t>108740-HOU1</t>
  </si>
  <si>
    <t>108740-HOU2</t>
  </si>
  <si>
    <t>108740-HOU3</t>
  </si>
  <si>
    <t>108740-HOU4</t>
  </si>
  <si>
    <t>108740-HOU5</t>
  </si>
  <si>
    <t>108740-HOU6</t>
  </si>
  <si>
    <t>108740-HOU7</t>
  </si>
  <si>
    <t>108740-SLC1</t>
  </si>
  <si>
    <t>108740-SLC2</t>
  </si>
  <si>
    <t>108740-SLC3</t>
  </si>
  <si>
    <t>108740-SLC4</t>
  </si>
  <si>
    <t>108740-SLC5</t>
  </si>
  <si>
    <t>108740-SLC6</t>
  </si>
  <si>
    <t>108740-SLC7</t>
  </si>
  <si>
    <t>108740-TUL1</t>
  </si>
  <si>
    <t>108740-TUL2</t>
  </si>
  <si>
    <t>108740-TUL3</t>
  </si>
  <si>
    <t>108740-TUL4</t>
  </si>
  <si>
    <t>108740-TUL5</t>
  </si>
  <si>
    <t>108740-TUL6</t>
  </si>
  <si>
    <t>108740-TUL7</t>
  </si>
  <si>
    <t>108765</t>
  </si>
  <si>
    <t>14" GMFL+DEF ATEX</t>
  </si>
  <si>
    <t>108765-HOU1</t>
  </si>
  <si>
    <t>108765-HOU2</t>
  </si>
  <si>
    <t>108765-HOU3</t>
  </si>
  <si>
    <t>108765-HOU4</t>
  </si>
  <si>
    <t>108765-HOU5</t>
  </si>
  <si>
    <t>108765-HOU6</t>
  </si>
  <si>
    <t>108765-HOU7</t>
  </si>
  <si>
    <t>108765-SLC1</t>
  </si>
  <si>
    <t>108765-SLC2</t>
  </si>
  <si>
    <t>108765-SLC3</t>
  </si>
  <si>
    <t>108765-SLC4</t>
  </si>
  <si>
    <t>108765-SLC5</t>
  </si>
  <si>
    <t>108765-SLC6</t>
  </si>
  <si>
    <t>108765-SLC7</t>
  </si>
  <si>
    <t>108765-TUL1</t>
  </si>
  <si>
    <t>108765-TUL2</t>
  </si>
  <si>
    <t>108765-TUL3</t>
  </si>
  <si>
    <t>108765-TUL4</t>
  </si>
  <si>
    <t>108765-TUL5</t>
  </si>
  <si>
    <t>108765-TUL6</t>
  </si>
  <si>
    <t>108765-TUL7</t>
  </si>
  <si>
    <t>108766</t>
  </si>
  <si>
    <t>108766-HOU1</t>
  </si>
  <si>
    <t>108766-HOU2</t>
  </si>
  <si>
    <t>108766-HOU3</t>
  </si>
  <si>
    <t>108766-HOU4</t>
  </si>
  <si>
    <t>108766-HOU5</t>
  </si>
  <si>
    <t>108766-HOU6</t>
  </si>
  <si>
    <t>108766-HOU7</t>
  </si>
  <si>
    <t>108766-SLC1</t>
  </si>
  <si>
    <t>108766-SLC2</t>
  </si>
  <si>
    <t>108766-SLC3</t>
  </si>
  <si>
    <t>108766-SLC4</t>
  </si>
  <si>
    <t>108766-SLC5</t>
  </si>
  <si>
    <t>108766-SLC6</t>
  </si>
  <si>
    <t>108766-SLC7</t>
  </si>
  <si>
    <t>108766-TUL1</t>
  </si>
  <si>
    <t>108766-TUL2</t>
  </si>
  <si>
    <t>108766-TUL3</t>
  </si>
  <si>
    <t>108766-TUL4</t>
  </si>
  <si>
    <t>108766-TUL5</t>
  </si>
  <si>
    <t>108766-TUL6</t>
  </si>
  <si>
    <t>108766-TUL7</t>
  </si>
  <si>
    <t>108768</t>
  </si>
  <si>
    <t>12" MFL+DEF ATEX</t>
  </si>
  <si>
    <t>108768-HOU1</t>
  </si>
  <si>
    <t>108768-HOU2</t>
  </si>
  <si>
    <t>108768-HOU3</t>
  </si>
  <si>
    <t>108768-HOU4</t>
  </si>
  <si>
    <t>108768-HOU5</t>
  </si>
  <si>
    <t>108768-HOU6</t>
  </si>
  <si>
    <t>108768-HOU7</t>
  </si>
  <si>
    <t>108768-SLC1</t>
  </si>
  <si>
    <t>108768-SLC2</t>
  </si>
  <si>
    <t>108768-SLC3</t>
  </si>
  <si>
    <t>108768-SLC4</t>
  </si>
  <si>
    <t>108768-SLC5</t>
  </si>
  <si>
    <t>108768-SLC6</t>
  </si>
  <si>
    <t>108768-SLC7</t>
  </si>
  <si>
    <t>108768-TUL1</t>
  </si>
  <si>
    <t>108768-TUL2</t>
  </si>
  <si>
    <t>108768-TUL3</t>
  </si>
  <si>
    <t>108768-TUL4</t>
  </si>
  <si>
    <t>108768-TUL5</t>
  </si>
  <si>
    <t>108768-TUL6</t>
  </si>
  <si>
    <t>108768-TUL7</t>
  </si>
  <si>
    <t>108769</t>
  </si>
  <si>
    <t>14" MFL+DEF ATEX</t>
  </si>
  <si>
    <t>108769-HOU1</t>
  </si>
  <si>
    <t>108769-HOU2</t>
  </si>
  <si>
    <t>108769-HOU3</t>
  </si>
  <si>
    <t>108769-HOU4</t>
  </si>
  <si>
    <t>108769-HOU5</t>
  </si>
  <si>
    <t>108769-HOU6</t>
  </si>
  <si>
    <t>108769-HOU7</t>
  </si>
  <si>
    <t>108769-SLC1</t>
  </si>
  <si>
    <t>108769-SLC2</t>
  </si>
  <si>
    <t>108769-SLC3</t>
  </si>
  <si>
    <t>108769-SLC4</t>
  </si>
  <si>
    <t>108769-SLC5</t>
  </si>
  <si>
    <t>108769-SLC6</t>
  </si>
  <si>
    <t>108769-SLC7</t>
  </si>
  <si>
    <t>108769-TUL1</t>
  </si>
  <si>
    <t>108769-TUL2</t>
  </si>
  <si>
    <t>108769-TUL3</t>
  </si>
  <si>
    <t>108769-TUL4</t>
  </si>
  <si>
    <t>108769-TUL5</t>
  </si>
  <si>
    <t>108769-TUL6</t>
  </si>
  <si>
    <t>108769-TUL7</t>
  </si>
  <si>
    <t>108841</t>
  </si>
  <si>
    <t>12" DEF   (12-14) (8BAT Drive) xHD</t>
  </si>
  <si>
    <t>108841-HOU1</t>
  </si>
  <si>
    <t>12" DEF  (12-14) (8BAT Drive) xHD</t>
  </si>
  <si>
    <t>108841-HOU2</t>
  </si>
  <si>
    <t>108841-HOU3</t>
  </si>
  <si>
    <t>108841-HOU4</t>
  </si>
  <si>
    <t>108841-HOU5</t>
  </si>
  <si>
    <t>108841-HOU6</t>
  </si>
  <si>
    <t>108841-HOU7</t>
  </si>
  <si>
    <t>108841-SLC1</t>
  </si>
  <si>
    <t>108841-SLC2</t>
  </si>
  <si>
    <t>108841-SLC3</t>
  </si>
  <si>
    <t>108841-SLC4</t>
  </si>
  <si>
    <t>108841-SLC5</t>
  </si>
  <si>
    <t>108841-SLC6</t>
  </si>
  <si>
    <t>108841-SLC7</t>
  </si>
  <si>
    <t>108841-TUL1</t>
  </si>
  <si>
    <t>108841-TUL2</t>
  </si>
  <si>
    <t>108841-TUL3</t>
  </si>
  <si>
    <t>108841-TUL4</t>
  </si>
  <si>
    <t>108841-TUL5</t>
  </si>
  <si>
    <t>108841-TUL6</t>
  </si>
  <si>
    <t>108841-TUL7</t>
  </si>
  <si>
    <t>108847</t>
  </si>
  <si>
    <t>108847-HOU1</t>
  </si>
  <si>
    <t>108847-SLC1</t>
  </si>
  <si>
    <t>108847-TUL1</t>
  </si>
  <si>
    <t>108848</t>
  </si>
  <si>
    <t>108848-HOU1</t>
  </si>
  <si>
    <t>108848-SLC1</t>
  </si>
  <si>
    <t>108848-TUL1</t>
  </si>
  <si>
    <t>108908SN001</t>
  </si>
  <si>
    <t>ASSY, ENDPLATE, REAR, MAPPING, DEF, 12"</t>
  </si>
  <si>
    <t>108908</t>
  </si>
  <si>
    <t>108908SN002</t>
  </si>
  <si>
    <t>108917</t>
  </si>
  <si>
    <t>108917-HOU1</t>
  </si>
  <si>
    <t>108917-HOU2</t>
  </si>
  <si>
    <t>108917-SLC1</t>
  </si>
  <si>
    <t>108917-TUL1</t>
  </si>
  <si>
    <t>108917-TUL2</t>
  </si>
  <si>
    <t>108917-TUL3</t>
  </si>
  <si>
    <t>108922</t>
  </si>
  <si>
    <t>12" MDS FLEX MFL2+DEF2+XYZ+LFM</t>
  </si>
  <si>
    <t>108922-HOU1</t>
  </si>
  <si>
    <t>108922-HOU2</t>
  </si>
  <si>
    <t>108922-SLC1</t>
  </si>
  <si>
    <t>108922-TUL1</t>
  </si>
  <si>
    <t>108922-TUL2</t>
  </si>
  <si>
    <t>108922-TUL3</t>
  </si>
  <si>
    <t>108923</t>
  </si>
  <si>
    <t>12" MDS FLEX MFL2+DEF2+LFM</t>
  </si>
  <si>
    <t>108923-HOU1</t>
  </si>
  <si>
    <t>108923-HOU2</t>
  </si>
  <si>
    <t>108923-SLC1</t>
  </si>
  <si>
    <t>108923-TUL1</t>
  </si>
  <si>
    <t>108923-TUL2</t>
  </si>
  <si>
    <t>108923-TUL3</t>
  </si>
  <si>
    <t>108977SN001</t>
  </si>
  <si>
    <t>ASSY, ENDPLATE, REAR, CPU, MFL2, 16"</t>
  </si>
  <si>
    <t>108977</t>
  </si>
  <si>
    <t>109011SN001</t>
  </si>
  <si>
    <t>ASSY, ENDPLATE, FRONT, NO IMU, DEF, 16"</t>
  </si>
  <si>
    <t>109011</t>
  </si>
  <si>
    <t>109090</t>
  </si>
  <si>
    <t>109090-HOU1</t>
  </si>
  <si>
    <t>109090-HOU2</t>
  </si>
  <si>
    <t>109090-HOU3</t>
  </si>
  <si>
    <t>109090-HOU4</t>
  </si>
  <si>
    <t>109090-HOU5</t>
  </si>
  <si>
    <t>109090-HOU6</t>
  </si>
  <si>
    <t>109090-HOU7</t>
  </si>
  <si>
    <t>109090-SLC1</t>
  </si>
  <si>
    <t>109090-SLC2</t>
  </si>
  <si>
    <t>109090-SLC3</t>
  </si>
  <si>
    <t>109090-SLC4</t>
  </si>
  <si>
    <t>109090-SLC5</t>
  </si>
  <si>
    <t>109090-SLC6</t>
  </si>
  <si>
    <t>109090-SLC7</t>
  </si>
  <si>
    <t>109090-TUL1</t>
  </si>
  <si>
    <t>109090-TUL2</t>
  </si>
  <si>
    <t>109090-TUL3</t>
  </si>
  <si>
    <t>109090-TUL4</t>
  </si>
  <si>
    <t>109090-TUL5</t>
  </si>
  <si>
    <t>109090-TUL6</t>
  </si>
  <si>
    <t>109090-TUL7</t>
  </si>
  <si>
    <t>109093SN002</t>
  </si>
  <si>
    <t>ASSY, ENDPLATE, CPU, xHD, GMFL, 24"</t>
  </si>
  <si>
    <t>109093</t>
  </si>
  <si>
    <t>109168</t>
  </si>
  <si>
    <t>109168-HOU1</t>
  </si>
  <si>
    <t>109168-SLC1</t>
  </si>
  <si>
    <t>109168-TUL1</t>
  </si>
  <si>
    <t>109179</t>
  </si>
  <si>
    <t>16" DEF2 (GCPU xHD)</t>
  </si>
  <si>
    <t>109179-HOU1</t>
  </si>
  <si>
    <t>109179-HOU2</t>
  </si>
  <si>
    <t>109179-SLC1</t>
  </si>
  <si>
    <t>109179-TUL1</t>
  </si>
  <si>
    <t>109179-TUL2</t>
  </si>
  <si>
    <t>109179-TUL3</t>
  </si>
  <si>
    <t>109180</t>
  </si>
  <si>
    <t>109180-HOU1</t>
  </si>
  <si>
    <t>109180-SLC1</t>
  </si>
  <si>
    <t>109180-TUL1</t>
  </si>
  <si>
    <t>109248</t>
  </si>
  <si>
    <t>109248-HOU1</t>
  </si>
  <si>
    <t>109248-HOU2</t>
  </si>
  <si>
    <t>109248-SLC1</t>
  </si>
  <si>
    <t>109248-TUL1</t>
  </si>
  <si>
    <t>109248-TUL2</t>
  </si>
  <si>
    <t>109248-TUL3</t>
  </si>
  <si>
    <t>109249</t>
  </si>
  <si>
    <t>109249-HOU1</t>
  </si>
  <si>
    <t>109249-HOU2</t>
  </si>
  <si>
    <t>109249-SLC1</t>
  </si>
  <si>
    <t>109249-TUL1</t>
  </si>
  <si>
    <t>109249-TUL2</t>
  </si>
  <si>
    <t>109249-TUL3</t>
  </si>
  <si>
    <t>109346</t>
  </si>
  <si>
    <t>109346-HOU1</t>
  </si>
  <si>
    <t>109346-HOU2</t>
  </si>
  <si>
    <t>109346-SLC1</t>
  </si>
  <si>
    <t>109346-TUL1</t>
  </si>
  <si>
    <t>109346-TUL2</t>
  </si>
  <si>
    <t>109357</t>
  </si>
  <si>
    <t>20" MFL+DEF2 ATEX</t>
  </si>
  <si>
    <t>109357-HOU1</t>
  </si>
  <si>
    <t>109357-SLC1</t>
  </si>
  <si>
    <t>109357-TUL1</t>
  </si>
  <si>
    <t>109410</t>
  </si>
  <si>
    <t>109410-HOU1</t>
  </si>
  <si>
    <t>109410-HOU2</t>
  </si>
  <si>
    <t>109410-SLC1</t>
  </si>
  <si>
    <t>109410-TUL1</t>
  </si>
  <si>
    <t>109410-TUL2</t>
  </si>
  <si>
    <t>109465</t>
  </si>
  <si>
    <t>24" GMFL2+DEF ATEX</t>
  </si>
  <si>
    <t>109465-HOU1</t>
  </si>
  <si>
    <t>109465-HOU2</t>
  </si>
  <si>
    <t>109465-SLC1</t>
  </si>
  <si>
    <t>109465-TUL1</t>
  </si>
  <si>
    <t>109465-TUL2</t>
  </si>
  <si>
    <t>109492</t>
  </si>
  <si>
    <t>20" GMFL ATEX</t>
  </si>
  <si>
    <t>109492-HOU1</t>
  </si>
  <si>
    <t>109492-SLC1</t>
  </si>
  <si>
    <t>109492-TUL1</t>
  </si>
  <si>
    <t>109492-TUL2</t>
  </si>
  <si>
    <t>109528SN002</t>
  </si>
  <si>
    <t>109528SN004</t>
  </si>
  <si>
    <t>109528SN005</t>
  </si>
  <si>
    <t>109575</t>
  </si>
  <si>
    <t>16" MDS FLEX MFL2+DEF2+LFM</t>
  </si>
  <si>
    <t>109575-HOU1</t>
  </si>
  <si>
    <t>109575-SLC1</t>
  </si>
  <si>
    <t>109575-SLC2</t>
  </si>
  <si>
    <t>109575-TUL1</t>
  </si>
  <si>
    <t>109576</t>
  </si>
  <si>
    <t>16" MDS FLEX MFL2+DEF2+XYZ+LFM</t>
  </si>
  <si>
    <t>109576-HOU1</t>
  </si>
  <si>
    <t>109576-SLC1</t>
  </si>
  <si>
    <t>109576-SLC2</t>
  </si>
  <si>
    <t>109576-TUL1</t>
  </si>
  <si>
    <t>109620</t>
  </si>
  <si>
    <t>22" MFL (20-22) + DEF (20-24) ATEX</t>
  </si>
  <si>
    <t>109620-HOU1</t>
  </si>
  <si>
    <t>109620-SLC1</t>
  </si>
  <si>
    <t>109620-TUL1</t>
  </si>
  <si>
    <t>109627</t>
  </si>
  <si>
    <t>20" MFL ATEX</t>
  </si>
  <si>
    <t>109627-01-HOU1</t>
  </si>
  <si>
    <t>109627-01-SLC1</t>
  </si>
  <si>
    <t>109627-01-TUL1</t>
  </si>
  <si>
    <t>109627-HOU1</t>
  </si>
  <si>
    <t>109627-SLC1</t>
  </si>
  <si>
    <t>109627-TUL1</t>
  </si>
  <si>
    <t>109628</t>
  </si>
  <si>
    <t>20" DEF2 ATEX</t>
  </si>
  <si>
    <t>109628-HOU1</t>
  </si>
  <si>
    <t>109628-HOU2</t>
  </si>
  <si>
    <t>109628-HOU3</t>
  </si>
  <si>
    <t>109628-HOU4</t>
  </si>
  <si>
    <t>109628-HOU5</t>
  </si>
  <si>
    <t>109628-SLC1</t>
  </si>
  <si>
    <t>109628-TUL1</t>
  </si>
  <si>
    <t>109628-TUL2</t>
  </si>
  <si>
    <t>109628-TUL3</t>
  </si>
  <si>
    <t>109660</t>
  </si>
  <si>
    <t>20" GMFL+DEF2 ATEX</t>
  </si>
  <si>
    <t>109660-HOU1</t>
  </si>
  <si>
    <t>109660-SLC1</t>
  </si>
  <si>
    <t>109660-TUL1</t>
  </si>
  <si>
    <t>109660-TUL2</t>
  </si>
  <si>
    <t>109919SN001</t>
  </si>
  <si>
    <t>109938</t>
  </si>
  <si>
    <t>30" GMFL2 (HW)</t>
  </si>
  <si>
    <t>109938-TUL1</t>
  </si>
  <si>
    <t>10CPU05</t>
  </si>
  <si>
    <t>ASSY, CPU ENDPLATE, NH3, 10"</t>
  </si>
  <si>
    <t>110279</t>
  </si>
  <si>
    <t>10CPU06</t>
  </si>
  <si>
    <t>10CPU13</t>
  </si>
  <si>
    <t>10DEA02</t>
  </si>
  <si>
    <t>10DEA03</t>
  </si>
  <si>
    <t>10DEA08</t>
  </si>
  <si>
    <t>10DRV01</t>
  </si>
  <si>
    <t>ASSY, DRIVE SECTION, NH3, 10"</t>
  </si>
  <si>
    <t>101051</t>
  </si>
  <si>
    <t>10DRV02</t>
  </si>
  <si>
    <t>ASSY, DRIVE SECTION</t>
  </si>
  <si>
    <t>10_120</t>
  </si>
  <si>
    <t>10DRV03</t>
  </si>
  <si>
    <t>10DRV04</t>
  </si>
  <si>
    <t>10DRV05</t>
  </si>
  <si>
    <t>10DRV07</t>
  </si>
  <si>
    <t>10DRV11</t>
  </si>
  <si>
    <t>ASSY, DRIVE MODULE, 10" MFL</t>
  </si>
  <si>
    <t>100812</t>
  </si>
  <si>
    <t>10DRV13</t>
  </si>
  <si>
    <t>10DRV15</t>
  </si>
  <si>
    <t>10DRV16</t>
  </si>
  <si>
    <t>10DRV19</t>
  </si>
  <si>
    <t>10GDEA02</t>
  </si>
  <si>
    <t>10GDEA03</t>
  </si>
  <si>
    <t>ASSY, ENDPLATE, FRONT, CALIPER SECTION, NH3</t>
  </si>
  <si>
    <t>107984</t>
  </si>
  <si>
    <t>10GDRV02</t>
  </si>
  <si>
    <t>10GDRV03</t>
  </si>
  <si>
    <t>10GDRV04</t>
  </si>
  <si>
    <t>10GMAG03</t>
  </si>
  <si>
    <t>ASSY, MAGNETIZER, GMFL, 10"</t>
  </si>
  <si>
    <t>108557</t>
  </si>
  <si>
    <t>10GXMT02</t>
  </si>
  <si>
    <t>ASSY, TRANSMITTER, xHD, GMFL, 10"</t>
  </si>
  <si>
    <t>112131</t>
  </si>
  <si>
    <t>10MCPU04</t>
  </si>
  <si>
    <t>ASSY, ENDPLATE, CPU, MAPPING, CHAIN COUPLER, 10"-12"</t>
  </si>
  <si>
    <t>102324</t>
  </si>
  <si>
    <t>10MCPU07</t>
  </si>
  <si>
    <t>10MCPU09</t>
  </si>
  <si>
    <t>10MCPU10</t>
  </si>
  <si>
    <t>10MCPU14</t>
  </si>
  <si>
    <t>10MXMT01</t>
  </si>
  <si>
    <t>10MXMT05</t>
  </si>
  <si>
    <t>10MXMT06</t>
  </si>
  <si>
    <t>10MXMT07</t>
  </si>
  <si>
    <t>10MXMT08</t>
  </si>
  <si>
    <t>110067</t>
  </si>
  <si>
    <t>110067-HOU1</t>
  </si>
  <si>
    <t>110067-TUL1</t>
  </si>
  <si>
    <t>110179</t>
  </si>
  <si>
    <t>42" DEF (Short)</t>
  </si>
  <si>
    <t>110179-TUL1</t>
  </si>
  <si>
    <t>110250</t>
  </si>
  <si>
    <t>8" MFL2 (Hybrid) xHD</t>
  </si>
  <si>
    <t>110250-HOU1</t>
  </si>
  <si>
    <t>110250-HOU2</t>
  </si>
  <si>
    <t>110250-HOU3</t>
  </si>
  <si>
    <t>110250-HOU4</t>
  </si>
  <si>
    <t>110250-HOU5</t>
  </si>
  <si>
    <t>110250-HOU6</t>
  </si>
  <si>
    <t>110250-HOU7</t>
  </si>
  <si>
    <t>110250-SLC1</t>
  </si>
  <si>
    <t>110250-SLC2</t>
  </si>
  <si>
    <t>110250-SLC3</t>
  </si>
  <si>
    <t>110250-SLC4</t>
  </si>
  <si>
    <t>110250-SLC5</t>
  </si>
  <si>
    <t>110250-SLC6</t>
  </si>
  <si>
    <t>110250-SLC7</t>
  </si>
  <si>
    <t>110250-TUL1</t>
  </si>
  <si>
    <t>110250-TUL2</t>
  </si>
  <si>
    <t>110250-TUL3</t>
  </si>
  <si>
    <t>110250-TUL4</t>
  </si>
  <si>
    <t>110250-TUL5</t>
  </si>
  <si>
    <t>110250-TUL6</t>
  </si>
  <si>
    <t>110250-TUL7</t>
  </si>
  <si>
    <t>110251</t>
  </si>
  <si>
    <t>110251-HOU1</t>
  </si>
  <si>
    <t>110251-SLC1</t>
  </si>
  <si>
    <t>110251-TUL1</t>
  </si>
  <si>
    <t>110269SN001</t>
  </si>
  <si>
    <t>ASSY, ENDPLATE, CPU, FRONT, NH3, 6", W/ GEN 4 CPU</t>
  </si>
  <si>
    <t>110269</t>
  </si>
  <si>
    <t>110269SN002</t>
  </si>
  <si>
    <t>110403</t>
  </si>
  <si>
    <t>10" DEF ATEX</t>
  </si>
  <si>
    <t>110403-HOU1</t>
  </si>
  <si>
    <t>110403-HOU2</t>
  </si>
  <si>
    <t>110403-HOU3</t>
  </si>
  <si>
    <t>110403-HOU4</t>
  </si>
  <si>
    <t>110403-HOU5</t>
  </si>
  <si>
    <t>110403-HOU6</t>
  </si>
  <si>
    <t>110403-HOU7</t>
  </si>
  <si>
    <t>110403-SLC1</t>
  </si>
  <si>
    <t>110403-SLC2</t>
  </si>
  <si>
    <t>110403-SLC3</t>
  </si>
  <si>
    <t>110403-SLC4</t>
  </si>
  <si>
    <t>110403-SLC5</t>
  </si>
  <si>
    <t>110403-SLC6</t>
  </si>
  <si>
    <t>110403-SLC7</t>
  </si>
  <si>
    <t>110403-TUL1</t>
  </si>
  <si>
    <t>110403-TUL2</t>
  </si>
  <si>
    <t>110403-TUL3</t>
  </si>
  <si>
    <t>110403-TUL4</t>
  </si>
  <si>
    <t>110403-TUL5</t>
  </si>
  <si>
    <t>110403-TUL6</t>
  </si>
  <si>
    <t>110403-TUL7</t>
  </si>
  <si>
    <t>110410</t>
  </si>
  <si>
    <t>14" DEF ATEX</t>
  </si>
  <si>
    <t>110410-HOU1</t>
  </si>
  <si>
    <t>110410-HOU2</t>
  </si>
  <si>
    <t>110410-HOU3</t>
  </si>
  <si>
    <t>110410-HOU4</t>
  </si>
  <si>
    <t>110410-HOU5</t>
  </si>
  <si>
    <t>110410-HOU6</t>
  </si>
  <si>
    <t>110410-HOU7</t>
  </si>
  <si>
    <t>110410-SLC1</t>
  </si>
  <si>
    <t>110410-SLC2</t>
  </si>
  <si>
    <t>110410-SLC3</t>
  </si>
  <si>
    <t>110410-SLC4</t>
  </si>
  <si>
    <t>110410-SLC5</t>
  </si>
  <si>
    <t>110410-SLC6</t>
  </si>
  <si>
    <t>110410-SLC7</t>
  </si>
  <si>
    <t>110410-TUL1</t>
  </si>
  <si>
    <t>110410-TUL2</t>
  </si>
  <si>
    <t>110410-TUL3</t>
  </si>
  <si>
    <t>110410-TUL4</t>
  </si>
  <si>
    <t>110410-TUL5</t>
  </si>
  <si>
    <t>110410-TUL6</t>
  </si>
  <si>
    <t>110410-TUL7</t>
  </si>
  <si>
    <t>110470</t>
  </si>
  <si>
    <t>24" MDS FLEX MFL3+DEF+LFM+XYZ</t>
  </si>
  <si>
    <t>110470-HOU1</t>
  </si>
  <si>
    <t>110470-SLC1</t>
  </si>
  <si>
    <t>110470-TUL1</t>
  </si>
  <si>
    <t>110470-TUL2</t>
  </si>
  <si>
    <t>110486</t>
  </si>
  <si>
    <t>110486-HOU1</t>
  </si>
  <si>
    <t>110486-SLC1</t>
  </si>
  <si>
    <t>110486-TUL1</t>
  </si>
  <si>
    <t>110533</t>
  </si>
  <si>
    <t>110533-TUL1</t>
  </si>
  <si>
    <t>110548</t>
  </si>
  <si>
    <t>110548-HOU1</t>
  </si>
  <si>
    <t>110548-HOU2</t>
  </si>
  <si>
    <t>110548-HOU3</t>
  </si>
  <si>
    <t>110548-HOU4</t>
  </si>
  <si>
    <t>110548-HOU5</t>
  </si>
  <si>
    <t>110548-HOU6</t>
  </si>
  <si>
    <t>110548-HOU7</t>
  </si>
  <si>
    <t>110548-SLC1</t>
  </si>
  <si>
    <t>110548-SLC2</t>
  </si>
  <si>
    <t>110548-SLC3</t>
  </si>
  <si>
    <t>110548-SLC4</t>
  </si>
  <si>
    <t>110548-SLC5</t>
  </si>
  <si>
    <t>110548-SLC6</t>
  </si>
  <si>
    <t>110548-SLC7</t>
  </si>
  <si>
    <t>110548-TUL1</t>
  </si>
  <si>
    <t>110548-TUL2</t>
  </si>
  <si>
    <t>110548-TUL3</t>
  </si>
  <si>
    <t>110548-TUL4</t>
  </si>
  <si>
    <t>110548-TUL5</t>
  </si>
  <si>
    <t>110548-TUL6</t>
  </si>
  <si>
    <t>110548-TUL7</t>
  </si>
  <si>
    <t>110629</t>
  </si>
  <si>
    <t>14" MFL ATEX</t>
  </si>
  <si>
    <t>110629-HOU1</t>
  </si>
  <si>
    <t>110629-HOU2</t>
  </si>
  <si>
    <t>110629-HOU3</t>
  </si>
  <si>
    <t>110629-HOU4</t>
  </si>
  <si>
    <t>110629-HOU5</t>
  </si>
  <si>
    <t>110629-HOU6</t>
  </si>
  <si>
    <t>110629-HOU7</t>
  </si>
  <si>
    <t>110629-SLC1</t>
  </si>
  <si>
    <t>110629-SLC2</t>
  </si>
  <si>
    <t>110629-SLC3</t>
  </si>
  <si>
    <t>110629-SLC4</t>
  </si>
  <si>
    <t>110629-SLC5</t>
  </si>
  <si>
    <t>110629-SLC6</t>
  </si>
  <si>
    <t>110629-SLC7</t>
  </si>
  <si>
    <t>110629-TUL1</t>
  </si>
  <si>
    <t>110629-TUL2</t>
  </si>
  <si>
    <t>110629-TUL3</t>
  </si>
  <si>
    <t>110629-TUL4</t>
  </si>
  <si>
    <t>110629-TUL5</t>
  </si>
  <si>
    <t>110629-TUL6</t>
  </si>
  <si>
    <t>110629-TUL7</t>
  </si>
  <si>
    <t>110639</t>
  </si>
  <si>
    <t>24" DEF1+XYZ(20-24) ATEX</t>
  </si>
  <si>
    <t>110639-HOU1</t>
  </si>
  <si>
    <t>110639-HOU2</t>
  </si>
  <si>
    <t>110639-SLC1</t>
  </si>
  <si>
    <t>110639-TUL1</t>
  </si>
  <si>
    <t>110639-TUL2</t>
  </si>
  <si>
    <t>110647SN001</t>
  </si>
  <si>
    <t>ASSY, ENDPLATE, FRONT, BATTERY, LFM, 24"</t>
  </si>
  <si>
    <t>BATT</t>
  </si>
  <si>
    <t>110647-03</t>
  </si>
  <si>
    <t>110708SN001</t>
  </si>
  <si>
    <t>ASSY, ENDPLATE, REAR, CPU, 24"</t>
  </si>
  <si>
    <t>110708</t>
  </si>
  <si>
    <t>110713SN001</t>
  </si>
  <si>
    <t>ASSY, ENDPLATE, FRONT, CPU, XYZ, 24"</t>
  </si>
  <si>
    <t>110713-01</t>
  </si>
  <si>
    <t>110864</t>
  </si>
  <si>
    <t>10" MFL ATEX</t>
  </si>
  <si>
    <t>110864-HOU1</t>
  </si>
  <si>
    <t>110864-HOU2</t>
  </si>
  <si>
    <t>110864-HOU3</t>
  </si>
  <si>
    <t>110864-HOU4</t>
  </si>
  <si>
    <t>110864-HOU5</t>
  </si>
  <si>
    <t>110864-HOU6</t>
  </si>
  <si>
    <t>110864-HOU7</t>
  </si>
  <si>
    <t>110864-SLC1</t>
  </si>
  <si>
    <t>110864-SLC2</t>
  </si>
  <si>
    <t>110864-SLC3</t>
  </si>
  <si>
    <t>110864-SLC4</t>
  </si>
  <si>
    <t>110864-SLC5</t>
  </si>
  <si>
    <t>110864-SLC6</t>
  </si>
  <si>
    <t>110864-SLC7</t>
  </si>
  <si>
    <t>110864-TUL1</t>
  </si>
  <si>
    <t>110864-TUL2</t>
  </si>
  <si>
    <t>110864-TUL3</t>
  </si>
  <si>
    <t>110864-TUL4</t>
  </si>
  <si>
    <t>110864-TUL5</t>
  </si>
  <si>
    <t>110864-TUL6</t>
  </si>
  <si>
    <t>110864-TUL7</t>
  </si>
  <si>
    <t>110890</t>
  </si>
  <si>
    <t>110890-HOU1</t>
  </si>
  <si>
    <t>110890-HOU2</t>
  </si>
  <si>
    <t>110890-TUL1</t>
  </si>
  <si>
    <t>110890-TUL2</t>
  </si>
  <si>
    <t>111021SN001</t>
  </si>
  <si>
    <t>ASSY, ENDPLATE, FRONT, THREE BATTERY, DEF, 24"</t>
  </si>
  <si>
    <t>111021-03</t>
  </si>
  <si>
    <t>111336SN001</t>
  </si>
  <si>
    <t>ASSY, ENDPLATE, REAR, TRANSMITTER, LFM, 24"</t>
  </si>
  <si>
    <t>111336</t>
  </si>
  <si>
    <t>111453</t>
  </si>
  <si>
    <t>111453-HOU1</t>
  </si>
  <si>
    <t>111453-HOU2</t>
  </si>
  <si>
    <t>111453-SLC1</t>
  </si>
  <si>
    <t>111453-TUL1</t>
  </si>
  <si>
    <t>111453-TUL2</t>
  </si>
  <si>
    <t>111456</t>
  </si>
  <si>
    <t>14" GMFL ATEX</t>
  </si>
  <si>
    <t>111456-HOU1</t>
  </si>
  <si>
    <t>111456-HOU2</t>
  </si>
  <si>
    <t>111456-HOU3</t>
  </si>
  <si>
    <t>111456-HOU4</t>
  </si>
  <si>
    <t>111456-HOU5</t>
  </si>
  <si>
    <t>111456-HOU6</t>
  </si>
  <si>
    <t>111456-HOU7</t>
  </si>
  <si>
    <t>111456-SLC1</t>
  </si>
  <si>
    <t>111456-SLC2</t>
  </si>
  <si>
    <t>111456-SLC3</t>
  </si>
  <si>
    <t>111456-SLC4</t>
  </si>
  <si>
    <t>111456-SLC5</t>
  </si>
  <si>
    <t>111456-SLC6</t>
  </si>
  <si>
    <t>111456-SLC7</t>
  </si>
  <si>
    <t>111456-TUL1</t>
  </si>
  <si>
    <t>111456-TUL2</t>
  </si>
  <si>
    <t>111456-TUL3</t>
  </si>
  <si>
    <t>111456-TUL4</t>
  </si>
  <si>
    <t>111456-TUL5</t>
  </si>
  <si>
    <t>111456-TUL6</t>
  </si>
  <si>
    <t>111456-TUL7</t>
  </si>
  <si>
    <t>111481</t>
  </si>
  <si>
    <t>24" MFL3+DEF+SpirALL® MFL+XYZ+LFM</t>
  </si>
  <si>
    <t>111481-HOU1</t>
  </si>
  <si>
    <t>111481-SLC1</t>
  </si>
  <si>
    <t>111481-TUL1</t>
  </si>
  <si>
    <t>111481-TUL2</t>
  </si>
  <si>
    <t>111601</t>
  </si>
  <si>
    <t>36" GMFL (32-36) ATEX</t>
  </si>
  <si>
    <t>111622</t>
  </si>
  <si>
    <t>111622-TUL1</t>
  </si>
  <si>
    <t>111694</t>
  </si>
  <si>
    <t>111694-HOU1</t>
  </si>
  <si>
    <t>111694-HOU2</t>
  </si>
  <si>
    <t>111694-TUL1</t>
  </si>
  <si>
    <t>111694-TUL2</t>
  </si>
  <si>
    <t>111782</t>
  </si>
  <si>
    <t>111884-01-TUL1</t>
  </si>
  <si>
    <t>111884-02-TUL1</t>
  </si>
  <si>
    <t>42" DEF (38-42) (xHD)</t>
  </si>
  <si>
    <t>111884-03-TUL1</t>
  </si>
  <si>
    <t>112056</t>
  </si>
  <si>
    <t>8" GMFL ATEX</t>
  </si>
  <si>
    <t>112056-HOU1</t>
  </si>
  <si>
    <t>112056-HOU2</t>
  </si>
  <si>
    <t>112056-HOU3</t>
  </si>
  <si>
    <t>112056-HOU4</t>
  </si>
  <si>
    <t>112056-HOU5</t>
  </si>
  <si>
    <t>112056-HOU6</t>
  </si>
  <si>
    <t>112056-HOU7</t>
  </si>
  <si>
    <t>112056-SLC1</t>
  </si>
  <si>
    <t>112056-SLC2</t>
  </si>
  <si>
    <t>112056-SLC3</t>
  </si>
  <si>
    <t>112056-SLC4</t>
  </si>
  <si>
    <t>112056-SLC5</t>
  </si>
  <si>
    <t>112056-SLC6</t>
  </si>
  <si>
    <t>112056-SLC7</t>
  </si>
  <si>
    <t>112056-TUL1</t>
  </si>
  <si>
    <t>112056-TUL2</t>
  </si>
  <si>
    <t>112056-TUL3</t>
  </si>
  <si>
    <t>112056-TUL4</t>
  </si>
  <si>
    <t>112056-TUL5</t>
  </si>
  <si>
    <t>112056-TUL6</t>
  </si>
  <si>
    <t>112056-TUL7</t>
  </si>
  <si>
    <t>112076</t>
  </si>
  <si>
    <t>112076-HOU1</t>
  </si>
  <si>
    <t>112093SN001</t>
  </si>
  <si>
    <t>112100</t>
  </si>
  <si>
    <t>12" DEF ATEX</t>
  </si>
  <si>
    <t>112100-HOU1</t>
  </si>
  <si>
    <t>112100-HOU2</t>
  </si>
  <si>
    <t>112100-HOU3</t>
  </si>
  <si>
    <t>112100-HOU4</t>
  </si>
  <si>
    <t>112100-HOU5</t>
  </si>
  <si>
    <t>112100-HOU6</t>
  </si>
  <si>
    <t>112100-HOU7</t>
  </si>
  <si>
    <t>112100-SLC1</t>
  </si>
  <si>
    <t>112100-SLC2</t>
  </si>
  <si>
    <t>112100-SLC3</t>
  </si>
  <si>
    <t>112100-SLC4</t>
  </si>
  <si>
    <t>112100-SLC5</t>
  </si>
  <si>
    <t>112100-SLC6</t>
  </si>
  <si>
    <t>112100-SLC7</t>
  </si>
  <si>
    <t>112100-TUL1</t>
  </si>
  <si>
    <t>112100-TUL2</t>
  </si>
  <si>
    <t>112100-TUL3</t>
  </si>
  <si>
    <t>112100-TUL4</t>
  </si>
  <si>
    <t>112100-TUL5</t>
  </si>
  <si>
    <t>112100-TUL6</t>
  </si>
  <si>
    <t>112100-TUL7</t>
  </si>
  <si>
    <t>112114</t>
  </si>
  <si>
    <t>20" MFL3+DEF+SpirALL® MFL+XYZ+LFM</t>
  </si>
  <si>
    <t>112114-HOU1</t>
  </si>
  <si>
    <t>112114-SLC1</t>
  </si>
  <si>
    <t>112114-TUL1</t>
  </si>
  <si>
    <t>112114-TUL2</t>
  </si>
  <si>
    <t>112114-TUL3</t>
  </si>
  <si>
    <t>112115</t>
  </si>
  <si>
    <t>20" MFL3+DEF+SpirALL® MFL+LFM</t>
  </si>
  <si>
    <t>112115-HOU1</t>
  </si>
  <si>
    <t>112115-SLC1</t>
  </si>
  <si>
    <t>112115-TUL1</t>
  </si>
  <si>
    <t>112115-TUL2</t>
  </si>
  <si>
    <t>112115-TUL3</t>
  </si>
  <si>
    <t>112200-01-00-01-01-HOU1</t>
  </si>
  <si>
    <t>112200-01-00-01-01-HOU2</t>
  </si>
  <si>
    <t>112200-01-00-01-01-HOU3</t>
  </si>
  <si>
    <t>112200-01-00-01-01-SLC1</t>
  </si>
  <si>
    <t>112200-01-00-01-01-SLC2</t>
  </si>
  <si>
    <t>112200-01-00-01-01-SLC3</t>
  </si>
  <si>
    <t>112200-01-00-01-01-SLC4</t>
  </si>
  <si>
    <t>112200-01-00-01-01-TUL1</t>
  </si>
  <si>
    <t>112200-01-00-01-01-TUL2</t>
  </si>
  <si>
    <t>6" MFL4+DEF2+SMFL</t>
  </si>
  <si>
    <t>112200-01-01-01-01-HOU1</t>
  </si>
  <si>
    <t>112200-01-01-01-01-HOU2</t>
  </si>
  <si>
    <t>In Tool Build</t>
  </si>
  <si>
    <t>112200-01-01-01-01-HOU3</t>
  </si>
  <si>
    <t>112200-01-01-01-01-SLC1</t>
  </si>
  <si>
    <t>112200-01-01-01-01-SLC2</t>
  </si>
  <si>
    <t>112200-01-01-01-01-SLC3</t>
  </si>
  <si>
    <t>112200-01-01-01-01-SLC4</t>
  </si>
  <si>
    <t>112200-01-01-01-01-TUL1</t>
  </si>
  <si>
    <t>112200-01-01-01-01-TUL2</t>
  </si>
  <si>
    <t>6" MFL4+Brush DEF2+SpirALL® MFL</t>
  </si>
  <si>
    <t>112200-01-01-02-01-HOU1</t>
  </si>
  <si>
    <t>112200-01-01-02-01-HOU2</t>
  </si>
  <si>
    <t>112200-01-01-02-01-HOU3</t>
  </si>
  <si>
    <t>112200-01-01-02-01-SLC1</t>
  </si>
  <si>
    <t>112200-01-01-02-01-SLC2</t>
  </si>
  <si>
    <t>112200-01-01-02-01-SLC3</t>
  </si>
  <si>
    <t>112200-01-01-02-01-SLC4</t>
  </si>
  <si>
    <t>112200-01-01-02-01-TUL1</t>
  </si>
  <si>
    <t>112200-01-01-02-01-TUL2</t>
  </si>
  <si>
    <t>6" MFL4+DEF2+SpirALL® MFL Dual Drive</t>
  </si>
  <si>
    <t>112200-02-01-01-01-HOU1</t>
  </si>
  <si>
    <t>112200-02-01-01-01-HOU2</t>
  </si>
  <si>
    <t>112200-02-01-01-01-HOU3</t>
  </si>
  <si>
    <t>112200-02-01-01-01-SLC1</t>
  </si>
  <si>
    <t>112200-02-01-01-01-SLC2</t>
  </si>
  <si>
    <t>112200-02-01-01-01-SLC3</t>
  </si>
  <si>
    <t>112200-02-01-01-01-SLC4</t>
  </si>
  <si>
    <t>112200-02-01-01-01-TUL1</t>
  </si>
  <si>
    <t>112200-02-01-01-01-TUL2</t>
  </si>
  <si>
    <t>112552</t>
  </si>
  <si>
    <t>18" DEF+XYZ ATEX</t>
  </si>
  <si>
    <t>112552-HOU1</t>
  </si>
  <si>
    <t>112573</t>
  </si>
  <si>
    <t>112573-TUL1</t>
  </si>
  <si>
    <t>112574</t>
  </si>
  <si>
    <t>36" DEF (xHD)</t>
  </si>
  <si>
    <t>112574-HOU1</t>
  </si>
  <si>
    <t>112574-TUL1</t>
  </si>
  <si>
    <t>112848</t>
  </si>
  <si>
    <t>112848-HOU1</t>
  </si>
  <si>
    <t>112848-HOU2</t>
  </si>
  <si>
    <t>112848-HOU3</t>
  </si>
  <si>
    <t>112848-HOU4</t>
  </si>
  <si>
    <t>112848-SLC1</t>
  </si>
  <si>
    <t>112848-SLC2</t>
  </si>
  <si>
    <t>112848-TUL1</t>
  </si>
  <si>
    <t>112848-TUL2</t>
  </si>
  <si>
    <t>112848-TUL3</t>
  </si>
  <si>
    <t>112882</t>
  </si>
  <si>
    <t>112882-HOU1</t>
  </si>
  <si>
    <t>113240</t>
  </si>
  <si>
    <t>10" MFL+DEF (NH3)</t>
  </si>
  <si>
    <t>113240-HOU1</t>
  </si>
  <si>
    <t>113240-HOU2</t>
  </si>
  <si>
    <t>113240-HOU3</t>
  </si>
  <si>
    <t>113240-HOU4</t>
  </si>
  <si>
    <t>113240-HOU5</t>
  </si>
  <si>
    <t>113240-HOU6</t>
  </si>
  <si>
    <t>113240-HOU7</t>
  </si>
  <si>
    <t>113240-SLC1</t>
  </si>
  <si>
    <t>113240-SLC2</t>
  </si>
  <si>
    <t>113240-SLC3</t>
  </si>
  <si>
    <t>113240-SLC4</t>
  </si>
  <si>
    <t>113240-SLC5</t>
  </si>
  <si>
    <t>113240-SLC6</t>
  </si>
  <si>
    <t>113240-SLC7</t>
  </si>
  <si>
    <t>113240-TUL1</t>
  </si>
  <si>
    <t>113240-TUL2</t>
  </si>
  <si>
    <t>113240-TUL3</t>
  </si>
  <si>
    <t>113240-TUL4</t>
  </si>
  <si>
    <t>113240-TUL5</t>
  </si>
  <si>
    <t>113240-TUL6</t>
  </si>
  <si>
    <t>113240-TUL7</t>
  </si>
  <si>
    <t>113403</t>
  </si>
  <si>
    <t>6" MFL+DEF (NH3)</t>
  </si>
  <si>
    <t>113403-HOU1</t>
  </si>
  <si>
    <t>113403-HOU2</t>
  </si>
  <si>
    <t>113403-HOU3</t>
  </si>
  <si>
    <t>113403-HOU4</t>
  </si>
  <si>
    <t>113403-HOU5</t>
  </si>
  <si>
    <t>113403-HOU6</t>
  </si>
  <si>
    <t>113403-HOU7</t>
  </si>
  <si>
    <t>113403-SLC1</t>
  </si>
  <si>
    <t>113403-SLC2</t>
  </si>
  <si>
    <t>113403-SLC3</t>
  </si>
  <si>
    <t>113403-SLC4</t>
  </si>
  <si>
    <t>113403-SLC5</t>
  </si>
  <si>
    <t>113403-SLC6</t>
  </si>
  <si>
    <t>113403-SLC7</t>
  </si>
  <si>
    <t>113403-TUL1</t>
  </si>
  <si>
    <t>113403-TUL2</t>
  </si>
  <si>
    <t>113403-TUL3</t>
  </si>
  <si>
    <t>113403-TUL4</t>
  </si>
  <si>
    <t>113403-TUL5</t>
  </si>
  <si>
    <t>113403-TUL6</t>
  </si>
  <si>
    <t>113403-TUL7</t>
  </si>
  <si>
    <t>113407</t>
  </si>
  <si>
    <t>113407-HOU1</t>
  </si>
  <si>
    <t>113407-HOU2</t>
  </si>
  <si>
    <t>113407-HOU3</t>
  </si>
  <si>
    <t>113407-HOU4</t>
  </si>
  <si>
    <t>113407-HOU5</t>
  </si>
  <si>
    <t>113407-HOU6</t>
  </si>
  <si>
    <t>113407-HOU7</t>
  </si>
  <si>
    <t>113407-SLC1</t>
  </si>
  <si>
    <t>113407-SLC2</t>
  </si>
  <si>
    <t>113407-SLC3</t>
  </si>
  <si>
    <t>113407-SLC4</t>
  </si>
  <si>
    <t>113407-SLC5</t>
  </si>
  <si>
    <t>113407-SLC6</t>
  </si>
  <si>
    <t>113407-SLC7</t>
  </si>
  <si>
    <t>113407-TUL1</t>
  </si>
  <si>
    <t>113407-TUL2</t>
  </si>
  <si>
    <t>113407-TUL3</t>
  </si>
  <si>
    <t>113407-TUL4</t>
  </si>
  <si>
    <t>113407-TUL5</t>
  </si>
  <si>
    <t>113407-TUL6</t>
  </si>
  <si>
    <t>113407-TUL7</t>
  </si>
  <si>
    <t>113411</t>
  </si>
  <si>
    <t>6" MFL2</t>
  </si>
  <si>
    <t>113411-HOU1</t>
  </si>
  <si>
    <t>113411-HOU2</t>
  </si>
  <si>
    <t>113411-HOU3</t>
  </si>
  <si>
    <t>113411-HOU4</t>
  </si>
  <si>
    <t>113411-HOU5</t>
  </si>
  <si>
    <t>113411-HOU6</t>
  </si>
  <si>
    <t>113411-HOU7</t>
  </si>
  <si>
    <t>113411-SLC1</t>
  </si>
  <si>
    <t>113411-SLC2</t>
  </si>
  <si>
    <t>113411-SLC3</t>
  </si>
  <si>
    <t>113411-SLC4</t>
  </si>
  <si>
    <t>113411-SLC5</t>
  </si>
  <si>
    <t>113411-SLC6</t>
  </si>
  <si>
    <t>113411-SLC7</t>
  </si>
  <si>
    <t>113411-TUL1</t>
  </si>
  <si>
    <t>113411-TUL2</t>
  </si>
  <si>
    <t>113411-TUL3</t>
  </si>
  <si>
    <t>113411-TUL4</t>
  </si>
  <si>
    <t>113411-TUL5</t>
  </si>
  <si>
    <t>113411-TUL6</t>
  </si>
  <si>
    <t>113411-TUL7</t>
  </si>
  <si>
    <t>113514</t>
  </si>
  <si>
    <t>16" DEF ATEX</t>
  </si>
  <si>
    <t>113514-HOU1</t>
  </si>
  <si>
    <t>113514-SLC1</t>
  </si>
  <si>
    <t>113514-TUL1</t>
  </si>
  <si>
    <t>113557</t>
  </si>
  <si>
    <t>42" GMFL+DEF+XYZ (xHD)</t>
  </si>
  <si>
    <t>113557-TUL1</t>
  </si>
  <si>
    <t>113569</t>
  </si>
  <si>
    <t>16" MFL+XYZ ATEX</t>
  </si>
  <si>
    <t>113569-HOU1</t>
  </si>
  <si>
    <t>113569-HOU2</t>
  </si>
  <si>
    <t>113569-TUL1</t>
  </si>
  <si>
    <t>113574</t>
  </si>
  <si>
    <t>113574-HOU1</t>
  </si>
  <si>
    <t>113574-HOU2</t>
  </si>
  <si>
    <t>113574-TUL1</t>
  </si>
  <si>
    <t>113574-TUL2</t>
  </si>
  <si>
    <t>113580</t>
  </si>
  <si>
    <t>10" MFL+DEF+XYZ ATEX</t>
  </si>
  <si>
    <t>113580-HOU1</t>
  </si>
  <si>
    <t>113580-HOU2</t>
  </si>
  <si>
    <t>113580-HOU3</t>
  </si>
  <si>
    <t>113580-HOU4</t>
  </si>
  <si>
    <t>113580-HOU5</t>
  </si>
  <si>
    <t>113580-HOU6</t>
  </si>
  <si>
    <t>113580-HOU7</t>
  </si>
  <si>
    <t>113580-SLC1</t>
  </si>
  <si>
    <t>113580-SLC2</t>
  </si>
  <si>
    <t>113580-SLC3</t>
  </si>
  <si>
    <t>113580-SLC4</t>
  </si>
  <si>
    <t>113580-SLC5</t>
  </si>
  <si>
    <t>113580-SLC6</t>
  </si>
  <si>
    <t>113580-SLC7</t>
  </si>
  <si>
    <t>113580-TUL1</t>
  </si>
  <si>
    <t>113580-TUL2</t>
  </si>
  <si>
    <t>113580-TUL3</t>
  </si>
  <si>
    <t>113580-TUL4</t>
  </si>
  <si>
    <t>113580-TUL5</t>
  </si>
  <si>
    <t>113580-TUL6</t>
  </si>
  <si>
    <t>113580-TUL7</t>
  </si>
  <si>
    <t>113589</t>
  </si>
  <si>
    <t>113589-HOU1</t>
  </si>
  <si>
    <t>113589-HOU2</t>
  </si>
  <si>
    <t>113589-TUL1</t>
  </si>
  <si>
    <t>113590</t>
  </si>
  <si>
    <t>113590-TUL1</t>
  </si>
  <si>
    <t>113592</t>
  </si>
  <si>
    <t>113592-HOU1</t>
  </si>
  <si>
    <t>113592-TUL1</t>
  </si>
  <si>
    <t>113594</t>
  </si>
  <si>
    <t>113594-HOU1</t>
  </si>
  <si>
    <t>113594-HOU2</t>
  </si>
  <si>
    <t>113594-HOU3</t>
  </si>
  <si>
    <t>113594-HOU4</t>
  </si>
  <si>
    <t>113594-HOU5</t>
  </si>
  <si>
    <t>113594-HOU6</t>
  </si>
  <si>
    <t>113594-HOU7</t>
  </si>
  <si>
    <t>113594-SLC1</t>
  </si>
  <si>
    <t>113594-SLC2</t>
  </si>
  <si>
    <t>113594-SLC3</t>
  </si>
  <si>
    <t>113594-SLC4</t>
  </si>
  <si>
    <t>113594-SLC5</t>
  </si>
  <si>
    <t>113594-SLC6</t>
  </si>
  <si>
    <t>113594-SLC7</t>
  </si>
  <si>
    <t>113594-TUL1</t>
  </si>
  <si>
    <t>113594-TUL2</t>
  </si>
  <si>
    <t>113594-TUL3</t>
  </si>
  <si>
    <t>113594-TUL4</t>
  </si>
  <si>
    <t>113594-TUL5</t>
  </si>
  <si>
    <t>113594-TUL6</t>
  </si>
  <si>
    <t>113594-TUL7</t>
  </si>
  <si>
    <t>113595</t>
  </si>
  <si>
    <t>18" MFL+DEF+XYZ ATEX</t>
  </si>
  <si>
    <t>113595-HOU1</t>
  </si>
  <si>
    <t>113595-SLC1</t>
  </si>
  <si>
    <t>113595-TUL1</t>
  </si>
  <si>
    <t>113606</t>
  </si>
  <si>
    <t>32" DEF ATEX</t>
  </si>
  <si>
    <t>113606-HOU1</t>
  </si>
  <si>
    <t>113606-TUL1</t>
  </si>
  <si>
    <t>113608</t>
  </si>
  <si>
    <t>28" GMFL ATEX</t>
  </si>
  <si>
    <t>113610</t>
  </si>
  <si>
    <t>113610-HOU1</t>
  </si>
  <si>
    <t>113610-HOU2</t>
  </si>
  <si>
    <t>113610-HOU3</t>
  </si>
  <si>
    <t>113610-HOU4</t>
  </si>
  <si>
    <t>113610-HOU5</t>
  </si>
  <si>
    <t>113610-HOU6</t>
  </si>
  <si>
    <t>113610-HOU7</t>
  </si>
  <si>
    <t>113610-SLC1</t>
  </si>
  <si>
    <t>113610-SLC2</t>
  </si>
  <si>
    <t>113610-SLC3</t>
  </si>
  <si>
    <t>113610-SLC4</t>
  </si>
  <si>
    <t>113610-SLC5</t>
  </si>
  <si>
    <t>113610-SLC6</t>
  </si>
  <si>
    <t>113610-SLC7</t>
  </si>
  <si>
    <t>113610-TUL1</t>
  </si>
  <si>
    <t>113610-TUL2</t>
  </si>
  <si>
    <t>113610-TUL3</t>
  </si>
  <si>
    <t>113610-TUL4</t>
  </si>
  <si>
    <t>113610-TUL5</t>
  </si>
  <si>
    <t>113610-TUL6</t>
  </si>
  <si>
    <t>113610-TUL7</t>
  </si>
  <si>
    <t>113622</t>
  </si>
  <si>
    <t>113622-HOU1</t>
  </si>
  <si>
    <t>113622-HOU2</t>
  </si>
  <si>
    <t>113622-HOU3</t>
  </si>
  <si>
    <t>113622-HOU4</t>
  </si>
  <si>
    <t>113622-HOU5</t>
  </si>
  <si>
    <t>113622-HOU6</t>
  </si>
  <si>
    <t>113622-HOU7</t>
  </si>
  <si>
    <t>113622-SLC1</t>
  </si>
  <si>
    <t>113622-SLC2</t>
  </si>
  <si>
    <t>113622-SLC3</t>
  </si>
  <si>
    <t>113622-SLC4</t>
  </si>
  <si>
    <t>113622-SLC5</t>
  </si>
  <si>
    <t>113622-SLC6</t>
  </si>
  <si>
    <t>113622-SLC7</t>
  </si>
  <si>
    <t>113622-TUL1</t>
  </si>
  <si>
    <t>113622-TUL2</t>
  </si>
  <si>
    <t>113622-TUL3</t>
  </si>
  <si>
    <t>113622-TUL4</t>
  </si>
  <si>
    <t>113622-TUL5</t>
  </si>
  <si>
    <t>113622-TUL6</t>
  </si>
  <si>
    <t>113622-TUL7</t>
  </si>
  <si>
    <t>113623</t>
  </si>
  <si>
    <t>113623-HOU1</t>
  </si>
  <si>
    <t>113623-HOU2</t>
  </si>
  <si>
    <t>113623-HOU3</t>
  </si>
  <si>
    <t>113623-HOU4</t>
  </si>
  <si>
    <t>113623-HOU5</t>
  </si>
  <si>
    <t>113623-HOU6</t>
  </si>
  <si>
    <t>113623-HOU7</t>
  </si>
  <si>
    <t>113623-SLC1</t>
  </si>
  <si>
    <t>113623-SLC2</t>
  </si>
  <si>
    <t>113623-SLC3</t>
  </si>
  <si>
    <t>113623-SLC4</t>
  </si>
  <si>
    <t>113623-SLC5</t>
  </si>
  <si>
    <t>113623-SLC6</t>
  </si>
  <si>
    <t>113623-SLC7</t>
  </si>
  <si>
    <t>113623-TUL1</t>
  </si>
  <si>
    <t>113623-TUL2</t>
  </si>
  <si>
    <t>113623-TUL3</t>
  </si>
  <si>
    <t>113623-TUL4</t>
  </si>
  <si>
    <t>113623-TUL5</t>
  </si>
  <si>
    <t>113623-TUL6</t>
  </si>
  <si>
    <t>113623-TUL7</t>
  </si>
  <si>
    <t>113651</t>
  </si>
  <si>
    <t>24" MFL3+DEF+SpirALL® MFL+LFM</t>
  </si>
  <si>
    <t>113651-HOU1</t>
  </si>
  <si>
    <t>113651-SLC1</t>
  </si>
  <si>
    <t>113651-TUL1</t>
  </si>
  <si>
    <t>113651-TUL2</t>
  </si>
  <si>
    <t>113660</t>
  </si>
  <si>
    <t>24" MDS FLEX MFL3+DEF+LFM</t>
  </si>
  <si>
    <t>113660-HOU1</t>
  </si>
  <si>
    <t>113660-SLC1</t>
  </si>
  <si>
    <t>113660-TUL1</t>
  </si>
  <si>
    <t>113660-TUL2</t>
  </si>
  <si>
    <t>113922</t>
  </si>
  <si>
    <t>30" GMFL+DEF+XYZ (xHD)</t>
  </si>
  <si>
    <t>113938</t>
  </si>
  <si>
    <t>12" GMFL+DEF+XYZ ATEX</t>
  </si>
  <si>
    <t>113938-HOU1</t>
  </si>
  <si>
    <t>113938-HOU2</t>
  </si>
  <si>
    <t>113938-HOU3</t>
  </si>
  <si>
    <t>113938-HOU4</t>
  </si>
  <si>
    <t>113938-HOU5</t>
  </si>
  <si>
    <t>113938-HOU6</t>
  </si>
  <si>
    <t>113938-HOU7</t>
  </si>
  <si>
    <t>113938-SLC1</t>
  </si>
  <si>
    <t>113938-SLC2</t>
  </si>
  <si>
    <t>113938-SLC3</t>
  </si>
  <si>
    <t>113938-SLC4</t>
  </si>
  <si>
    <t>113938-SLC5</t>
  </si>
  <si>
    <t>113938-SLC6</t>
  </si>
  <si>
    <t>113938-SLC7</t>
  </si>
  <si>
    <t>113938-TUL1</t>
  </si>
  <si>
    <t>113938-TUL2</t>
  </si>
  <si>
    <t>113938-TUL3</t>
  </si>
  <si>
    <t>113938-TUL4</t>
  </si>
  <si>
    <t>113938-TUL5</t>
  </si>
  <si>
    <t>113938-TUL6</t>
  </si>
  <si>
    <t>113938-TUL7</t>
  </si>
  <si>
    <t>113940</t>
  </si>
  <si>
    <t>12" MFL (10BAT Drive xHD)</t>
  </si>
  <si>
    <t>113940-HOU1</t>
  </si>
  <si>
    <t>113940-HOU2</t>
  </si>
  <si>
    <t>113940-HOU3</t>
  </si>
  <si>
    <t>113940-HOU4</t>
  </si>
  <si>
    <t>113940-HOU5</t>
  </si>
  <si>
    <t>113940-HOU6</t>
  </si>
  <si>
    <t>113940-HOU7</t>
  </si>
  <si>
    <t>113940-SLC1</t>
  </si>
  <si>
    <t>113940-SLC2</t>
  </si>
  <si>
    <t>113940-SLC3</t>
  </si>
  <si>
    <t>113940-SLC4</t>
  </si>
  <si>
    <t>113940-SLC5</t>
  </si>
  <si>
    <t>113940-SLC6</t>
  </si>
  <si>
    <t>113940-SLC7</t>
  </si>
  <si>
    <t>113940-TUL1</t>
  </si>
  <si>
    <t>113940-TUL2</t>
  </si>
  <si>
    <t>113940-TUL3</t>
  </si>
  <si>
    <t>113940-TUL4</t>
  </si>
  <si>
    <t>113940-TUL5</t>
  </si>
  <si>
    <t>113940-TUL6</t>
  </si>
  <si>
    <t>113940-TUL7</t>
  </si>
  <si>
    <t>113945</t>
  </si>
  <si>
    <t>36" DEF ATEX</t>
  </si>
  <si>
    <t>113945-HOU1</t>
  </si>
  <si>
    <t>113945-TUL1</t>
  </si>
  <si>
    <t>113946</t>
  </si>
  <si>
    <t>32" DEF+XYZ ATEX</t>
  </si>
  <si>
    <t>113946-HOU1</t>
  </si>
  <si>
    <t>113946-TUL1</t>
  </si>
  <si>
    <t>114349</t>
  </si>
  <si>
    <t>114349-TUL1</t>
  </si>
  <si>
    <t>114353</t>
  </si>
  <si>
    <t>114353-HOU1</t>
  </si>
  <si>
    <t>114353-HOU2</t>
  </si>
  <si>
    <t>114353-HOU3</t>
  </si>
  <si>
    <t>114353-HOU4</t>
  </si>
  <si>
    <t>114353-HOU5</t>
  </si>
  <si>
    <t>114353-HOU6</t>
  </si>
  <si>
    <t>114353-HOU7</t>
  </si>
  <si>
    <t>114353-SLC1</t>
  </si>
  <si>
    <t>114353-SLC2</t>
  </si>
  <si>
    <t>114353-SLC3</t>
  </si>
  <si>
    <t>114353-SLC4</t>
  </si>
  <si>
    <t>114353-SLC5</t>
  </si>
  <si>
    <t>114353-SLC6</t>
  </si>
  <si>
    <t>114353-SLC7</t>
  </si>
  <si>
    <t>114353-TUL1</t>
  </si>
  <si>
    <t>114353-TUL2</t>
  </si>
  <si>
    <t>114353-TUL3</t>
  </si>
  <si>
    <t>114353-TUL4</t>
  </si>
  <si>
    <t>114353-TUL5</t>
  </si>
  <si>
    <t>114353-TUL6</t>
  </si>
  <si>
    <t>114353-TUL7</t>
  </si>
  <si>
    <t>114362</t>
  </si>
  <si>
    <t>10" GMFL+DEF+XYZ ATEX</t>
  </si>
  <si>
    <t>114362-HOU1</t>
  </si>
  <si>
    <t>114362-HOU2</t>
  </si>
  <si>
    <t>114362-HOU3</t>
  </si>
  <si>
    <t>114362-HOU4</t>
  </si>
  <si>
    <t>114362-HOU5</t>
  </si>
  <si>
    <t>114362-HOU6</t>
  </si>
  <si>
    <t>114362-HOU7</t>
  </si>
  <si>
    <t>114362-SLC1</t>
  </si>
  <si>
    <t>114362-SLC2</t>
  </si>
  <si>
    <t>114362-SLC3</t>
  </si>
  <si>
    <t>114362-SLC4</t>
  </si>
  <si>
    <t>114362-SLC5</t>
  </si>
  <si>
    <t>114362-SLC6</t>
  </si>
  <si>
    <t>114362-SLC7</t>
  </si>
  <si>
    <t>114362-TUL1</t>
  </si>
  <si>
    <t>114362-TUL2</t>
  </si>
  <si>
    <t>114362-TUL3</t>
  </si>
  <si>
    <t>114362-TUL4</t>
  </si>
  <si>
    <t>114362-TUL5</t>
  </si>
  <si>
    <t>114362-TUL6</t>
  </si>
  <si>
    <t>114362-TUL7</t>
  </si>
  <si>
    <t>114364</t>
  </si>
  <si>
    <t>36" DEF+XYZ ATEX</t>
  </si>
  <si>
    <t>114364-HOU1</t>
  </si>
  <si>
    <t>114364-TUL1</t>
  </si>
  <si>
    <t>114371</t>
  </si>
  <si>
    <t>12" MFL+DEF+XYZ ATEX</t>
  </si>
  <si>
    <t>114371-HOU1</t>
  </si>
  <si>
    <t>114371-HOU2</t>
  </si>
  <si>
    <t>114371-HOU3</t>
  </si>
  <si>
    <t>114371-HOU4</t>
  </si>
  <si>
    <t>114371-HOU5</t>
  </si>
  <si>
    <t>114371-HOU6</t>
  </si>
  <si>
    <t>114371-HOU7</t>
  </si>
  <si>
    <t>114371-SLC1</t>
  </si>
  <si>
    <t>114371-SLC2</t>
  </si>
  <si>
    <t>114371-SLC3</t>
  </si>
  <si>
    <t>114371-SLC4</t>
  </si>
  <si>
    <t>114371-SLC5</t>
  </si>
  <si>
    <t>114371-SLC6</t>
  </si>
  <si>
    <t>114371-SLC7</t>
  </si>
  <si>
    <t>114371-TUL1</t>
  </si>
  <si>
    <t>114371-TUL2</t>
  </si>
  <si>
    <t>114371-TUL3</t>
  </si>
  <si>
    <t>114371-TUL4</t>
  </si>
  <si>
    <t>114371-TUL5</t>
  </si>
  <si>
    <t>114371-TUL6</t>
  </si>
  <si>
    <t>114371-TUL7</t>
  </si>
  <si>
    <t>114382</t>
  </si>
  <si>
    <t>114382-TUL1</t>
  </si>
  <si>
    <t>114402</t>
  </si>
  <si>
    <t>20" GMFL+XYZ ATEX</t>
  </si>
  <si>
    <t>114402-HOU1</t>
  </si>
  <si>
    <t>114402-SLC1</t>
  </si>
  <si>
    <t>114402-TUL1</t>
  </si>
  <si>
    <t>114402-TUL2</t>
  </si>
  <si>
    <t>114409</t>
  </si>
  <si>
    <t>114409-HOU1</t>
  </si>
  <si>
    <t>114409-TUL1</t>
  </si>
  <si>
    <t>114418</t>
  </si>
  <si>
    <t>8" MFL (1.5D) ATEX</t>
  </si>
  <si>
    <t>114418-HOU1</t>
  </si>
  <si>
    <t>114418-HOU2</t>
  </si>
  <si>
    <t>114418-HOU3</t>
  </si>
  <si>
    <t>114418-HOU4</t>
  </si>
  <si>
    <t>114418-HOU5</t>
  </si>
  <si>
    <t>114418-HOU6</t>
  </si>
  <si>
    <t>114418-HOU7</t>
  </si>
  <si>
    <t>114418-SLC1</t>
  </si>
  <si>
    <t>114418-SLC2</t>
  </si>
  <si>
    <t>114418-SLC3</t>
  </si>
  <si>
    <t>114418-SLC4</t>
  </si>
  <si>
    <t>114418-SLC5</t>
  </si>
  <si>
    <t>114418-SLC6</t>
  </si>
  <si>
    <t>114418-SLC7</t>
  </si>
  <si>
    <t>114418-TUL1</t>
  </si>
  <si>
    <t>114418-TUL2</t>
  </si>
  <si>
    <t>114418-TUL3</t>
  </si>
  <si>
    <t>114418-TUL4</t>
  </si>
  <si>
    <t>114418-TUL5</t>
  </si>
  <si>
    <t>114418-TUL6</t>
  </si>
  <si>
    <t>114418-TUL7</t>
  </si>
  <si>
    <t>114420</t>
  </si>
  <si>
    <t>114421</t>
  </si>
  <si>
    <t>12" DEF3 ATEX</t>
  </si>
  <si>
    <t>114421-HOU1</t>
  </si>
  <si>
    <t>114421-HOU2</t>
  </si>
  <si>
    <t>114421-HOU3</t>
  </si>
  <si>
    <t>114421-HOU4</t>
  </si>
  <si>
    <t>114421-HOU5</t>
  </si>
  <si>
    <t>114421-HOU6</t>
  </si>
  <si>
    <t>114421-HOU7</t>
  </si>
  <si>
    <t>114421-SLC1</t>
  </si>
  <si>
    <t>114421-SLC2</t>
  </si>
  <si>
    <t>114421-SLC3</t>
  </si>
  <si>
    <t>114421-SLC4</t>
  </si>
  <si>
    <t>114421-SLC5</t>
  </si>
  <si>
    <t>114421-SLC6</t>
  </si>
  <si>
    <t>114421-SLC7</t>
  </si>
  <si>
    <t>114421-TUL1</t>
  </si>
  <si>
    <t>114421-TUL2</t>
  </si>
  <si>
    <t>114421-TUL3</t>
  </si>
  <si>
    <t>114421-TUL4</t>
  </si>
  <si>
    <t>114421-TUL5</t>
  </si>
  <si>
    <t>114421-TUL6</t>
  </si>
  <si>
    <t>114421-TUL7</t>
  </si>
  <si>
    <t>114433</t>
  </si>
  <si>
    <t>114433-HOU1</t>
  </si>
  <si>
    <t>114433-SLC1</t>
  </si>
  <si>
    <t>114433-TUL1</t>
  </si>
  <si>
    <t>114485</t>
  </si>
  <si>
    <t>24" GMFL2+DEF+XYZ ATEX</t>
  </si>
  <si>
    <t>114485-HOU1</t>
  </si>
  <si>
    <t>114485-HOU2</t>
  </si>
  <si>
    <t>114485-SLC1</t>
  </si>
  <si>
    <t>114485-TUL1</t>
  </si>
  <si>
    <t>114485-TUL2</t>
  </si>
  <si>
    <t>114486</t>
  </si>
  <si>
    <t>26" GMFL ATEX</t>
  </si>
  <si>
    <t>114495</t>
  </si>
  <si>
    <t>114495-HOU1</t>
  </si>
  <si>
    <t>114495-HOU2</t>
  </si>
  <si>
    <t>114495-SLC1</t>
  </si>
  <si>
    <t>114495-TUL1</t>
  </si>
  <si>
    <t>114495-TUL2</t>
  </si>
  <si>
    <t>114530</t>
  </si>
  <si>
    <t>16" GMFL+DEF+XYZ ATEX</t>
  </si>
  <si>
    <t>114530-HOU1</t>
  </si>
  <si>
    <t>114530-HOU2</t>
  </si>
  <si>
    <t>114530-SLC1</t>
  </si>
  <si>
    <t>114530-TUL1</t>
  </si>
  <si>
    <t>114530-TUL2</t>
  </si>
  <si>
    <t>114530-TUL3</t>
  </si>
  <si>
    <t>114533</t>
  </si>
  <si>
    <t>114544</t>
  </si>
  <si>
    <t>16.5" MFL</t>
  </si>
  <si>
    <t>114544-HOU1</t>
  </si>
  <si>
    <t>114544-HOU2</t>
  </si>
  <si>
    <t>114544-TUL1</t>
  </si>
  <si>
    <t>114577</t>
  </si>
  <si>
    <t>12" MFL+XYZ ATEX</t>
  </si>
  <si>
    <t>114577-HOU1</t>
  </si>
  <si>
    <t>114577-HOU2</t>
  </si>
  <si>
    <t>114577-HOU3</t>
  </si>
  <si>
    <t>114577-HOU4</t>
  </si>
  <si>
    <t>114577-HOU5</t>
  </si>
  <si>
    <t>114577-HOU6</t>
  </si>
  <si>
    <t>114577-HOU7</t>
  </si>
  <si>
    <t>114577-SLC1</t>
  </si>
  <si>
    <t>114577-SLC2</t>
  </si>
  <si>
    <t>114577-SLC3</t>
  </si>
  <si>
    <t>114577-SLC4</t>
  </si>
  <si>
    <t>114577-SLC5</t>
  </si>
  <si>
    <t>114577-SLC6</t>
  </si>
  <si>
    <t>114577-SLC7</t>
  </si>
  <si>
    <t>114577-TUL1</t>
  </si>
  <si>
    <t>114577-TUL2</t>
  </si>
  <si>
    <t>114577-TUL3</t>
  </si>
  <si>
    <t>114577-TUL4</t>
  </si>
  <si>
    <t>114577-TUL5</t>
  </si>
  <si>
    <t>114577-TUL6</t>
  </si>
  <si>
    <t>114577-TUL7</t>
  </si>
  <si>
    <t>114579</t>
  </si>
  <si>
    <t>114579-HOU1</t>
  </si>
  <si>
    <t>114579-HOU2</t>
  </si>
  <si>
    <t>114579-HOU3</t>
  </si>
  <si>
    <t>114579-HOU4</t>
  </si>
  <si>
    <t>114579-HOU5</t>
  </si>
  <si>
    <t>114579-HOU6</t>
  </si>
  <si>
    <t>114579-HOU7</t>
  </si>
  <si>
    <t>114579-SLC1</t>
  </si>
  <si>
    <t>114579-SLC2</t>
  </si>
  <si>
    <t>114579-SLC3</t>
  </si>
  <si>
    <t>114579-SLC4</t>
  </si>
  <si>
    <t>114579-SLC5</t>
  </si>
  <si>
    <t>114579-SLC6</t>
  </si>
  <si>
    <t>114579-SLC7</t>
  </si>
  <si>
    <t>114579-TUL1</t>
  </si>
  <si>
    <t>114579-TUL2</t>
  </si>
  <si>
    <t>114579-TUL3</t>
  </si>
  <si>
    <t>114579-TUL4</t>
  </si>
  <si>
    <t>114579-TUL5</t>
  </si>
  <si>
    <t>114579-TUL6</t>
  </si>
  <si>
    <t>114579-TUL7</t>
  </si>
  <si>
    <t>114587</t>
  </si>
  <si>
    <t>14" GMFL+XYZ ATEX</t>
  </si>
  <si>
    <t>114587-HOU1</t>
  </si>
  <si>
    <t>114587-HOU2</t>
  </si>
  <si>
    <t>114587-HOU3</t>
  </si>
  <si>
    <t>114587-HOU4</t>
  </si>
  <si>
    <t>114587-HOU5</t>
  </si>
  <si>
    <t>114587-HOU6</t>
  </si>
  <si>
    <t>114587-HOU7</t>
  </si>
  <si>
    <t>114587-SLC1</t>
  </si>
  <si>
    <t>114587-SLC2</t>
  </si>
  <si>
    <t>114587-SLC3</t>
  </si>
  <si>
    <t>114587-SLC4</t>
  </si>
  <si>
    <t>114587-SLC5</t>
  </si>
  <si>
    <t>114587-SLC6</t>
  </si>
  <si>
    <t>114587-SLC7</t>
  </si>
  <si>
    <t>114587-TUL1</t>
  </si>
  <si>
    <t>114587-TUL2</t>
  </si>
  <si>
    <t>114587-TUL3</t>
  </si>
  <si>
    <t>114587-TUL4</t>
  </si>
  <si>
    <t>114587-TUL5</t>
  </si>
  <si>
    <t>114587-TUL6</t>
  </si>
  <si>
    <t>114587-TUL7</t>
  </si>
  <si>
    <t>114596</t>
  </si>
  <si>
    <t>30" DEF+XYZ ATEX</t>
  </si>
  <si>
    <t>114596-HOU1</t>
  </si>
  <si>
    <t>114596-HOU2</t>
  </si>
  <si>
    <t>114596-TUL1</t>
  </si>
  <si>
    <t>114596-TUL2</t>
  </si>
  <si>
    <t>114603</t>
  </si>
  <si>
    <t>14" GMFL+DEF+XYZ ATEX</t>
  </si>
  <si>
    <t>114603-HOU1</t>
  </si>
  <si>
    <t>114603-HOU2</t>
  </si>
  <si>
    <t>114603-HOU3</t>
  </si>
  <si>
    <t>114603-HOU4</t>
  </si>
  <si>
    <t>114603-HOU5</t>
  </si>
  <si>
    <t>114603-HOU6</t>
  </si>
  <si>
    <t>114603-HOU7</t>
  </si>
  <si>
    <t>114603-SLC1</t>
  </si>
  <si>
    <t>114603-SLC2</t>
  </si>
  <si>
    <t>114603-SLC3</t>
  </si>
  <si>
    <t>114603-SLC4</t>
  </si>
  <si>
    <t>114603-SLC5</t>
  </si>
  <si>
    <t>114603-SLC6</t>
  </si>
  <si>
    <t>114603-SLC7</t>
  </si>
  <si>
    <t>114603-TUL1</t>
  </si>
  <si>
    <t>114603-TUL2</t>
  </si>
  <si>
    <t>114603-TUL3</t>
  </si>
  <si>
    <t>114603-TUL4</t>
  </si>
  <si>
    <t>114603-TUL5</t>
  </si>
  <si>
    <t>114603-TUL6</t>
  </si>
  <si>
    <t>114603-TUL7</t>
  </si>
  <si>
    <t>114637</t>
  </si>
  <si>
    <t>16" MFL+DEF+XYZ ATEX</t>
  </si>
  <si>
    <t>114637-HOU1</t>
  </si>
  <si>
    <t>114637-SLC1</t>
  </si>
  <si>
    <t>114637-TUL1</t>
  </si>
  <si>
    <t>114653</t>
  </si>
  <si>
    <t>114653-TUL1</t>
  </si>
  <si>
    <t>114655</t>
  </si>
  <si>
    <t>114655-TUL1</t>
  </si>
  <si>
    <t>114656</t>
  </si>
  <si>
    <t>12" GMFL+XYZ ATEX</t>
  </si>
  <si>
    <t>114656-HOU1</t>
  </si>
  <si>
    <t>114656-HOU2</t>
  </si>
  <si>
    <t>114656-HOU3</t>
  </si>
  <si>
    <t>114656-HOU4</t>
  </si>
  <si>
    <t>114656-HOU5</t>
  </si>
  <si>
    <t>114656-HOU6</t>
  </si>
  <si>
    <t>114656-HOU7</t>
  </si>
  <si>
    <t>114656-SLC1</t>
  </si>
  <si>
    <t>114656-SLC2</t>
  </si>
  <si>
    <t>114656-SLC3</t>
  </si>
  <si>
    <t>114656-SLC4</t>
  </si>
  <si>
    <t>114656-SLC5</t>
  </si>
  <si>
    <t>114656-SLC6</t>
  </si>
  <si>
    <t>114656-SLC7</t>
  </si>
  <si>
    <t>114656-TUL1</t>
  </si>
  <si>
    <t>114656-TUL2</t>
  </si>
  <si>
    <t>114656-TUL3</t>
  </si>
  <si>
    <t>114656-TUL4</t>
  </si>
  <si>
    <t>114656-TUL5</t>
  </si>
  <si>
    <t>114656-TUL6</t>
  </si>
  <si>
    <t>114656-TUL7</t>
  </si>
  <si>
    <t>114661</t>
  </si>
  <si>
    <t>24" DEF (Short)</t>
  </si>
  <si>
    <t>114661-HOU1</t>
  </si>
  <si>
    <t>114661-HOU2</t>
  </si>
  <si>
    <t>114661-SLC1</t>
  </si>
  <si>
    <t>114661-TUL1</t>
  </si>
  <si>
    <t>114661-TUL2</t>
  </si>
  <si>
    <t>114681</t>
  </si>
  <si>
    <t>24" DEF+XYZ ATEX</t>
  </si>
  <si>
    <t>114681-HOU1</t>
  </si>
  <si>
    <t>114681-HOU2</t>
  </si>
  <si>
    <t>114681-SLC1</t>
  </si>
  <si>
    <t>114681-TUL1</t>
  </si>
  <si>
    <t>114681-TUL2</t>
  </si>
  <si>
    <t>114682</t>
  </si>
  <si>
    <t>114682-HOU1</t>
  </si>
  <si>
    <t>114682-HOU2</t>
  </si>
  <si>
    <t>114682-TUL1</t>
  </si>
  <si>
    <t>114682-TUL2</t>
  </si>
  <si>
    <t>114683</t>
  </si>
  <si>
    <t>114683-HOU1</t>
  </si>
  <si>
    <t>114683-TUL1</t>
  </si>
  <si>
    <t>114684</t>
  </si>
  <si>
    <t>114684-TUL1</t>
  </si>
  <si>
    <t>114724</t>
  </si>
  <si>
    <t>114724-HOU1</t>
  </si>
  <si>
    <t>114724-TUL1</t>
  </si>
  <si>
    <t>114729</t>
  </si>
  <si>
    <t>18" MFL+XYZ ATEX</t>
  </si>
  <si>
    <t>114729-HOU1</t>
  </si>
  <si>
    <t>114729-HOU2</t>
  </si>
  <si>
    <t>114729-TUL1</t>
  </si>
  <si>
    <t>114865</t>
  </si>
  <si>
    <t>20" GMFL+DEF+XYZ ATEX</t>
  </si>
  <si>
    <t>114865-HOU1</t>
  </si>
  <si>
    <t>114865-SLC1</t>
  </si>
  <si>
    <t>114865-TUL1</t>
  </si>
  <si>
    <t>114865-TUL2</t>
  </si>
  <si>
    <t>114875</t>
  </si>
  <si>
    <t>16" DEF+XYZ ATEX</t>
  </si>
  <si>
    <t>114875-HOU1</t>
  </si>
  <si>
    <t>114875-HOU2</t>
  </si>
  <si>
    <t>114875-SLC1</t>
  </si>
  <si>
    <t>114875-TUL1</t>
  </si>
  <si>
    <t>114875-TUL2</t>
  </si>
  <si>
    <t>114875-TUL3</t>
  </si>
  <si>
    <t>114879</t>
  </si>
  <si>
    <t>114879-HOU1</t>
  </si>
  <si>
    <t>114879-HOU2</t>
  </si>
  <si>
    <t>114879-TUL1</t>
  </si>
  <si>
    <t>114879-TUL2</t>
  </si>
  <si>
    <t>114898</t>
  </si>
  <si>
    <t>12" LGT ATEX</t>
  </si>
  <si>
    <t>114898-HOU1</t>
  </si>
  <si>
    <t>114898-SLC1</t>
  </si>
  <si>
    <t>114898-TUL1</t>
  </si>
  <si>
    <t>114900</t>
  </si>
  <si>
    <t>114900-SLC1</t>
  </si>
  <si>
    <t>115008</t>
  </si>
  <si>
    <t>10" DEF+XYZ ATEX</t>
  </si>
  <si>
    <t>115008-HOU1</t>
  </si>
  <si>
    <t>115008-HOU2</t>
  </si>
  <si>
    <t>115008-HOU3</t>
  </si>
  <si>
    <t>115008-HOU4</t>
  </si>
  <si>
    <t>115008-HOU5</t>
  </si>
  <si>
    <t>115008-HOU6</t>
  </si>
  <si>
    <t>115008-HOU7</t>
  </si>
  <si>
    <t>115008-SLC1</t>
  </si>
  <si>
    <t>115008-SLC2</t>
  </si>
  <si>
    <t>115008-SLC3</t>
  </si>
  <si>
    <t>115008-SLC4</t>
  </si>
  <si>
    <t>115008-SLC5</t>
  </si>
  <si>
    <t>115008-SLC6</t>
  </si>
  <si>
    <t>115008-SLC7</t>
  </si>
  <si>
    <t>115008-TUL1</t>
  </si>
  <si>
    <t>115008-TUL2</t>
  </si>
  <si>
    <t>115008-TUL3</t>
  </si>
  <si>
    <t>115008-TUL4</t>
  </si>
  <si>
    <t>115008-TUL5</t>
  </si>
  <si>
    <t>115008-TUL6</t>
  </si>
  <si>
    <t>115008-TUL7</t>
  </si>
  <si>
    <t>115144</t>
  </si>
  <si>
    <t>10" MFL+XYZ ATEX</t>
  </si>
  <si>
    <t>115144-HOU1</t>
  </si>
  <si>
    <t>115144-HOU2</t>
  </si>
  <si>
    <t>115144-HOU3</t>
  </si>
  <si>
    <t>115144-HOU4</t>
  </si>
  <si>
    <t>115144-HOU5</t>
  </si>
  <si>
    <t>115144-HOU6</t>
  </si>
  <si>
    <t>115144-HOU7</t>
  </si>
  <si>
    <t>115144-SLC1</t>
  </si>
  <si>
    <t>115144-SLC2</t>
  </si>
  <si>
    <t>115144-SLC3</t>
  </si>
  <si>
    <t>115144-SLC4</t>
  </si>
  <si>
    <t>115144-SLC5</t>
  </si>
  <si>
    <t>115144-SLC6</t>
  </si>
  <si>
    <t>115144-SLC7</t>
  </si>
  <si>
    <t>115144-TUL1</t>
  </si>
  <si>
    <t>115144-TUL2</t>
  </si>
  <si>
    <t>115144-TUL3</t>
  </si>
  <si>
    <t>115144-TUL4</t>
  </si>
  <si>
    <t>115144-TUL5</t>
  </si>
  <si>
    <t>115144-TUL6</t>
  </si>
  <si>
    <t>115144-TUL7</t>
  </si>
  <si>
    <t>115148</t>
  </si>
  <si>
    <t>12" DEF+XYZ ATEX</t>
  </si>
  <si>
    <t>115148-HOU1</t>
  </si>
  <si>
    <t>115148-HOU2</t>
  </si>
  <si>
    <t>115148-HOU3</t>
  </si>
  <si>
    <t>115148-HOU4</t>
  </si>
  <si>
    <t>115148-HOU5</t>
  </si>
  <si>
    <t>115148-HOU6</t>
  </si>
  <si>
    <t>115148-HOU7</t>
  </si>
  <si>
    <t>115148-SLC1</t>
  </si>
  <si>
    <t>115148-SLC2</t>
  </si>
  <si>
    <t>115148-SLC3</t>
  </si>
  <si>
    <t>115148-SLC4</t>
  </si>
  <si>
    <t>115148-SLC5</t>
  </si>
  <si>
    <t>115148-SLC6</t>
  </si>
  <si>
    <t>115148-SLC7</t>
  </si>
  <si>
    <t>115148-TUL1</t>
  </si>
  <si>
    <t>115148-TUL2</t>
  </si>
  <si>
    <t>115148-TUL3</t>
  </si>
  <si>
    <t>115148-TUL4</t>
  </si>
  <si>
    <t>115148-TUL5</t>
  </si>
  <si>
    <t>115148-TUL6</t>
  </si>
  <si>
    <t>115148-TUL7</t>
  </si>
  <si>
    <t>115171</t>
  </si>
  <si>
    <t>30" DEF (xHD) (Short)</t>
  </si>
  <si>
    <t>115171-HOU1</t>
  </si>
  <si>
    <t>115171-HOU2</t>
  </si>
  <si>
    <t>115171-TUL1</t>
  </si>
  <si>
    <t>115171-TUL2</t>
  </si>
  <si>
    <t>115190</t>
  </si>
  <si>
    <t>4" MFL (NH3)</t>
  </si>
  <si>
    <t>115190-HOU1</t>
  </si>
  <si>
    <t>115190-HOU2</t>
  </si>
  <si>
    <t>115190-HOU3</t>
  </si>
  <si>
    <t>115190-HOU4</t>
  </si>
  <si>
    <t>115190-HOU5</t>
  </si>
  <si>
    <t>115190-HOU6</t>
  </si>
  <si>
    <t>115190-HOU7</t>
  </si>
  <si>
    <t>115190-SLC1</t>
  </si>
  <si>
    <t>115190-SLC2</t>
  </si>
  <si>
    <t>115190-SLC3</t>
  </si>
  <si>
    <t>115190-SLC4</t>
  </si>
  <si>
    <t>115190-SLC5</t>
  </si>
  <si>
    <t>115190-SLC6</t>
  </si>
  <si>
    <t>115190-SLC7</t>
  </si>
  <si>
    <t>115190-TUL1</t>
  </si>
  <si>
    <t>115190-TUL2</t>
  </si>
  <si>
    <t>115190-TUL3</t>
  </si>
  <si>
    <t>115190-TUL4</t>
  </si>
  <si>
    <t>115190-TUL5</t>
  </si>
  <si>
    <t>115190-TUL6</t>
  </si>
  <si>
    <t>115190-TUL7</t>
  </si>
  <si>
    <t>115300</t>
  </si>
  <si>
    <t>12" MFL2 (Heavy Wall)</t>
  </si>
  <si>
    <t>115300-HOU1</t>
  </si>
  <si>
    <t>115300-HOU2</t>
  </si>
  <si>
    <t>115300-HOU3</t>
  </si>
  <si>
    <t>115300-HOU4</t>
  </si>
  <si>
    <t>115300-HOU5</t>
  </si>
  <si>
    <t>115300-HOU6</t>
  </si>
  <si>
    <t>115300-HOU7</t>
  </si>
  <si>
    <t>115300-SLC1</t>
  </si>
  <si>
    <t>115300-SLC2</t>
  </si>
  <si>
    <t>115300-SLC3</t>
  </si>
  <si>
    <t>115300-SLC4</t>
  </si>
  <si>
    <t>115300-SLC5</t>
  </si>
  <si>
    <t>115300-SLC6</t>
  </si>
  <si>
    <t>115300-SLC7</t>
  </si>
  <si>
    <t>115300-TUL1</t>
  </si>
  <si>
    <t>115300-TUL2</t>
  </si>
  <si>
    <t>115300-TUL3</t>
  </si>
  <si>
    <t>115300-TUL4</t>
  </si>
  <si>
    <t>115300-TUL5</t>
  </si>
  <si>
    <t>115300-TUL6</t>
  </si>
  <si>
    <t>115300-TUL7</t>
  </si>
  <si>
    <t>115475</t>
  </si>
  <si>
    <t>115475-HOU1</t>
  </si>
  <si>
    <t>115475-TUL1</t>
  </si>
  <si>
    <t>30" MDS FLEX MFL+DEF+LFM</t>
  </si>
  <si>
    <t>115600-01-00-01-01-HOU1</t>
  </si>
  <si>
    <t>115600-01-00-01-01-SLC1</t>
  </si>
  <si>
    <t>115600-01-00-01-01-TUL1</t>
  </si>
  <si>
    <t>30" MDS FLEX MFL+DEF+LFM+XYZ</t>
  </si>
  <si>
    <t>115600-01-00-02-01-HOU1</t>
  </si>
  <si>
    <t>115600-01-00-02-01-SLC1</t>
  </si>
  <si>
    <t>115600-01-00-02-01-TUL1</t>
  </si>
  <si>
    <t>30" MFL+DEF+LFM+SMFL</t>
  </si>
  <si>
    <t>115600-01-02-01-01-HOU1</t>
  </si>
  <si>
    <t>115600-01-02-01-01-SLC1</t>
  </si>
  <si>
    <t>115600-01-02-01-01-TUL1</t>
  </si>
  <si>
    <t>30" MFL+DEF+SpirALL® MFL+LFM+XYZ</t>
  </si>
  <si>
    <t>115600-01-02-02-01-HOU1</t>
  </si>
  <si>
    <t>115600-01-02-02-01-SLC1</t>
  </si>
  <si>
    <t>115600-01-02-02-01-TUL1</t>
  </si>
  <si>
    <t>115675</t>
  </si>
  <si>
    <t>4" DEF (NH3)</t>
  </si>
  <si>
    <t>115675-HOU1</t>
  </si>
  <si>
    <t>115675-HOU2</t>
  </si>
  <si>
    <t>115675-HOU3</t>
  </si>
  <si>
    <t>115675-HOU4</t>
  </si>
  <si>
    <t>115675-HOU5</t>
  </si>
  <si>
    <t>115675-HOU6</t>
  </si>
  <si>
    <t>115675-HOU7</t>
  </si>
  <si>
    <t>115675-SLC1</t>
  </si>
  <si>
    <t>115675-SLC2</t>
  </si>
  <si>
    <t>115675-SLC3</t>
  </si>
  <si>
    <t>115675-SLC4</t>
  </si>
  <si>
    <t>115675-SLC5</t>
  </si>
  <si>
    <t>115675-SLC6</t>
  </si>
  <si>
    <t>115675-SLC7</t>
  </si>
  <si>
    <t>115675-TUL1</t>
  </si>
  <si>
    <t>115675-TUL2</t>
  </si>
  <si>
    <t>115675-TUL3</t>
  </si>
  <si>
    <t>115675-TUL4</t>
  </si>
  <si>
    <t>115675-TUL5</t>
  </si>
  <si>
    <t>115675-TUL6</t>
  </si>
  <si>
    <t>115675-TUL7</t>
  </si>
  <si>
    <t>115727</t>
  </si>
  <si>
    <t>20" MDS FLEX MFL3+DEF+LFM+XYZ</t>
  </si>
  <si>
    <t>115727-HOU1</t>
  </si>
  <si>
    <t>115727-SLC1</t>
  </si>
  <si>
    <t>115727-TUL1</t>
  </si>
  <si>
    <t>115727-TUL2</t>
  </si>
  <si>
    <t>115727-TUL3</t>
  </si>
  <si>
    <t>115728</t>
  </si>
  <si>
    <t>20" MDS FLEX MFL3+DEF+LFM</t>
  </si>
  <si>
    <t>115728-HOU1</t>
  </si>
  <si>
    <t>115728-SLC1</t>
  </si>
  <si>
    <t>115728-TUL1</t>
  </si>
  <si>
    <t>115728-TUL2</t>
  </si>
  <si>
    <t>115728-TUL3</t>
  </si>
  <si>
    <t>116459</t>
  </si>
  <si>
    <t>6" MFL3 ATEX</t>
  </si>
  <si>
    <t>116459-HOU1</t>
  </si>
  <si>
    <t>116459-HOU2</t>
  </si>
  <si>
    <t>116459-HOU3</t>
  </si>
  <si>
    <t>116459-HOU4</t>
  </si>
  <si>
    <t>116459-HOU5</t>
  </si>
  <si>
    <t>116459-HOU6</t>
  </si>
  <si>
    <t>116459-HOU7</t>
  </si>
  <si>
    <t>116459-SLC1</t>
  </si>
  <si>
    <t>116459-SLC2</t>
  </si>
  <si>
    <t>116459-SLC3</t>
  </si>
  <si>
    <t>116459-SLC4</t>
  </si>
  <si>
    <t>116459-SLC5</t>
  </si>
  <si>
    <t>116459-SLC6</t>
  </si>
  <si>
    <t>116459-SLC7</t>
  </si>
  <si>
    <t>116459-TUL1</t>
  </si>
  <si>
    <t>116459-TUL2</t>
  </si>
  <si>
    <t>116459-TUL3</t>
  </si>
  <si>
    <t>116459-TUL4</t>
  </si>
  <si>
    <t>116459-TUL5</t>
  </si>
  <si>
    <t>116459-TUL6</t>
  </si>
  <si>
    <t>116459-TUL7</t>
  </si>
  <si>
    <t>116645</t>
  </si>
  <si>
    <t>14" MFL2 (Heavy Wall)</t>
  </si>
  <si>
    <t>116645-HOU1</t>
  </si>
  <si>
    <t>116645-HOU2</t>
  </si>
  <si>
    <t>116645-HOU3</t>
  </si>
  <si>
    <t>116645-HOU4</t>
  </si>
  <si>
    <t>116645-HOU5</t>
  </si>
  <si>
    <t>116645-HOU6</t>
  </si>
  <si>
    <t>116645-HOU7</t>
  </si>
  <si>
    <t>116645-SLC1</t>
  </si>
  <si>
    <t>116645-SLC2</t>
  </si>
  <si>
    <t>116645-SLC3</t>
  </si>
  <si>
    <t>116645-SLC4</t>
  </si>
  <si>
    <t>116645-SLC5</t>
  </si>
  <si>
    <t>116645-SLC6</t>
  </si>
  <si>
    <t>116645-SLC7</t>
  </si>
  <si>
    <t>116645-TUL1</t>
  </si>
  <si>
    <t>116645-TUL2</t>
  </si>
  <si>
    <t>116645-TUL3</t>
  </si>
  <si>
    <t>116645-TUL4</t>
  </si>
  <si>
    <t>116645-TUL5</t>
  </si>
  <si>
    <t>116645-TUL6</t>
  </si>
  <si>
    <t>116645-TUL7</t>
  </si>
  <si>
    <t>116738</t>
  </si>
  <si>
    <t>6" DEF ATEX</t>
  </si>
  <si>
    <t>116738-HOU1</t>
  </si>
  <si>
    <t>116738-HOU2</t>
  </si>
  <si>
    <t>116738-HOU3</t>
  </si>
  <si>
    <t>116738-HOU4</t>
  </si>
  <si>
    <t>116738-HOU5</t>
  </si>
  <si>
    <t>116738-HOU6</t>
  </si>
  <si>
    <t>116738-HOU7</t>
  </si>
  <si>
    <t>116738-SLC1</t>
  </si>
  <si>
    <t>116738-SLC2</t>
  </si>
  <si>
    <t>116738-SLC3</t>
  </si>
  <si>
    <t>116738-SLC4</t>
  </si>
  <si>
    <t>116738-SLC5</t>
  </si>
  <si>
    <t>116738-SLC6</t>
  </si>
  <si>
    <t>116738-SLC7</t>
  </si>
  <si>
    <t>116738-TUL1</t>
  </si>
  <si>
    <t>116738-TUL2</t>
  </si>
  <si>
    <t>116738-TUL3</t>
  </si>
  <si>
    <t>116738-TUL4</t>
  </si>
  <si>
    <t>116738-TUL5</t>
  </si>
  <si>
    <t>116738-TUL6</t>
  </si>
  <si>
    <t>116738-TUL7</t>
  </si>
  <si>
    <t>116772</t>
  </si>
  <si>
    <t>22" GMFL2+DEF+XYZ ATEX</t>
  </si>
  <si>
    <t>116772-HOU1</t>
  </si>
  <si>
    <t>116772-HOU2</t>
  </si>
  <si>
    <t>116772-SLC1</t>
  </si>
  <si>
    <t>116772-TUL1</t>
  </si>
  <si>
    <t>116772-TUL2</t>
  </si>
  <si>
    <t>116837</t>
  </si>
  <si>
    <t>116837-HOU1</t>
  </si>
  <si>
    <t>116837-HOU2</t>
  </si>
  <si>
    <t>116837-HOU3</t>
  </si>
  <si>
    <t>116837-HOU4</t>
  </si>
  <si>
    <t>116837-HOU5</t>
  </si>
  <si>
    <t>116837-HOU6</t>
  </si>
  <si>
    <t>116837-HOU7</t>
  </si>
  <si>
    <t>116837-SLC1</t>
  </si>
  <si>
    <t>116837-SLC2</t>
  </si>
  <si>
    <t>116837-SLC3</t>
  </si>
  <si>
    <t>116837-SLC4</t>
  </si>
  <si>
    <t>116837-SLC5</t>
  </si>
  <si>
    <t>116837-SLC6</t>
  </si>
  <si>
    <t>116837-SLC7</t>
  </si>
  <si>
    <t>116837-TUL1</t>
  </si>
  <si>
    <t>116837-TUL2</t>
  </si>
  <si>
    <t>116837-TUL3</t>
  </si>
  <si>
    <t>116837-TUL4</t>
  </si>
  <si>
    <t>116837-TUL5</t>
  </si>
  <si>
    <t>116837-TUL6</t>
  </si>
  <si>
    <t>116837-TUL7</t>
  </si>
  <si>
    <t>116900</t>
  </si>
  <si>
    <t>18" MDS FLEX MFL2+DEF2+LFM</t>
  </si>
  <si>
    <t>116900-HOU1</t>
  </si>
  <si>
    <t>116900-SLC1</t>
  </si>
  <si>
    <t>116900-TUL1</t>
  </si>
  <si>
    <t>38" DEF ATEX</t>
  </si>
  <si>
    <t>116950-01-TUL1</t>
  </si>
  <si>
    <t>116950-02-TUL1</t>
  </si>
  <si>
    <t>42" DEF ATEX</t>
  </si>
  <si>
    <t>116950-03-TUL1</t>
  </si>
  <si>
    <t>116951</t>
  </si>
  <si>
    <t>42" GMFL ATEX</t>
  </si>
  <si>
    <t>116951-TUL1</t>
  </si>
  <si>
    <t>116952</t>
  </si>
  <si>
    <t>42" GMFL+DEF+XYZ ATEX</t>
  </si>
  <si>
    <t>116952-TUL1</t>
  </si>
  <si>
    <t>117836</t>
  </si>
  <si>
    <t>117836-HOU1</t>
  </si>
  <si>
    <t>117836-HOU2</t>
  </si>
  <si>
    <t>117836-SLC1</t>
  </si>
  <si>
    <t>117836-TUL1</t>
  </si>
  <si>
    <t>117836-TUL2</t>
  </si>
  <si>
    <t>117837</t>
  </si>
  <si>
    <t>117837-HOU1</t>
  </si>
  <si>
    <t>117837-HOU2</t>
  </si>
  <si>
    <t>117837-SLC1</t>
  </si>
  <si>
    <t>117837-TUL1</t>
  </si>
  <si>
    <t>117837-TUL2</t>
  </si>
  <si>
    <t>118099</t>
  </si>
  <si>
    <t>118099-HOU1</t>
  </si>
  <si>
    <t>118099-HOU2</t>
  </si>
  <si>
    <t>118099-HOU3</t>
  </si>
  <si>
    <t>118099-HOU4</t>
  </si>
  <si>
    <t>118099-HOU5</t>
  </si>
  <si>
    <t>118099-HOU6</t>
  </si>
  <si>
    <t>118099-HOU7</t>
  </si>
  <si>
    <t>118099-SLC1</t>
  </si>
  <si>
    <t>118099-SLC2</t>
  </si>
  <si>
    <t>118099-SLC3</t>
  </si>
  <si>
    <t>118099-SLC4</t>
  </si>
  <si>
    <t>118099-SLC5</t>
  </si>
  <si>
    <t>118099-SLC6</t>
  </si>
  <si>
    <t>118099-SLC7</t>
  </si>
  <si>
    <t>118099-TUL1</t>
  </si>
  <si>
    <t>118099-TUL2</t>
  </si>
  <si>
    <t>118099-TUL3</t>
  </si>
  <si>
    <t>118099-TUL4</t>
  </si>
  <si>
    <t>118099-TUL5</t>
  </si>
  <si>
    <t>118099-TUL6</t>
  </si>
  <si>
    <t>118099-TUL7</t>
  </si>
  <si>
    <t>119024</t>
  </si>
  <si>
    <t>10" MFL+DEF+XYZ (Dual Drive)</t>
  </si>
  <si>
    <t>119024-HOU1</t>
  </si>
  <si>
    <t>119024-HOU2</t>
  </si>
  <si>
    <t>119024-HOU3</t>
  </si>
  <si>
    <t>119024-HOU4</t>
  </si>
  <si>
    <t>119024-HOU5</t>
  </si>
  <si>
    <t>119024-HOU6</t>
  </si>
  <si>
    <t>119024-HOU7</t>
  </si>
  <si>
    <t>119024-SLC1</t>
  </si>
  <si>
    <t>119024-SLC2</t>
  </si>
  <si>
    <t>119024-SLC3</t>
  </si>
  <si>
    <t>119024-SLC4</t>
  </si>
  <si>
    <t>119024-SLC5</t>
  </si>
  <si>
    <t>119024-SLC6</t>
  </si>
  <si>
    <t>119024-SLC7</t>
  </si>
  <si>
    <t>119024-TUL1</t>
  </si>
  <si>
    <t>119024-TUL2</t>
  </si>
  <si>
    <t>119024-TUL3</t>
  </si>
  <si>
    <t>119024-TUL4</t>
  </si>
  <si>
    <t>119024-TUL5</t>
  </si>
  <si>
    <t>119024-TUL6</t>
  </si>
  <si>
    <t>119024-TUL7</t>
  </si>
  <si>
    <t>119403</t>
  </si>
  <si>
    <t>119403-HOU1</t>
  </si>
  <si>
    <t>119403-HOU2</t>
  </si>
  <si>
    <t>119403-HOU3</t>
  </si>
  <si>
    <t>119403-HOU4</t>
  </si>
  <si>
    <t>119403-HOU5</t>
  </si>
  <si>
    <t>119403-HOU6</t>
  </si>
  <si>
    <t>119403-HOU7</t>
  </si>
  <si>
    <t>119403-SLC1</t>
  </si>
  <si>
    <t>119403-SLC2</t>
  </si>
  <si>
    <t>119403-SLC3</t>
  </si>
  <si>
    <t>119403-SLC4</t>
  </si>
  <si>
    <t>119403-SLC5</t>
  </si>
  <si>
    <t>119403-SLC6</t>
  </si>
  <si>
    <t>119403-SLC7</t>
  </si>
  <si>
    <t>119403-TUL1</t>
  </si>
  <si>
    <t>119403-TUL2</t>
  </si>
  <si>
    <t>119403-TUL3</t>
  </si>
  <si>
    <t>119403-TUL4</t>
  </si>
  <si>
    <t>119403-TUL5</t>
  </si>
  <si>
    <t>119403-TUL6</t>
  </si>
  <si>
    <t>119403-TUL7</t>
  </si>
  <si>
    <t>119600</t>
  </si>
  <si>
    <t>10", ASSY, TOOL, EMAT</t>
  </si>
  <si>
    <t>119600-HOU1</t>
  </si>
  <si>
    <t>119600-SLC1</t>
  </si>
  <si>
    <t>119600-TUL1</t>
  </si>
  <si>
    <t>120312</t>
  </si>
  <si>
    <t>120312-HOU1</t>
  </si>
  <si>
    <t>120312-HOU2</t>
  </si>
  <si>
    <t>120312-SLC1</t>
  </si>
  <si>
    <t>120312-TUL1</t>
  </si>
  <si>
    <t>120312-TUL2</t>
  </si>
  <si>
    <t>120369</t>
  </si>
  <si>
    <t>120369-HOU1</t>
  </si>
  <si>
    <t>120369-SLC1</t>
  </si>
  <si>
    <t>120369-TUL1</t>
  </si>
  <si>
    <t>120561</t>
  </si>
  <si>
    <t>120561-HOU1</t>
  </si>
  <si>
    <t>120561-HOU2</t>
  </si>
  <si>
    <t>120561-SLC1</t>
  </si>
  <si>
    <t>120561-TUL1</t>
  </si>
  <si>
    <t>120640</t>
  </si>
  <si>
    <t>10" MFL3+DEF+SMFL+XYZ+RES</t>
  </si>
  <si>
    <t>120640-HOU1</t>
  </si>
  <si>
    <t>120640-HOU2</t>
  </si>
  <si>
    <t>120640-SLC1</t>
  </si>
  <si>
    <t>120640-TUL1</t>
  </si>
  <si>
    <t>120710</t>
  </si>
  <si>
    <t>120710-HOU1</t>
  </si>
  <si>
    <t>120710-HOU2</t>
  </si>
  <si>
    <t>120710-HOU3</t>
  </si>
  <si>
    <t>120710-HOU4</t>
  </si>
  <si>
    <t>120710-HOU5</t>
  </si>
  <si>
    <t>120710-HOU6</t>
  </si>
  <si>
    <t>120710-HOU7</t>
  </si>
  <si>
    <t>120710-SLC1</t>
  </si>
  <si>
    <t>120710-SLC2</t>
  </si>
  <si>
    <t>120710-SLC3</t>
  </si>
  <si>
    <t>120710-SLC4</t>
  </si>
  <si>
    <t>120710-SLC5</t>
  </si>
  <si>
    <t>120710-SLC6</t>
  </si>
  <si>
    <t>120710-SLC7</t>
  </si>
  <si>
    <t>120710-TUL1</t>
  </si>
  <si>
    <t>120710-TUL2</t>
  </si>
  <si>
    <t>120710-TUL3</t>
  </si>
  <si>
    <t>120710-TUL4</t>
  </si>
  <si>
    <t>120710-TUL5</t>
  </si>
  <si>
    <t>120710-TUL6</t>
  </si>
  <si>
    <t>120710-TUL7</t>
  </si>
  <si>
    <t>120711</t>
  </si>
  <si>
    <t>120711-HOU1</t>
  </si>
  <si>
    <t>120711-HOU2</t>
  </si>
  <si>
    <t>120711-HOU3</t>
  </si>
  <si>
    <t>120711-HOU4</t>
  </si>
  <si>
    <t>120711-HOU5</t>
  </si>
  <si>
    <t>120711-HOU6</t>
  </si>
  <si>
    <t>120711-HOU7</t>
  </si>
  <si>
    <t>120711-SLC1</t>
  </si>
  <si>
    <t>120711-SLC2</t>
  </si>
  <si>
    <t>120711-SLC3</t>
  </si>
  <si>
    <t>120711-SLC4</t>
  </si>
  <si>
    <t>120711-SLC5</t>
  </si>
  <si>
    <t>120711-SLC6</t>
  </si>
  <si>
    <t>120711-SLC7</t>
  </si>
  <si>
    <t>120711-TUL1</t>
  </si>
  <si>
    <t>120711-TUL2</t>
  </si>
  <si>
    <t>120711-TUL3</t>
  </si>
  <si>
    <t>120711-TUL4</t>
  </si>
  <si>
    <t>120711-TUL5</t>
  </si>
  <si>
    <t>120711-TUL6</t>
  </si>
  <si>
    <t>120711-TUL7</t>
  </si>
  <si>
    <t>120733</t>
  </si>
  <si>
    <t>120733-HOU1</t>
  </si>
  <si>
    <t>120733-HOU2</t>
  </si>
  <si>
    <t>120733-SLC1</t>
  </si>
  <si>
    <t>120733-TUL1</t>
  </si>
  <si>
    <t>120733-TUL2</t>
  </si>
  <si>
    <t>120733-TUL3</t>
  </si>
  <si>
    <t>120816</t>
  </si>
  <si>
    <t>120816-HOU1</t>
  </si>
  <si>
    <t>120816-SLC1</t>
  </si>
  <si>
    <t>120816-TUL1</t>
  </si>
  <si>
    <t>120839</t>
  </si>
  <si>
    <t>120839-HOU1</t>
  </si>
  <si>
    <t>120839-TUL1</t>
  </si>
  <si>
    <t>120901</t>
  </si>
  <si>
    <t>120901-HOU1</t>
  </si>
  <si>
    <t>120901-SLC1</t>
  </si>
  <si>
    <t>120901-SLC2</t>
  </si>
  <si>
    <t>120901-TUL1</t>
  </si>
  <si>
    <t>121043</t>
  </si>
  <si>
    <t>121043-HOU1</t>
  </si>
  <si>
    <t>121043-HOU2</t>
  </si>
  <si>
    <t>121043-HOU3</t>
  </si>
  <si>
    <t>121043-HOU4</t>
  </si>
  <si>
    <t>121043-HOU5</t>
  </si>
  <si>
    <t>121043-HOU6</t>
  </si>
  <si>
    <t>121043-HOU7</t>
  </si>
  <si>
    <t>121043-SLC1</t>
  </si>
  <si>
    <t>121043-SLC2</t>
  </si>
  <si>
    <t>121043-SLC3</t>
  </si>
  <si>
    <t>121043-SLC4</t>
  </si>
  <si>
    <t>121043-SLC5</t>
  </si>
  <si>
    <t>121043-SLC6</t>
  </si>
  <si>
    <t>121043-SLC7</t>
  </si>
  <si>
    <t>121043-TUL1</t>
  </si>
  <si>
    <t>121043-TUL2</t>
  </si>
  <si>
    <t>121043-TUL3</t>
  </si>
  <si>
    <t>121043-TUL4</t>
  </si>
  <si>
    <t>121043-TUL5</t>
  </si>
  <si>
    <t>121043-TUL6</t>
  </si>
  <si>
    <t>121043-TUL7</t>
  </si>
  <si>
    <t>121049</t>
  </si>
  <si>
    <t>14" DEF CHAIN COUPLER</t>
  </si>
  <si>
    <t>121049-HOU1</t>
  </si>
  <si>
    <t>121049-HOU2</t>
  </si>
  <si>
    <t>121049-HOU3</t>
  </si>
  <si>
    <t>121049-HOU4</t>
  </si>
  <si>
    <t>121049-HOU5</t>
  </si>
  <si>
    <t>121049-HOU6</t>
  </si>
  <si>
    <t>121049-HOU7</t>
  </si>
  <si>
    <t>121049-SLC1</t>
  </si>
  <si>
    <t>121049-SLC2</t>
  </si>
  <si>
    <t>121049-SLC3</t>
  </si>
  <si>
    <t>121049-SLC4</t>
  </si>
  <si>
    <t>121049-SLC5</t>
  </si>
  <si>
    <t>121049-SLC6</t>
  </si>
  <si>
    <t>121049-SLC7</t>
  </si>
  <si>
    <t>121049-TUL1</t>
  </si>
  <si>
    <t>121049-TUL2</t>
  </si>
  <si>
    <t>121049-TUL3</t>
  </si>
  <si>
    <t>121049-TUL4</t>
  </si>
  <si>
    <t>121049-TUL5</t>
  </si>
  <si>
    <t>121049-TUL6</t>
  </si>
  <si>
    <t>121049-TUL7</t>
  </si>
  <si>
    <t>121052</t>
  </si>
  <si>
    <t>12" DEF CHAIN COUPLER</t>
  </si>
  <si>
    <t>121052-HOU1</t>
  </si>
  <si>
    <t>121052-HOU2</t>
  </si>
  <si>
    <t>121052-HOU3</t>
  </si>
  <si>
    <t>121052-HOU4</t>
  </si>
  <si>
    <t>121052-HOU5</t>
  </si>
  <si>
    <t>121052-HOU6</t>
  </si>
  <si>
    <t>121052-HOU7</t>
  </si>
  <si>
    <t>121052-SLC1</t>
  </si>
  <si>
    <t>121052-SLC2</t>
  </si>
  <si>
    <t>121052-SLC3</t>
  </si>
  <si>
    <t>121052-SLC4</t>
  </si>
  <si>
    <t>121052-SLC5</t>
  </si>
  <si>
    <t>121052-SLC6</t>
  </si>
  <si>
    <t>121052-SLC7</t>
  </si>
  <si>
    <t>121052-TUL1</t>
  </si>
  <si>
    <t>121052-TUL2</t>
  </si>
  <si>
    <t>121052-TUL3</t>
  </si>
  <si>
    <t>121052-TUL4</t>
  </si>
  <si>
    <t>121052-TUL5</t>
  </si>
  <si>
    <t>121052-TUL6</t>
  </si>
  <si>
    <t>121052-TUL7</t>
  </si>
  <si>
    <t>12-10GCPU01</t>
  </si>
  <si>
    <t>ASSY, ENDPLATE, CPU, 12-10"</t>
  </si>
  <si>
    <t>103251</t>
  </si>
  <si>
    <t>12-10GXMT01</t>
  </si>
  <si>
    <t>ASSY, TRANSMITTER, 12-10"</t>
  </si>
  <si>
    <t>103266</t>
  </si>
  <si>
    <t>1212ADRV01</t>
  </si>
  <si>
    <t>ASSY, DRIVE CANISTER, 12"</t>
  </si>
  <si>
    <t>109206</t>
  </si>
  <si>
    <t>1212ADRV02</t>
  </si>
  <si>
    <t>1214ADAA01</t>
  </si>
  <si>
    <t>121770</t>
  </si>
  <si>
    <t>4" MDS FLEX MFL2+DEF2+IDOD</t>
  </si>
  <si>
    <t>121770-HOU1</t>
  </si>
  <si>
    <t>121770-SLC1</t>
  </si>
  <si>
    <t>121770-TUL1</t>
  </si>
  <si>
    <t>121771</t>
  </si>
  <si>
    <t>121771-HOU1</t>
  </si>
  <si>
    <t>121771-HOU2</t>
  </si>
  <si>
    <t>121771-HOU3</t>
  </si>
  <si>
    <t>121771-HOU4</t>
  </si>
  <si>
    <t>121771-HOU5</t>
  </si>
  <si>
    <t>121771-HOU6</t>
  </si>
  <si>
    <t>121771-HOU7</t>
  </si>
  <si>
    <t>121771-SLC1</t>
  </si>
  <si>
    <t>121771-SLC2</t>
  </si>
  <si>
    <t>121771-SLC3</t>
  </si>
  <si>
    <t>121771-SLC4</t>
  </si>
  <si>
    <t>121771-SLC5</t>
  </si>
  <si>
    <t>121771-SLC6</t>
  </si>
  <si>
    <t>121771-SLC7</t>
  </si>
  <si>
    <t>121771-TUL1</t>
  </si>
  <si>
    <t>121771-TUL2</t>
  </si>
  <si>
    <t>121771-TUL3</t>
  </si>
  <si>
    <t>121771-TUL4</t>
  </si>
  <si>
    <t>121771-TUL5</t>
  </si>
  <si>
    <t>121771-TUL6</t>
  </si>
  <si>
    <t>121771-TUL7</t>
  </si>
  <si>
    <t>122199</t>
  </si>
  <si>
    <t>122199-HOU1</t>
  </si>
  <si>
    <t>122199-HOU2</t>
  </si>
  <si>
    <t>122199-HOU3</t>
  </si>
  <si>
    <t>122199-HOU4</t>
  </si>
  <si>
    <t>122199-HOU5</t>
  </si>
  <si>
    <t>122199-HOU6</t>
  </si>
  <si>
    <t>122199-HOU7</t>
  </si>
  <si>
    <t>122199-SLC1</t>
  </si>
  <si>
    <t>122199-SLC2</t>
  </si>
  <si>
    <t>122199-SLC3</t>
  </si>
  <si>
    <t>122199-SLC4</t>
  </si>
  <si>
    <t>122199-SLC5</t>
  </si>
  <si>
    <t>122199-SLC6</t>
  </si>
  <si>
    <t>122199-SLC7</t>
  </si>
  <si>
    <t>122199-TUL1</t>
  </si>
  <si>
    <t>122199-TUL2</t>
  </si>
  <si>
    <t>122199-TUL3</t>
  </si>
  <si>
    <t>122199-TUL4</t>
  </si>
  <si>
    <t>122199-TUL5</t>
  </si>
  <si>
    <t>122199-TUL6</t>
  </si>
  <si>
    <t>122199-TUL7</t>
  </si>
  <si>
    <t>122201</t>
  </si>
  <si>
    <t>14" DEF+GMFL(xHD)</t>
  </si>
  <si>
    <t>122201-HOU1</t>
  </si>
  <si>
    <t>122201-HOU2</t>
  </si>
  <si>
    <t>122201-HOU3</t>
  </si>
  <si>
    <t>122201-HOU4</t>
  </si>
  <si>
    <t>122201-HOU5</t>
  </si>
  <si>
    <t>122201-HOU6</t>
  </si>
  <si>
    <t>122201-HOU7</t>
  </si>
  <si>
    <t>122201-SLC1</t>
  </si>
  <si>
    <t>122201-SLC2</t>
  </si>
  <si>
    <t>122201-SLC3</t>
  </si>
  <si>
    <t>122201-SLC4</t>
  </si>
  <si>
    <t>122201-SLC5</t>
  </si>
  <si>
    <t>122201-SLC6</t>
  </si>
  <si>
    <t>122201-SLC7</t>
  </si>
  <si>
    <t>122201-TUL1</t>
  </si>
  <si>
    <t>122201-TUL2</t>
  </si>
  <si>
    <t>122201-TUL3</t>
  </si>
  <si>
    <t>122201-TUL4</t>
  </si>
  <si>
    <t>122201-TUL5</t>
  </si>
  <si>
    <t>122201-TUL6</t>
  </si>
  <si>
    <t>122201-TUL7</t>
  </si>
  <si>
    <t>122204</t>
  </si>
  <si>
    <t>14" GMFL+DEF+XYZ(xHD)</t>
  </si>
  <si>
    <t>122204-HOU1</t>
  </si>
  <si>
    <t>122204-HOU2</t>
  </si>
  <si>
    <t>122204-HOU3</t>
  </si>
  <si>
    <t>122204-HOU4</t>
  </si>
  <si>
    <t>122204-HOU5</t>
  </si>
  <si>
    <t>122204-HOU6</t>
  </si>
  <si>
    <t>122204-HOU7</t>
  </si>
  <si>
    <t>122204-SLC1</t>
  </si>
  <si>
    <t>122204-SLC2</t>
  </si>
  <si>
    <t>122204-SLC3</t>
  </si>
  <si>
    <t>122204-SLC4</t>
  </si>
  <si>
    <t>122204-SLC5</t>
  </si>
  <si>
    <t>122204-SLC6</t>
  </si>
  <si>
    <t>122204-SLC7</t>
  </si>
  <si>
    <t>122204-TUL1</t>
  </si>
  <si>
    <t>122204-TUL2</t>
  </si>
  <si>
    <t>122204-TUL3</t>
  </si>
  <si>
    <t>122204-TUL4</t>
  </si>
  <si>
    <t>122204-TUL5</t>
  </si>
  <si>
    <t>122204-TUL6</t>
  </si>
  <si>
    <t>122204-TUL7</t>
  </si>
  <si>
    <t>122206</t>
  </si>
  <si>
    <t>12" GMFL+DEF(xHD)</t>
  </si>
  <si>
    <t>122206-HOU1</t>
  </si>
  <si>
    <t>122206-HOU2</t>
  </si>
  <si>
    <t>122206-HOU3</t>
  </si>
  <si>
    <t>122206-HOU4</t>
  </si>
  <si>
    <t>122206-HOU5</t>
  </si>
  <si>
    <t>122206-HOU6</t>
  </si>
  <si>
    <t>122206-HOU7</t>
  </si>
  <si>
    <t>122206-SLC1</t>
  </si>
  <si>
    <t>122206-SLC2</t>
  </si>
  <si>
    <t>122206-SLC3</t>
  </si>
  <si>
    <t>122206-SLC4</t>
  </si>
  <si>
    <t>122206-SLC5</t>
  </si>
  <si>
    <t>122206-SLC6</t>
  </si>
  <si>
    <t>122206-SLC7</t>
  </si>
  <si>
    <t>122206-TUL1</t>
  </si>
  <si>
    <t>122206-TUL2</t>
  </si>
  <si>
    <t>122206-TUL3</t>
  </si>
  <si>
    <t>122206-TUL4</t>
  </si>
  <si>
    <t>122206-TUL5</t>
  </si>
  <si>
    <t>122206-TUL6</t>
  </si>
  <si>
    <t>122206-TUL7</t>
  </si>
  <si>
    <t>122434</t>
  </si>
  <si>
    <t>122434-HOU1</t>
  </si>
  <si>
    <t>122434-HOU2</t>
  </si>
  <si>
    <t>122434-HOU3</t>
  </si>
  <si>
    <t>122434-HOU4</t>
  </si>
  <si>
    <t>122434-HOU5</t>
  </si>
  <si>
    <t>122434-HOU6</t>
  </si>
  <si>
    <t>122434-HOU7</t>
  </si>
  <si>
    <t>122434-SLC1</t>
  </si>
  <si>
    <t>122434-SLC2</t>
  </si>
  <si>
    <t>122434-SLC3</t>
  </si>
  <si>
    <t>122434-SLC4</t>
  </si>
  <si>
    <t>122434-SLC5</t>
  </si>
  <si>
    <t>122434-SLC6</t>
  </si>
  <si>
    <t>122434-SLC7</t>
  </si>
  <si>
    <t>122434-TUL1</t>
  </si>
  <si>
    <t>122434-TUL2</t>
  </si>
  <si>
    <t>122434-TUL3</t>
  </si>
  <si>
    <t>122434-TUL4</t>
  </si>
  <si>
    <t>122434-TUL5</t>
  </si>
  <si>
    <t>122434-TUL6</t>
  </si>
  <si>
    <t>122434-TUL7</t>
  </si>
  <si>
    <t>122500</t>
  </si>
  <si>
    <t>8" MFL5+DEF5+SMFL2+XYZ+LFM (V2)</t>
  </si>
  <si>
    <t>122500-HOU1</t>
  </si>
  <si>
    <t>122500-HOU2</t>
  </si>
  <si>
    <t>122500-SLC1</t>
  </si>
  <si>
    <t>122500-TUL1</t>
  </si>
  <si>
    <t>122500-TUL2</t>
  </si>
  <si>
    <t>122501</t>
  </si>
  <si>
    <t>8" MFL5+DEF5+SMFL2+LFM (V2)</t>
  </si>
  <si>
    <t>122501-HOU1</t>
  </si>
  <si>
    <t>122501-HOU2</t>
  </si>
  <si>
    <t>122501-SLC1</t>
  </si>
  <si>
    <t>122501-TUL1</t>
  </si>
  <si>
    <t>122501-TUL2</t>
  </si>
  <si>
    <t>122502</t>
  </si>
  <si>
    <t>8" MDS FLEX MFL5+DEF5+XYZ+LFM (V2)</t>
  </si>
  <si>
    <t>122502-HOU1</t>
  </si>
  <si>
    <t>122502-HOU2</t>
  </si>
  <si>
    <t>122502-SLC1</t>
  </si>
  <si>
    <t>122502-TUL1</t>
  </si>
  <si>
    <t>122502-TUL2</t>
  </si>
  <si>
    <t>122503</t>
  </si>
  <si>
    <t>8" MDS FLEX MFL5+DEF5+LFM (V2)</t>
  </si>
  <si>
    <t>122503-HOU1</t>
  </si>
  <si>
    <t>122503-HOU2</t>
  </si>
  <si>
    <t>122503-SLC1</t>
  </si>
  <si>
    <t>122503-TUL1</t>
  </si>
  <si>
    <t>122503-TUL2</t>
  </si>
  <si>
    <t>122641</t>
  </si>
  <si>
    <t>16" MFL2+DEF2+SMFL3+XYZ+LFM, SpirALL MFL</t>
  </si>
  <si>
    <t>122641-HOU1</t>
  </si>
  <si>
    <t>122641-SLC1</t>
  </si>
  <si>
    <t>Quality Control</t>
  </si>
  <si>
    <t>122641-SLC2</t>
  </si>
  <si>
    <t>122641-TUL1</t>
  </si>
  <si>
    <t>122700</t>
  </si>
  <si>
    <t>122700-HOU1</t>
  </si>
  <si>
    <t>122700-SLC1</t>
  </si>
  <si>
    <t>122700-TUL1</t>
  </si>
  <si>
    <t>122701</t>
  </si>
  <si>
    <t>122701-HOU1</t>
  </si>
  <si>
    <t>122701-SLC1</t>
  </si>
  <si>
    <t>122701-TUL1</t>
  </si>
  <si>
    <t>122702</t>
  </si>
  <si>
    <t>26" MDS FLEX MFL+DEF2+XYZ+LFM</t>
  </si>
  <si>
    <t>122702-HOU1</t>
  </si>
  <si>
    <t>122702-SLC1</t>
  </si>
  <si>
    <t>122702-TUL1</t>
  </si>
  <si>
    <t>122703</t>
  </si>
  <si>
    <t>26" MDS FLEX MFL+DEF2+LFM</t>
  </si>
  <si>
    <t>122703-HOU1</t>
  </si>
  <si>
    <t>122703-SLC1</t>
  </si>
  <si>
    <t>122703-TUL1</t>
  </si>
  <si>
    <t>122710</t>
  </si>
  <si>
    <t>26" MFL+DEF2+SMFL+XYZ+LFM ATEX</t>
  </si>
  <si>
    <t>122710-HOU1</t>
  </si>
  <si>
    <t>122710-SLC1</t>
  </si>
  <si>
    <t>122710-TUL1</t>
  </si>
  <si>
    <t>122711</t>
  </si>
  <si>
    <t>26" MFL+DEF2+SMFL+LFM ATEX</t>
  </si>
  <si>
    <t>122711-HOU1</t>
  </si>
  <si>
    <t>122711-SLC1</t>
  </si>
  <si>
    <t>122711-TUL1</t>
  </si>
  <si>
    <t>122712</t>
  </si>
  <si>
    <t>26" MDS FLEX MFL+DEF2+XYZ+LFM ATEX</t>
  </si>
  <si>
    <t>122712-HOU1</t>
  </si>
  <si>
    <t>122712-SLC1</t>
  </si>
  <si>
    <t>122712-TUL1</t>
  </si>
  <si>
    <t>122713</t>
  </si>
  <si>
    <t>26" MDS FLEX MFL+DEF2+LFM ATEX</t>
  </si>
  <si>
    <t>122713-HOU1</t>
  </si>
  <si>
    <t>122713-SLC1</t>
  </si>
  <si>
    <t>122713-TUL1</t>
  </si>
  <si>
    <t>122972</t>
  </si>
  <si>
    <t>8" DEF+XYZ (NH3)</t>
  </si>
  <si>
    <t>122972-HOU1</t>
  </si>
  <si>
    <t>122972-HOU2</t>
  </si>
  <si>
    <t>122972-HOU3</t>
  </si>
  <si>
    <t>122972-HOU4</t>
  </si>
  <si>
    <t>122972-HOU5</t>
  </si>
  <si>
    <t>122972-HOU6</t>
  </si>
  <si>
    <t>122972-HOU7</t>
  </si>
  <si>
    <t>122972-SLC1</t>
  </si>
  <si>
    <t>122972-SLC2</t>
  </si>
  <si>
    <t>122972-SLC3</t>
  </si>
  <si>
    <t>122972-SLC4</t>
  </si>
  <si>
    <t>122972-SLC5</t>
  </si>
  <si>
    <t>122972-SLC6</t>
  </si>
  <si>
    <t>122972-SLC7</t>
  </si>
  <si>
    <t>122972-TUL1</t>
  </si>
  <si>
    <t>122972-TUL2</t>
  </si>
  <si>
    <t>122972-TUL3</t>
  </si>
  <si>
    <t>122972-TUL4</t>
  </si>
  <si>
    <t>122972-TUL5</t>
  </si>
  <si>
    <t>122972-TUL6</t>
  </si>
  <si>
    <t>122972-TUL7</t>
  </si>
  <si>
    <t>122975</t>
  </si>
  <si>
    <t>122975-HOU1</t>
  </si>
  <si>
    <t>122975-HOU2</t>
  </si>
  <si>
    <t>122975-HOU3</t>
  </si>
  <si>
    <t>122975-HOU4</t>
  </si>
  <si>
    <t>122975-HOU5</t>
  </si>
  <si>
    <t>122975-HOU6</t>
  </si>
  <si>
    <t>122975-HOU7</t>
  </si>
  <si>
    <t>122975-SLC1</t>
  </si>
  <si>
    <t>122975-SLC2</t>
  </si>
  <si>
    <t>122975-SLC3</t>
  </si>
  <si>
    <t>122975-SLC4</t>
  </si>
  <si>
    <t>122975-SLC5</t>
  </si>
  <si>
    <t>122975-SLC6</t>
  </si>
  <si>
    <t>122975-SLC7</t>
  </si>
  <si>
    <t>122975-TUL1</t>
  </si>
  <si>
    <t>122975-TUL2</t>
  </si>
  <si>
    <t>122975-TUL3</t>
  </si>
  <si>
    <t>122975-TUL4</t>
  </si>
  <si>
    <t>122975-TUL5</t>
  </si>
  <si>
    <t>122975-TUL6</t>
  </si>
  <si>
    <t>122975-TUL7</t>
  </si>
  <si>
    <t>122986</t>
  </si>
  <si>
    <t>10" DEF+XYZ NH3</t>
  </si>
  <si>
    <t>122986-HOU1</t>
  </si>
  <si>
    <t>122986-HOU2</t>
  </si>
  <si>
    <t>122986-HOU3</t>
  </si>
  <si>
    <t>122986-HOU4</t>
  </si>
  <si>
    <t>122986-HOU5</t>
  </si>
  <si>
    <t>122986-HOU6</t>
  </si>
  <si>
    <t>122986-HOU7</t>
  </si>
  <si>
    <t>122986-SLC1</t>
  </si>
  <si>
    <t>122986-SLC2</t>
  </si>
  <si>
    <t>122986-SLC3</t>
  </si>
  <si>
    <t>122986-SLC4</t>
  </si>
  <si>
    <t>122986-SLC5</t>
  </si>
  <si>
    <t>122986-SLC6</t>
  </si>
  <si>
    <t>122986-SLC7</t>
  </si>
  <si>
    <t>122986-TUL1</t>
  </si>
  <si>
    <t>122986-TUL2</t>
  </si>
  <si>
    <t>122986-TUL3</t>
  </si>
  <si>
    <t>122986-TUL4</t>
  </si>
  <si>
    <t>122986-TUL5</t>
  </si>
  <si>
    <t>122986-TUL6</t>
  </si>
  <si>
    <t>122986-TUL7</t>
  </si>
  <si>
    <t>123115</t>
  </si>
  <si>
    <t>123115-HOU1</t>
  </si>
  <si>
    <t>123115-HOU2</t>
  </si>
  <si>
    <t>123115-TUL1</t>
  </si>
  <si>
    <t>123170</t>
  </si>
  <si>
    <t>48" GMFL+DEF</t>
  </si>
  <si>
    <t>123249</t>
  </si>
  <si>
    <t>48" GMFL DEF XYZ</t>
  </si>
  <si>
    <t>123291</t>
  </si>
  <si>
    <t>8" GMFL+DEF (xHD)</t>
  </si>
  <si>
    <t>123291-HOU1</t>
  </si>
  <si>
    <t>123291-HOU2</t>
  </si>
  <si>
    <t>123291-HOU3</t>
  </si>
  <si>
    <t>123291-HOU4</t>
  </si>
  <si>
    <t>123291-HOU5</t>
  </si>
  <si>
    <t>123291-HOU6</t>
  </si>
  <si>
    <t>123291-HOU7</t>
  </si>
  <si>
    <t>123291-SLC1</t>
  </si>
  <si>
    <t>123291-SLC2</t>
  </si>
  <si>
    <t>123291-SLC3</t>
  </si>
  <si>
    <t>123291-SLC4</t>
  </si>
  <si>
    <t>123291-SLC5</t>
  </si>
  <si>
    <t>123291-SLC6</t>
  </si>
  <si>
    <t>123291-SLC7</t>
  </si>
  <si>
    <t>123291-TUL1</t>
  </si>
  <si>
    <t>123291-TUL2</t>
  </si>
  <si>
    <t>123291-TUL3</t>
  </si>
  <si>
    <t>123291-TUL4</t>
  </si>
  <si>
    <t>123291-TUL5</t>
  </si>
  <si>
    <t>123291-TUL6</t>
  </si>
  <si>
    <t>123291-TUL7</t>
  </si>
  <si>
    <t>123309</t>
  </si>
  <si>
    <t>123309-HOU1</t>
  </si>
  <si>
    <t>123309-SLC1</t>
  </si>
  <si>
    <t>123309-TUL1</t>
  </si>
  <si>
    <t>12", ASSY, TOOL, EMAT, PH2</t>
  </si>
  <si>
    <t>123561-1-HOU1</t>
  </si>
  <si>
    <t>123561-1-SLC1</t>
  </si>
  <si>
    <t>123561-1-TUL1</t>
  </si>
  <si>
    <t>123561-2-HOU1</t>
  </si>
  <si>
    <t>123561-2-SLC1</t>
  </si>
  <si>
    <t>123561-2-TUL1</t>
  </si>
  <si>
    <t>16", ASSY, TOOL, EMAT</t>
  </si>
  <si>
    <t>123565-1-HOU1</t>
  </si>
  <si>
    <t>123565-1-SLC1</t>
  </si>
  <si>
    <t>123565-1-TUL1</t>
  </si>
  <si>
    <t>123565-2-HOU1</t>
  </si>
  <si>
    <t>123565-2-SLC1</t>
  </si>
  <si>
    <t>123565-2-TUL1</t>
  </si>
  <si>
    <t>123924</t>
  </si>
  <si>
    <t>8" MFL4+DEF+SMFL+RES (V1)</t>
  </si>
  <si>
    <t>123924-HOU1</t>
  </si>
  <si>
    <t>123924-SLC1</t>
  </si>
  <si>
    <t>123924-TUL1</t>
  </si>
  <si>
    <t>123925</t>
  </si>
  <si>
    <t>8" MDS FLEX MFL4+DEF+RES (V1)</t>
  </si>
  <si>
    <t>123925-HOU1</t>
  </si>
  <si>
    <t>123925-SLC1</t>
  </si>
  <si>
    <t>123925-TUL1</t>
  </si>
  <si>
    <t>123926</t>
  </si>
  <si>
    <t>8" MFL4+DEF+SMFL+RES+XYZ (V1)</t>
  </si>
  <si>
    <t>123926-HOU1</t>
  </si>
  <si>
    <t>123926-SLC1</t>
  </si>
  <si>
    <t>123926-TUL1</t>
  </si>
  <si>
    <t>124750</t>
  </si>
  <si>
    <t>124750-HOU1</t>
  </si>
  <si>
    <t>124750-HOU2</t>
  </si>
  <si>
    <t>124750-HOU3</t>
  </si>
  <si>
    <t>124750-HOU4</t>
  </si>
  <si>
    <t>124750-HOU5</t>
  </si>
  <si>
    <t>124750-HOU6</t>
  </si>
  <si>
    <t>124750-HOU7</t>
  </si>
  <si>
    <t>124750-SLC1</t>
  </si>
  <si>
    <t>124750-SLC2</t>
  </si>
  <si>
    <t>124750-SLC3</t>
  </si>
  <si>
    <t>124750-SLC4</t>
  </si>
  <si>
    <t>124750-SLC5</t>
  </si>
  <si>
    <t>124750-SLC6</t>
  </si>
  <si>
    <t>124750-SLC7</t>
  </si>
  <si>
    <t>124750-TUL1</t>
  </si>
  <si>
    <t>124750-TUL2</t>
  </si>
  <si>
    <t>124750-TUL3</t>
  </si>
  <si>
    <t>124750-TUL4</t>
  </si>
  <si>
    <t>124750-TUL5</t>
  </si>
  <si>
    <t>124750-TUL6</t>
  </si>
  <si>
    <t>124750-TUL7</t>
  </si>
  <si>
    <t>124936</t>
  </si>
  <si>
    <t>124936-HOU1</t>
  </si>
  <si>
    <t>124936-HOU2</t>
  </si>
  <si>
    <t>124936-SLC1</t>
  </si>
  <si>
    <t>124936-TUL1</t>
  </si>
  <si>
    <t>124936-TUL2</t>
  </si>
  <si>
    <t>124963</t>
  </si>
  <si>
    <t>124963-HOU1</t>
  </si>
  <si>
    <t>124963-HOU2</t>
  </si>
  <si>
    <t>124963-SLC1</t>
  </si>
  <si>
    <t>124963-TUL1</t>
  </si>
  <si>
    <t>124963-TUL2</t>
  </si>
  <si>
    <t>124963-TUL3</t>
  </si>
  <si>
    <t>125459</t>
  </si>
  <si>
    <t>20" DEF2+GMFL+XYZ</t>
  </si>
  <si>
    <t>In Maintenance</t>
  </si>
  <si>
    <t>125459-HOU1</t>
  </si>
  <si>
    <t>125459-SLC1</t>
  </si>
  <si>
    <t>125459-TUL1</t>
  </si>
  <si>
    <t>125459-TUL2</t>
  </si>
  <si>
    <t>125460</t>
  </si>
  <si>
    <t>24" DEF2+GMFL+XYZ</t>
  </si>
  <si>
    <t>125460-HOU1</t>
  </si>
  <si>
    <t>125460-HOU2</t>
  </si>
  <si>
    <t>125460-SLC1</t>
  </si>
  <si>
    <t>125460-TUL1</t>
  </si>
  <si>
    <t>125460-TUL2</t>
  </si>
  <si>
    <t>125487</t>
  </si>
  <si>
    <t>125487-HOU1</t>
  </si>
  <si>
    <t>125487-SLC1</t>
  </si>
  <si>
    <t>125487-TUL1</t>
  </si>
  <si>
    <t>125487-TUL2</t>
  </si>
  <si>
    <t>126341</t>
  </si>
  <si>
    <t>18" GMFL Integrated DEF COMBO</t>
  </si>
  <si>
    <t>126341-HOU1</t>
  </si>
  <si>
    <t>126981</t>
  </si>
  <si>
    <t>126981-HOU1</t>
  </si>
  <si>
    <t>126981-HOU2</t>
  </si>
  <si>
    <t>126981-HOU3</t>
  </si>
  <si>
    <t>126981-HOU4</t>
  </si>
  <si>
    <t>126981-HOU5</t>
  </si>
  <si>
    <t>126981-HOU6</t>
  </si>
  <si>
    <t>126981-HOU7</t>
  </si>
  <si>
    <t>126981-SLC1</t>
  </si>
  <si>
    <t>126981-SLC2</t>
  </si>
  <si>
    <t>126981-SLC3</t>
  </si>
  <si>
    <t>126981-SLC4</t>
  </si>
  <si>
    <t>126981-SLC5</t>
  </si>
  <si>
    <t>126981-SLC6</t>
  </si>
  <si>
    <t>126981-SLC7</t>
  </si>
  <si>
    <t>126981-TUL1</t>
  </si>
  <si>
    <t>126981-TUL2</t>
  </si>
  <si>
    <t>126981-TUL3</t>
  </si>
  <si>
    <t>126981-TUL4</t>
  </si>
  <si>
    <t>126981-TUL5</t>
  </si>
  <si>
    <t>126981-TUL6</t>
  </si>
  <si>
    <t>126981-TUL7</t>
  </si>
  <si>
    <t>127126</t>
  </si>
  <si>
    <t>8" DEF+GMFL+XYZ (xHD)</t>
  </si>
  <si>
    <t>127126-HOU1</t>
  </si>
  <si>
    <t>127126-HOU2</t>
  </si>
  <si>
    <t>127126-HOU3</t>
  </si>
  <si>
    <t>127126-HOU4</t>
  </si>
  <si>
    <t>127126-HOU5</t>
  </si>
  <si>
    <t>127126-HOU6</t>
  </si>
  <si>
    <t>127126-HOU7</t>
  </si>
  <si>
    <t>127126-SLC1</t>
  </si>
  <si>
    <t>127126-SLC2</t>
  </si>
  <si>
    <t>127126-SLC3</t>
  </si>
  <si>
    <t>127126-SLC4</t>
  </si>
  <si>
    <t>127126-SLC5</t>
  </si>
  <si>
    <t>127126-SLC6</t>
  </si>
  <si>
    <t>127126-SLC7</t>
  </si>
  <si>
    <t>127126-TUL1</t>
  </si>
  <si>
    <t>127126-TUL2</t>
  </si>
  <si>
    <t>127126-TUL3</t>
  </si>
  <si>
    <t>127126-TUL4</t>
  </si>
  <si>
    <t>127126-TUL5</t>
  </si>
  <si>
    <t>127126-TUL6</t>
  </si>
  <si>
    <t>127126-TUL7</t>
  </si>
  <si>
    <t>127231</t>
  </si>
  <si>
    <t>127231-HOU1</t>
  </si>
  <si>
    <t>127231-HOU2</t>
  </si>
  <si>
    <t>127231-HOU3</t>
  </si>
  <si>
    <t>127231-HOU4</t>
  </si>
  <si>
    <t>127231-HOU5</t>
  </si>
  <si>
    <t>127231-HOU6</t>
  </si>
  <si>
    <t>127231-HOU7</t>
  </si>
  <si>
    <t>127231-SLC1</t>
  </si>
  <si>
    <t>127231-SLC2</t>
  </si>
  <si>
    <t>127231-SLC3</t>
  </si>
  <si>
    <t>127231-SLC4</t>
  </si>
  <si>
    <t>127231-SLC5</t>
  </si>
  <si>
    <t>127231-SLC6</t>
  </si>
  <si>
    <t>127231-SLC7</t>
  </si>
  <si>
    <t>127231-TUL1</t>
  </si>
  <si>
    <t>127231-TUL2</t>
  </si>
  <si>
    <t>127231-TUL3</t>
  </si>
  <si>
    <t>127231-TUL4</t>
  </si>
  <si>
    <t>127231-TUL5</t>
  </si>
  <si>
    <t>127231-TUL6</t>
  </si>
  <si>
    <t>127231-TUL7</t>
  </si>
  <si>
    <t>127353</t>
  </si>
  <si>
    <t>127353-HOU1</t>
  </si>
  <si>
    <t>127353-SLC1</t>
  </si>
  <si>
    <t>127353-TUL1</t>
  </si>
  <si>
    <t>127865</t>
  </si>
  <si>
    <t>42" DEF+GMFL</t>
  </si>
  <si>
    <t>127865-TUL1</t>
  </si>
  <si>
    <t>129152</t>
  </si>
  <si>
    <t>10" MDS FLEX MFL3+DEF+RES+XYZ</t>
  </si>
  <si>
    <t>129152-HOU1</t>
  </si>
  <si>
    <t>129152-HOU2</t>
  </si>
  <si>
    <t>129152-SLC1</t>
  </si>
  <si>
    <t>129152-TUL1</t>
  </si>
  <si>
    <t>129296</t>
  </si>
  <si>
    <t>8" MDS FLEX MFL4+DEF (V1)</t>
  </si>
  <si>
    <t>129296-HOU1</t>
  </si>
  <si>
    <t>129296-SLC1</t>
  </si>
  <si>
    <t>129296-TUL1</t>
  </si>
  <si>
    <t>129297</t>
  </si>
  <si>
    <t>8" MDS FLEX MFL4+DEF+XYZ (V1)</t>
  </si>
  <si>
    <t>129297-HOU1</t>
  </si>
  <si>
    <t>129297-SLC1</t>
  </si>
  <si>
    <t>129297-TUL1</t>
  </si>
  <si>
    <t>129298</t>
  </si>
  <si>
    <t>10" MDS FLEX MFL3+DEF</t>
  </si>
  <si>
    <t>129298-HOU1</t>
  </si>
  <si>
    <t>129298-HOU2</t>
  </si>
  <si>
    <t>129298-SLC1</t>
  </si>
  <si>
    <t>129298-TUL1</t>
  </si>
  <si>
    <t>129299</t>
  </si>
  <si>
    <t>10" MDS FLEX MFL3+DEF+XYZ</t>
  </si>
  <si>
    <t>129299-HOU1</t>
  </si>
  <si>
    <t>129299-HOU2</t>
  </si>
  <si>
    <t>129299-SLC1</t>
  </si>
  <si>
    <t>129299-TUL1</t>
  </si>
  <si>
    <t>129300</t>
  </si>
  <si>
    <t>12" MDS FLEX MFL+DEF</t>
  </si>
  <si>
    <t>129300-HOU1</t>
  </si>
  <si>
    <t>129300-HOU2</t>
  </si>
  <si>
    <t>129300-SLC1</t>
  </si>
  <si>
    <t>129300-TUL1</t>
  </si>
  <si>
    <t>129300-TUL2</t>
  </si>
  <si>
    <t>129300-TUL3</t>
  </si>
  <si>
    <t>129301</t>
  </si>
  <si>
    <t>12" MDS FLEX MFL2+DEF2+XYZ</t>
  </si>
  <si>
    <t>129301-HOU1</t>
  </si>
  <si>
    <t>129301-HOU2</t>
  </si>
  <si>
    <t>129301-SLC1</t>
  </si>
  <si>
    <t>129301-TUL1</t>
  </si>
  <si>
    <t>129301-TUL2</t>
  </si>
  <si>
    <t>129301-TUL3</t>
  </si>
  <si>
    <t>129302</t>
  </si>
  <si>
    <t>16" MDS FLEX MFL2+DEF2</t>
  </si>
  <si>
    <t>129302-HOU1</t>
  </si>
  <si>
    <t>129302-SLC1</t>
  </si>
  <si>
    <t>129302-SLC2</t>
  </si>
  <si>
    <t>129302-TUL1</t>
  </si>
  <si>
    <t>129303</t>
  </si>
  <si>
    <t>16" MDS FLEX MFL2+DEF2+XYZ</t>
  </si>
  <si>
    <t>129303-HOU1</t>
  </si>
  <si>
    <t>129303-SLC1</t>
  </si>
  <si>
    <t>129303-SLC2</t>
  </si>
  <si>
    <t>129303-TUL1</t>
  </si>
  <si>
    <t>129304</t>
  </si>
  <si>
    <t>20" MDS FLEX MFL3+DEF</t>
  </si>
  <si>
    <t>129304-HOU1</t>
  </si>
  <si>
    <t>129304-SLC1</t>
  </si>
  <si>
    <t>129304-TUL1</t>
  </si>
  <si>
    <t>129304-TUL2</t>
  </si>
  <si>
    <t>129304-TUL3</t>
  </si>
  <si>
    <t>129305</t>
  </si>
  <si>
    <t>20" MDS FLEX MFL3+DEF+XYZ</t>
  </si>
  <si>
    <t>129305-HOU1</t>
  </si>
  <si>
    <t>129305-SLC1</t>
  </si>
  <si>
    <t>129305-TUL1</t>
  </si>
  <si>
    <t>129305-TUL2</t>
  </si>
  <si>
    <t>129305-TUL3</t>
  </si>
  <si>
    <t>129306</t>
  </si>
  <si>
    <t>24" MDS FLEX MFL+DEF</t>
  </si>
  <si>
    <t>129306-HOU1</t>
  </si>
  <si>
    <t>129306-SLC1</t>
  </si>
  <si>
    <t>129306-TUL1</t>
  </si>
  <si>
    <t>129306-TUL2</t>
  </si>
  <si>
    <t>129307</t>
  </si>
  <si>
    <t>24" MDS FLEX MFL+DEF+XYZ</t>
  </si>
  <si>
    <t>129307-HOU1</t>
  </si>
  <si>
    <t>129307-SLC1</t>
  </si>
  <si>
    <t>129307-TUL1</t>
  </si>
  <si>
    <t>129307-TUL2</t>
  </si>
  <si>
    <t>129308</t>
  </si>
  <si>
    <t>26" MDS FLEX MFL+DEF</t>
  </si>
  <si>
    <t>129308-HOU1</t>
  </si>
  <si>
    <t>129308-SLC1</t>
  </si>
  <si>
    <t>129308-TUL1</t>
  </si>
  <si>
    <t>129309</t>
  </si>
  <si>
    <t>26" MDS FLEX MFL+DEF+XYZ</t>
  </si>
  <si>
    <t>129309-HOU1</t>
  </si>
  <si>
    <t>129309-SLC1</t>
  </si>
  <si>
    <t>129309-TUL1</t>
  </si>
  <si>
    <t>129310</t>
  </si>
  <si>
    <t>30" MDS FLEX MFL+DEF</t>
  </si>
  <si>
    <t>129310-HOU1</t>
  </si>
  <si>
    <t>129310-SLC1</t>
  </si>
  <si>
    <t>129310-TUL1</t>
  </si>
  <si>
    <t>129311</t>
  </si>
  <si>
    <t>30" MDS FLEX MFL+DEF+XYZ</t>
  </si>
  <si>
    <t>129311-HOU1</t>
  </si>
  <si>
    <t>129311-SLC1</t>
  </si>
  <si>
    <t>129311-TUL1</t>
  </si>
  <si>
    <t>129312</t>
  </si>
  <si>
    <t>8" MDS FLEX MFL5+DEF5</t>
  </si>
  <si>
    <t>129312-HOU1</t>
  </si>
  <si>
    <t>129312-HOU2</t>
  </si>
  <si>
    <t>129312-SLC1</t>
  </si>
  <si>
    <t>129312-TUL1</t>
  </si>
  <si>
    <t>129312-TUL2</t>
  </si>
  <si>
    <t>129313</t>
  </si>
  <si>
    <t>8" MDS FLEX MFL5+DEF5+XYZ (V2)</t>
  </si>
  <si>
    <t>129313-HOU1</t>
  </si>
  <si>
    <t>129313-HOU2</t>
  </si>
  <si>
    <t>129313-SLC1</t>
  </si>
  <si>
    <t>129313-TUL1</t>
  </si>
  <si>
    <t>129313-TUL2</t>
  </si>
  <si>
    <t>129500</t>
  </si>
  <si>
    <t>22" MFL2+DEF+SpirALL+MFL XYZ+LFM</t>
  </si>
  <si>
    <t>129500-HOU1</t>
  </si>
  <si>
    <t>129500-SLC1</t>
  </si>
  <si>
    <t>129500-TUL1</t>
  </si>
  <si>
    <t>129501</t>
  </si>
  <si>
    <t>22" MFL2+DEF+SMFL+LFM,SpirALL MFL</t>
  </si>
  <si>
    <t>129501-HOU1</t>
  </si>
  <si>
    <t>129501-SLC1</t>
  </si>
  <si>
    <t>129501-TUL1</t>
  </si>
  <si>
    <t>129502</t>
  </si>
  <si>
    <t>22" MFL2+DEF+SpirALL+MFL+XYZ</t>
  </si>
  <si>
    <t>129502-HOU1</t>
  </si>
  <si>
    <t>129502-SLC1</t>
  </si>
  <si>
    <t>129502-TUL1</t>
  </si>
  <si>
    <t>129503</t>
  </si>
  <si>
    <t>22" MFL2+DEF+ SpirALL+MFL</t>
  </si>
  <si>
    <t>129503-HOU1</t>
  </si>
  <si>
    <t>129503-SLC1</t>
  </si>
  <si>
    <t>129503-TUL1</t>
  </si>
  <si>
    <t>129504</t>
  </si>
  <si>
    <t>22" MFL2+DEF+LFM+XYZ</t>
  </si>
  <si>
    <t>129504-HOU1</t>
  </si>
  <si>
    <t>129504-SLC1</t>
  </si>
  <si>
    <t>129504-TUL1</t>
  </si>
  <si>
    <t>129505</t>
  </si>
  <si>
    <t>22" MFL2+DEF+LFM</t>
  </si>
  <si>
    <t>129505-HOU1</t>
  </si>
  <si>
    <t>129505-SLC1</t>
  </si>
  <si>
    <t>129505-TUL1</t>
  </si>
  <si>
    <t>129506</t>
  </si>
  <si>
    <t>22" MFL2+DEF2+XYZ</t>
  </si>
  <si>
    <t>129506-HOU1</t>
  </si>
  <si>
    <t>129506-SLC1</t>
  </si>
  <si>
    <t>129506-TUL1</t>
  </si>
  <si>
    <t>129507</t>
  </si>
  <si>
    <t>22" MFL2+DEF2</t>
  </si>
  <si>
    <t>129507-HOU1</t>
  </si>
  <si>
    <t>129507-SLC1</t>
  </si>
  <si>
    <t>129507-TUL1</t>
  </si>
  <si>
    <t>129647</t>
  </si>
  <si>
    <t>12" DEF+LFM+ULTRA RES MFL+SMFL3+XYZ</t>
  </si>
  <si>
    <t>129647-HOU1</t>
  </si>
  <si>
    <t>129647-HOU2</t>
  </si>
  <si>
    <t>129647-SLC1</t>
  </si>
  <si>
    <t>129647-TUL1</t>
  </si>
  <si>
    <t>129647-TUL2</t>
  </si>
  <si>
    <t>129647-TUL3</t>
  </si>
  <si>
    <t>129654</t>
  </si>
  <si>
    <t>6" MFL+XYZ</t>
  </si>
  <si>
    <t>129654-HOU1</t>
  </si>
  <si>
    <t>129654-HOU2</t>
  </si>
  <si>
    <t>129654-HOU3</t>
  </si>
  <si>
    <t>129654-HOU4</t>
  </si>
  <si>
    <t>129654-HOU5</t>
  </si>
  <si>
    <t>129654-HOU6</t>
  </si>
  <si>
    <t>129654-HOU7</t>
  </si>
  <si>
    <t>129654-SLC1</t>
  </si>
  <si>
    <t>129654-SLC2</t>
  </si>
  <si>
    <t>129654-SLC3</t>
  </si>
  <si>
    <t>129654-SLC4</t>
  </si>
  <si>
    <t>129654-SLC5</t>
  </si>
  <si>
    <t>129654-SLC6</t>
  </si>
  <si>
    <t>129654-SLC7</t>
  </si>
  <si>
    <t>129654-TUL1</t>
  </si>
  <si>
    <t>129654-TUL2</t>
  </si>
  <si>
    <t>129654-TUL3</t>
  </si>
  <si>
    <t>129654-TUL4</t>
  </si>
  <si>
    <t>129654-TUL5</t>
  </si>
  <si>
    <t>129654-TUL6</t>
  </si>
  <si>
    <t>129654-TUL7</t>
  </si>
  <si>
    <t>129655</t>
  </si>
  <si>
    <t>129655-HOU1</t>
  </si>
  <si>
    <t>129655-HOU2</t>
  </si>
  <si>
    <t>129655-HOU3</t>
  </si>
  <si>
    <t>129655-HOU4</t>
  </si>
  <si>
    <t>129655-HOU5</t>
  </si>
  <si>
    <t>129655-HOU6</t>
  </si>
  <si>
    <t>129655-HOU7</t>
  </si>
  <si>
    <t>129655-SLC1</t>
  </si>
  <si>
    <t>129655-SLC2</t>
  </si>
  <si>
    <t>129655-SLC3</t>
  </si>
  <si>
    <t>129655-SLC4</t>
  </si>
  <si>
    <t>129655-SLC5</t>
  </si>
  <si>
    <t>129655-SLC6</t>
  </si>
  <si>
    <t>129655-SLC7</t>
  </si>
  <si>
    <t>129655-TUL1</t>
  </si>
  <si>
    <t>129655-TUL2</t>
  </si>
  <si>
    <t>129655-TUL3</t>
  </si>
  <si>
    <t>129655-TUL4</t>
  </si>
  <si>
    <t>129655-TUL5</t>
  </si>
  <si>
    <t>129655-TUL6</t>
  </si>
  <si>
    <t>129655-TUL7</t>
  </si>
  <si>
    <t>129658</t>
  </si>
  <si>
    <t>129658-HOU1</t>
  </si>
  <si>
    <t>129658-HOU2</t>
  </si>
  <si>
    <t>129658-HOU3</t>
  </si>
  <si>
    <t>129658-HOU4</t>
  </si>
  <si>
    <t>129658-HOU5</t>
  </si>
  <si>
    <t>129658-HOU6</t>
  </si>
  <si>
    <t>129658-HOU7</t>
  </si>
  <si>
    <t>129658-SLC1</t>
  </si>
  <si>
    <t>129658-SLC2</t>
  </si>
  <si>
    <t>129658-SLC3</t>
  </si>
  <si>
    <t>129658-SLC4</t>
  </si>
  <si>
    <t>129658-SLC5</t>
  </si>
  <si>
    <t>129658-SLC6</t>
  </si>
  <si>
    <t>129658-SLC7</t>
  </si>
  <si>
    <t>129658-TUL1</t>
  </si>
  <si>
    <t>129658-TUL2</t>
  </si>
  <si>
    <t>129658-TUL3</t>
  </si>
  <si>
    <t>129658-TUL4</t>
  </si>
  <si>
    <t>129658-TUL5</t>
  </si>
  <si>
    <t>129658-TUL6</t>
  </si>
  <si>
    <t>129658-TUL7</t>
  </si>
  <si>
    <t>129713</t>
  </si>
  <si>
    <t>6" MDS FLEX MFL4+DEF2+XYZ</t>
  </si>
  <si>
    <t>129713-HOU1</t>
  </si>
  <si>
    <t>129713-HOU2</t>
  </si>
  <si>
    <t>129713-HOU3</t>
  </si>
  <si>
    <t>129713-SLC1</t>
  </si>
  <si>
    <t>129713-SLC2</t>
  </si>
  <si>
    <t>129713-SLC3</t>
  </si>
  <si>
    <t>129713-SLC4</t>
  </si>
  <si>
    <t>129713-TUL1</t>
  </si>
  <si>
    <t>129713-TUL2</t>
  </si>
  <si>
    <t>129840</t>
  </si>
  <si>
    <t>12" MDS FLEX DEF+ULTRA RES MFL+XYZ</t>
  </si>
  <si>
    <t>129840-HOU1</t>
  </si>
  <si>
    <t>129840-HOU2</t>
  </si>
  <si>
    <t>129840-SLC1</t>
  </si>
  <si>
    <t>129840-TUL1</t>
  </si>
  <si>
    <t>129840-TUL2</t>
  </si>
  <si>
    <t>129840-TUL3</t>
  </si>
  <si>
    <t>129841</t>
  </si>
  <si>
    <t>12" MDS FLEX DEF+ULTRA RES MFL</t>
  </si>
  <si>
    <t>129841-HOU1</t>
  </si>
  <si>
    <t>129841-HOU2</t>
  </si>
  <si>
    <t>129841-SLC1</t>
  </si>
  <si>
    <t>129841-TUL1</t>
  </si>
  <si>
    <t>129841-TUL2</t>
  </si>
  <si>
    <t>129841-TUL3</t>
  </si>
  <si>
    <t>129842</t>
  </si>
  <si>
    <t>12" MDS DEF+LFM+ULTRA RES MFL+SMFL3</t>
  </si>
  <si>
    <t>129842-HOU1</t>
  </si>
  <si>
    <t>129842-HOU2</t>
  </si>
  <si>
    <t>129842-SLC1</t>
  </si>
  <si>
    <t>129842-TUL1</t>
  </si>
  <si>
    <t>129842-TUL2</t>
  </si>
  <si>
    <t>129842-TUL3</t>
  </si>
  <si>
    <t>129843</t>
  </si>
  <si>
    <t>12" MDS FLEX DEF+LFM+ULTRA RES MFL</t>
  </si>
  <si>
    <t>129843-HOU1</t>
  </si>
  <si>
    <t>129843-HOU2</t>
  </si>
  <si>
    <t>129843-SLC1</t>
  </si>
  <si>
    <t>129843-TUL1</t>
  </si>
  <si>
    <t>129843-TUL2</t>
  </si>
  <si>
    <t>129843-TUL3</t>
  </si>
  <si>
    <t>129844</t>
  </si>
  <si>
    <t>12" MDS FLEX DEF+LFM+ULTRA RES MFL+XYZ</t>
  </si>
  <si>
    <t>129844-HOU1</t>
  </si>
  <si>
    <t>129844-HOU2</t>
  </si>
  <si>
    <t>129844-SLC1</t>
  </si>
  <si>
    <t>129844-TUL1</t>
  </si>
  <si>
    <t>129844-TUL2</t>
  </si>
  <si>
    <t>129844-TUL3</t>
  </si>
  <si>
    <t>12DEA01</t>
  </si>
  <si>
    <t>ASSY, CANISTER, DEF, 12"</t>
  </si>
  <si>
    <t>112106</t>
  </si>
  <si>
    <t>12DEA03</t>
  </si>
  <si>
    <t>12DEA05</t>
  </si>
  <si>
    <t>12GMAG05</t>
  </si>
  <si>
    <t>ASSY, MAGNETIZER, GMFL, 12"</t>
  </si>
  <si>
    <t>109088</t>
  </si>
  <si>
    <t>12GMAG06</t>
  </si>
  <si>
    <t>12GMAG07</t>
  </si>
  <si>
    <t>12GMAG08</t>
  </si>
  <si>
    <t>12GMAG10</t>
  </si>
  <si>
    <t>12GMAG11</t>
  </si>
  <si>
    <t>130095</t>
  </si>
  <si>
    <t>6" MFL4+DEF2+SMFL+XYZ</t>
  </si>
  <si>
    <t>130095-HOU1</t>
  </si>
  <si>
    <t>130095-HOU2</t>
  </si>
  <si>
    <t>130095-HOU3</t>
  </si>
  <si>
    <t>130095-SLC1</t>
  </si>
  <si>
    <t>130095-SLC2</t>
  </si>
  <si>
    <t>130095-SLC3</t>
  </si>
  <si>
    <t>130095-SLC4</t>
  </si>
  <si>
    <t>130095-TUL1</t>
  </si>
  <si>
    <t>130095-TUL2</t>
  </si>
  <si>
    <t>130178</t>
  </si>
  <si>
    <t>16" DEF2+LFM+SMFL3+ULTRA RES MFL, SpirALL MFL</t>
  </si>
  <si>
    <t>130178-HOU1</t>
  </si>
  <si>
    <t>130178-SLC1</t>
  </si>
  <si>
    <t>130178-SLC2</t>
  </si>
  <si>
    <t>130178-TUL1</t>
  </si>
  <si>
    <t>130179</t>
  </si>
  <si>
    <t>130179-HOU1</t>
  </si>
  <si>
    <t>130179-SLC1</t>
  </si>
  <si>
    <t>130179-SLC2</t>
  </si>
  <si>
    <t>130179-TUL1</t>
  </si>
  <si>
    <t>130180</t>
  </si>
  <si>
    <t>16" MDS FLEX DEF+LFM+ULTRA RES MFL+XYZ</t>
  </si>
  <si>
    <t>130180-HOU1</t>
  </si>
  <si>
    <t>130180-SLC1</t>
  </si>
  <si>
    <t>130180-SLC2</t>
  </si>
  <si>
    <t>130180-TUL1</t>
  </si>
  <si>
    <t>130181</t>
  </si>
  <si>
    <t>16" MDS FLEX DEF+LFM+ULTRA RES MFL</t>
  </si>
  <si>
    <t>130181-HOU1</t>
  </si>
  <si>
    <t>130181-SLC1</t>
  </si>
  <si>
    <t>130181-SLC2</t>
  </si>
  <si>
    <t>130181-TUL1</t>
  </si>
  <si>
    <t>130182</t>
  </si>
  <si>
    <t>16" MDS FLEX DEF+ULTRA RES MFL+XYZ</t>
  </si>
  <si>
    <t>130182-HOU1</t>
  </si>
  <si>
    <t>130182-SLC1</t>
  </si>
  <si>
    <t>130182-SLC2</t>
  </si>
  <si>
    <t>130182-TUL1</t>
  </si>
  <si>
    <t>130183</t>
  </si>
  <si>
    <t>16" MDS FLEX DEF+ULTRA RES MFL</t>
  </si>
  <si>
    <t>130183-HOU1</t>
  </si>
  <si>
    <t>130183-SLC1</t>
  </si>
  <si>
    <t>130183-SLC2</t>
  </si>
  <si>
    <t>130183-TUL1</t>
  </si>
  <si>
    <t>130184</t>
  </si>
  <si>
    <t>20" DEF2+LFM+SMFL3+ULTRA RES MFL, SpirALL MFL</t>
  </si>
  <si>
    <t>130184-HOU1</t>
  </si>
  <si>
    <t>130184-SLC1</t>
  </si>
  <si>
    <t>130184-TUL1</t>
  </si>
  <si>
    <t>130185</t>
  </si>
  <si>
    <t>130185-HOU1</t>
  </si>
  <si>
    <t>130185-SLC1</t>
  </si>
  <si>
    <t>130185-TUL1</t>
  </si>
  <si>
    <t>130186</t>
  </si>
  <si>
    <t>20" MDS FLEX DEF+LFM+ULTRA RES MFL+XYZ</t>
  </si>
  <si>
    <t>130186-HOU1</t>
  </si>
  <si>
    <t>130186-SLC1</t>
  </si>
  <si>
    <t>130186-TUL1</t>
  </si>
  <si>
    <t>130186-TUL2</t>
  </si>
  <si>
    <t>130186-TUL3</t>
  </si>
  <si>
    <t>130187</t>
  </si>
  <si>
    <t>20" MDS FLEX DEF+LFM+ULTRA RES MFL</t>
  </si>
  <si>
    <t>130187-HOU1</t>
  </si>
  <si>
    <t>130187-SLC1</t>
  </si>
  <si>
    <t>130187-TUL1</t>
  </si>
  <si>
    <t>130187-TUL2</t>
  </si>
  <si>
    <t>130187-TUL3</t>
  </si>
  <si>
    <t>130188</t>
  </si>
  <si>
    <t>20" MDS FLEX DEF+ULTRA RES MFL+XYZ</t>
  </si>
  <si>
    <t>130188-HOU1</t>
  </si>
  <si>
    <t>130188-SLC1</t>
  </si>
  <si>
    <t>130188-TUL1</t>
  </si>
  <si>
    <t>130188-TUL2</t>
  </si>
  <si>
    <t>130188-TUL3</t>
  </si>
  <si>
    <t>130189</t>
  </si>
  <si>
    <t>20" MDS FLEX DEF+ULTRA RES MFL</t>
  </si>
  <si>
    <t>130189-HOU1</t>
  </si>
  <si>
    <t>130189-SLC1</t>
  </si>
  <si>
    <t>130189-TUL1</t>
  </si>
  <si>
    <t>130189-TUL2</t>
  </si>
  <si>
    <t>130189-TUL3</t>
  </si>
  <si>
    <t>130190</t>
  </si>
  <si>
    <t>24" MDS DEF2+LFM+SMFL3+ULTRA RES MFL, SpirALL MFL</t>
  </si>
  <si>
    <t>130190-HOU1</t>
  </si>
  <si>
    <t>130190-SLC1</t>
  </si>
  <si>
    <t>130190-TUL1</t>
  </si>
  <si>
    <t>130191</t>
  </si>
  <si>
    <t>130191-HOU1</t>
  </si>
  <si>
    <t>130191-SLC1</t>
  </si>
  <si>
    <t>130191-TUL1</t>
  </si>
  <si>
    <t>130192</t>
  </si>
  <si>
    <t>24" MDS FLEX DEF+LFM+ULTRA RES MFL+XYZ</t>
  </si>
  <si>
    <t>130192-HOU1</t>
  </si>
  <si>
    <t>130192-SLC1</t>
  </si>
  <si>
    <t>130192-TUL1</t>
  </si>
  <si>
    <t>130192-TUL2</t>
  </si>
  <si>
    <t>130193</t>
  </si>
  <si>
    <t>130193-HOU1</t>
  </si>
  <si>
    <t>130193-SLC1</t>
  </si>
  <si>
    <t>130193-TUL1</t>
  </si>
  <si>
    <t>130193-TUL2</t>
  </si>
  <si>
    <t>130194</t>
  </si>
  <si>
    <t>24" MDS FLEX DEF+ULTRA RES MFL+XYZ</t>
  </si>
  <si>
    <t>130194-HOU1</t>
  </si>
  <si>
    <t>130194-SLC1</t>
  </si>
  <si>
    <t>130194-TUL1</t>
  </si>
  <si>
    <t>130194-TUL2</t>
  </si>
  <si>
    <t>130195</t>
  </si>
  <si>
    <t>24" MDS FLEX DEF+ULTRA RES MFL</t>
  </si>
  <si>
    <t>130195-HOU1</t>
  </si>
  <si>
    <t>130195-SLC1</t>
  </si>
  <si>
    <t>130195-TUL1</t>
  </si>
  <si>
    <t>130195-TUL2</t>
  </si>
  <si>
    <t>130196</t>
  </si>
  <si>
    <t>30" ULTRA RES MFL+DEF+SpirALL MFL+LFM+XYZ</t>
  </si>
  <si>
    <t>130196-HOU1</t>
  </si>
  <si>
    <t>130196-SLC1</t>
  </si>
  <si>
    <t>130196-TUL1</t>
  </si>
  <si>
    <t>130197</t>
  </si>
  <si>
    <t>30" DEF+ULTRA RES MFL+LFM+SMFL</t>
  </si>
  <si>
    <t>130197-HOU1</t>
  </si>
  <si>
    <t>130197-SLC1</t>
  </si>
  <si>
    <t>130197-TUL1</t>
  </si>
  <si>
    <t>130199</t>
  </si>
  <si>
    <t>30" MDS FLEX ULTRA RES MFL+DEF+LFM</t>
  </si>
  <si>
    <t>130199-HOU1</t>
  </si>
  <si>
    <t>130199-SLC1</t>
  </si>
  <si>
    <t>130199-TUL1</t>
  </si>
  <si>
    <t>130593</t>
  </si>
  <si>
    <t>8" DEF+RES+SMFL+Ultra Res MFL+XYZ</t>
  </si>
  <si>
    <t>130593-HOU1</t>
  </si>
  <si>
    <t>130593-SLC1</t>
  </si>
  <si>
    <t>130593-TUL1</t>
  </si>
  <si>
    <t>130594</t>
  </si>
  <si>
    <t>8" DEF+RES+SMFL+Ultra Res MFL</t>
  </si>
  <si>
    <t>130594-HOU1</t>
  </si>
  <si>
    <t>130594-SLC1</t>
  </si>
  <si>
    <t>130594-TUL1</t>
  </si>
  <si>
    <t>130595</t>
  </si>
  <si>
    <t>8" DEF+RES+Ultra Res MFL+XYZ 08"</t>
  </si>
  <si>
    <t>130595-HOU1</t>
  </si>
  <si>
    <t>130595-SLC1</t>
  </si>
  <si>
    <t>130595-TUL1</t>
  </si>
  <si>
    <t>130597</t>
  </si>
  <si>
    <t>8" MDS FLEX DEF+Ultra Res MFL+XYZ, V2</t>
  </si>
  <si>
    <t>130597-HOU1</t>
  </si>
  <si>
    <t>130597-HOU2</t>
  </si>
  <si>
    <t>130597-SLC1</t>
  </si>
  <si>
    <t>130597-SLC2</t>
  </si>
  <si>
    <t>130597-TUL1</t>
  </si>
  <si>
    <t>130598</t>
  </si>
  <si>
    <t>8" FLEX DEF+ULTRA RES MFL</t>
  </si>
  <si>
    <t>130598-HOU1</t>
  </si>
  <si>
    <t>130598-HOU2</t>
  </si>
  <si>
    <t>130598-SLC1</t>
  </si>
  <si>
    <t>130598-TUL1</t>
  </si>
  <si>
    <t>130598-TUL2</t>
  </si>
  <si>
    <t>130600</t>
  </si>
  <si>
    <t>8" DEF+LFM+SMFL+ULTRA RES MFL+XYZ</t>
  </si>
  <si>
    <t>130600-HOU1</t>
  </si>
  <si>
    <t>130600-HOU2</t>
  </si>
  <si>
    <t>130600-SLC1</t>
  </si>
  <si>
    <t>130600-TUL1</t>
  </si>
  <si>
    <t>130600-TUL2</t>
  </si>
  <si>
    <t>130601</t>
  </si>
  <si>
    <t>8" MDS™ PRO DEF7+LFM+ULTRA RES MFL+SMFL2</t>
  </si>
  <si>
    <t>130601-HOU1</t>
  </si>
  <si>
    <t>130601-HOU2</t>
  </si>
  <si>
    <t>130601-SLC1</t>
  </si>
  <si>
    <t>130601-TUL1</t>
  </si>
  <si>
    <t>130601-TUL2</t>
  </si>
  <si>
    <t>130602</t>
  </si>
  <si>
    <t>8" MDS™ Flex DEF+LFM+Ultra Res MFL+XYZ</t>
  </si>
  <si>
    <t>130602-HOU1</t>
  </si>
  <si>
    <t>130602-HOU2</t>
  </si>
  <si>
    <t>130602-SLC1</t>
  </si>
  <si>
    <t>130602-TUL1</t>
  </si>
  <si>
    <t>130602-TUL2</t>
  </si>
  <si>
    <t>130603</t>
  </si>
  <si>
    <t>8" Flex DEF+LFM+Ultra Res MFL</t>
  </si>
  <si>
    <t>130603-HOU1</t>
  </si>
  <si>
    <t>130603-HOU2</t>
  </si>
  <si>
    <t>130603-SLC1</t>
  </si>
  <si>
    <t>130603-TUL1</t>
  </si>
  <si>
    <t>130603-TUL2</t>
  </si>
  <si>
    <t>130604</t>
  </si>
  <si>
    <t>8" DEF+Ultra Res MFL+XYZ</t>
  </si>
  <si>
    <t>130604-HOU1</t>
  </si>
  <si>
    <t>130604-SLC1</t>
  </si>
  <si>
    <t>130604-TUL1</t>
  </si>
  <si>
    <t>130605</t>
  </si>
  <si>
    <t>8" DEF+Ultra Res MFL</t>
  </si>
  <si>
    <t>130605-HOU1</t>
  </si>
  <si>
    <t>130605-SLC1</t>
  </si>
  <si>
    <t>130605-TUL1</t>
  </si>
  <si>
    <t>130609</t>
  </si>
  <si>
    <t>10" MDS FLEX DEF+RES+ULTRA RES MFL</t>
  </si>
  <si>
    <t>130609-HOU1</t>
  </si>
  <si>
    <t>130609-HOU2</t>
  </si>
  <si>
    <t>130609-SLC1</t>
  </si>
  <si>
    <t>130609-TUL1</t>
  </si>
  <si>
    <t>130610</t>
  </si>
  <si>
    <t>10" MDS FLEX DEF+RES+ULTRA RES MFL+XYZ</t>
  </si>
  <si>
    <t>130610-HOU1</t>
  </si>
  <si>
    <t>130610-HOU2</t>
  </si>
  <si>
    <t>130610-SLC1</t>
  </si>
  <si>
    <t>130610-TUL1</t>
  </si>
  <si>
    <t>130611</t>
  </si>
  <si>
    <t>10" MDS FLEX DEF+ULTRA RES MFL</t>
  </si>
  <si>
    <t>130611-HOU1</t>
  </si>
  <si>
    <t>130611-HOU2</t>
  </si>
  <si>
    <t>130611-SLC1</t>
  </si>
  <si>
    <t>130611-TUL1</t>
  </si>
  <si>
    <t>130612</t>
  </si>
  <si>
    <t>10" MDS FLEX DEF+ULTRA RES MFL+XYZ</t>
  </si>
  <si>
    <t>130612-HOU1</t>
  </si>
  <si>
    <t>130612-HOU2</t>
  </si>
  <si>
    <t>130612-SLC1</t>
  </si>
  <si>
    <t>130612-TUL1</t>
  </si>
  <si>
    <t>130613</t>
  </si>
  <si>
    <t>10" MDS DEF+RES+ULTRA RES MFL+SMFL3</t>
  </si>
  <si>
    <t>130613-HOU1</t>
  </si>
  <si>
    <t>130613-HOU2</t>
  </si>
  <si>
    <t>130613-SLC1</t>
  </si>
  <si>
    <t>130613-TUL1</t>
  </si>
  <si>
    <t>130614</t>
  </si>
  <si>
    <t>10" DEF+RES+ULTRA RES MFL+SMFL3+XYZ</t>
  </si>
  <si>
    <t>130614-HOU1</t>
  </si>
  <si>
    <t>130614-HOU2</t>
  </si>
  <si>
    <t>130614-SLC1</t>
  </si>
  <si>
    <t>130614-TUL1</t>
  </si>
  <si>
    <t>131181</t>
  </si>
  <si>
    <t>18" MDS FLEX MF2+DEF2+LFM+XYZ</t>
  </si>
  <si>
    <t>131181-HOU1</t>
  </si>
  <si>
    <t>131181-SLC1</t>
  </si>
  <si>
    <t>131181-TUL1</t>
  </si>
  <si>
    <t>14GMAG01</t>
  </si>
  <si>
    <t>ASSY, MAGNETIZER, GMFL, 14"</t>
  </si>
  <si>
    <t>108764</t>
  </si>
  <si>
    <t>14GMAG02</t>
  </si>
  <si>
    <t>16" MFL+DEF (xHD)</t>
  </si>
  <si>
    <t>1616ADRV01</t>
  </si>
  <si>
    <t>ASSY, DRIVE CANISTER, 16"</t>
  </si>
  <si>
    <t>108982</t>
  </si>
  <si>
    <t>16DEA01</t>
  </si>
  <si>
    <t>ASSY, CANISTER, xHD, DEF, 16"</t>
  </si>
  <si>
    <t>109067</t>
  </si>
  <si>
    <t>16DEA03</t>
  </si>
  <si>
    <t>ASSY, CANISTER, DEF, 16"</t>
  </si>
  <si>
    <t>109176</t>
  </si>
  <si>
    <t>16DEA06</t>
  </si>
  <si>
    <t>16DXMT03</t>
  </si>
  <si>
    <t>ASSY, TRANSMITTER, 16"</t>
  </si>
  <si>
    <t>100787</t>
  </si>
  <si>
    <t>16DXMT05</t>
  </si>
  <si>
    <t>16GDAA02</t>
  </si>
  <si>
    <t>16GDRV02</t>
  </si>
  <si>
    <t>ASSY, CANISTER, DRIVE, W/THREADED ROD</t>
  </si>
  <si>
    <t>107013</t>
  </si>
  <si>
    <t>16GDRV03</t>
  </si>
  <si>
    <t>16GDRV07</t>
  </si>
  <si>
    <t>16GMAG04</t>
  </si>
  <si>
    <t>ASSY, MAGNETIZER, GMFL, xHD, 16"</t>
  </si>
  <si>
    <t>109250</t>
  </si>
  <si>
    <t>16GMAG05</t>
  </si>
  <si>
    <t>16GMAG06</t>
  </si>
  <si>
    <t>16GMAG07</t>
  </si>
  <si>
    <t>16GMAG08</t>
  </si>
  <si>
    <t>16GMAG11</t>
  </si>
  <si>
    <t>16GXMT03</t>
  </si>
  <si>
    <t>ASSY, ENDPLATE, TRANSMITTER, 16"</t>
  </si>
  <si>
    <t>107166</t>
  </si>
  <si>
    <t>16GXMT05</t>
  </si>
  <si>
    <t>16GXMT06</t>
  </si>
  <si>
    <t>16GXMT07</t>
  </si>
  <si>
    <t>16GXMT08</t>
  </si>
  <si>
    <t>16GXMT11</t>
  </si>
  <si>
    <t>16MDAA01</t>
  </si>
  <si>
    <t>ASSY, CANISTER BODY, DEF_XYZ, 16"</t>
  </si>
  <si>
    <t>MGDEF</t>
  </si>
  <si>
    <t>109113</t>
  </si>
  <si>
    <t>16MDAA04</t>
  </si>
  <si>
    <t>16MDAA05</t>
  </si>
  <si>
    <t>16MGCPU03</t>
  </si>
  <si>
    <t>ASSY, ENDPLATE, IMU, DEF, 16"</t>
  </si>
  <si>
    <t>109173</t>
  </si>
  <si>
    <t>16MGCPU05</t>
  </si>
  <si>
    <t>20-24AWSC03</t>
  </si>
  <si>
    <t>ASSY, WHEEL-CANISTER, MAPPING, 20"-24"</t>
  </si>
  <si>
    <t>111591</t>
  </si>
  <si>
    <t>20DAA01</t>
  </si>
  <si>
    <t>ASSY, CANISTER, xHD, DEF, 20-24"</t>
  </si>
  <si>
    <t>109322</t>
  </si>
  <si>
    <t>20DAA02</t>
  </si>
  <si>
    <t>20DAA03</t>
  </si>
  <si>
    <t>20DAA08</t>
  </si>
  <si>
    <t>20DAA09</t>
  </si>
  <si>
    <t>20DEA06</t>
  </si>
  <si>
    <t>20GDRV01</t>
  </si>
  <si>
    <t>ASSY, CANISTER, DRIVE, 20"</t>
  </si>
  <si>
    <t>100213</t>
  </si>
  <si>
    <t>20GDRV03</t>
  </si>
  <si>
    <t>20GDRV05</t>
  </si>
  <si>
    <t>20GDRV07</t>
  </si>
  <si>
    <t>20GDRV08</t>
  </si>
  <si>
    <t>20GMAG04</t>
  </si>
  <si>
    <t>ASSY, MAGNETIZER, GMFL, 20"</t>
  </si>
  <si>
    <t>109101</t>
  </si>
  <si>
    <t>20GMAG05</t>
  </si>
  <si>
    <t>20GMAG06</t>
  </si>
  <si>
    <t>20GXMB02</t>
  </si>
  <si>
    <t>ASSY, TRANSMITTER, 20"</t>
  </si>
  <si>
    <t>20_315</t>
  </si>
  <si>
    <t>20GXMB03</t>
  </si>
  <si>
    <t>20GXMB04</t>
  </si>
  <si>
    <t>ASSY, ENDPLATE, DRIVE, xHD, 20"</t>
  </si>
  <si>
    <t>109348</t>
  </si>
  <si>
    <t>20GXMB05</t>
  </si>
  <si>
    <t>20GXMF03</t>
  </si>
  <si>
    <t>20GXMF06</t>
  </si>
  <si>
    <t>20GXMF07</t>
  </si>
  <si>
    <t>20MCPU01</t>
  </si>
  <si>
    <t>ASSY, ENDPLATE, CPU, MAPPING, 32"-42"</t>
  </si>
  <si>
    <t>108159</t>
  </si>
  <si>
    <t>20XMB03</t>
  </si>
  <si>
    <t>20XMT02</t>
  </si>
  <si>
    <t>ASSY, TRANSMITTER, ODO, XMIT2, 20"</t>
  </si>
  <si>
    <t>120833</t>
  </si>
  <si>
    <t>20XMT04</t>
  </si>
  <si>
    <t>20XMT05</t>
  </si>
  <si>
    <t>20XMT08</t>
  </si>
  <si>
    <t>2424ADAA01</t>
  </si>
  <si>
    <t>ASSY, DRIVE, DEF, CANISTER, 24"</t>
  </si>
  <si>
    <t>2424AMAG01</t>
  </si>
  <si>
    <t>ASSY, MFL, CANISTER, 24"</t>
  </si>
  <si>
    <t>110710</t>
  </si>
  <si>
    <t>2424LMAG01</t>
  </si>
  <si>
    <t>ASSY, MAGNETIZER, LFM, 24"</t>
  </si>
  <si>
    <t>LFM</t>
  </si>
  <si>
    <t>109687</t>
  </si>
  <si>
    <t>24GDRV02</t>
  </si>
  <si>
    <t>ASSY, CANISTER, DRIVE, 24"</t>
  </si>
  <si>
    <t>102397</t>
  </si>
  <si>
    <t>24GDRV04</t>
  </si>
  <si>
    <t>24GMAG02</t>
  </si>
  <si>
    <t>ASSY, MAGNETIZER, GMFL2, 24"</t>
  </si>
  <si>
    <t>24GMAG04</t>
  </si>
  <si>
    <t>24GXMF04</t>
  </si>
  <si>
    <t>26DAA02</t>
  </si>
  <si>
    <t>ASSY, CANISTER, DEF, XHD, 26" W/ ALLTHREADS</t>
  </si>
  <si>
    <t>110887</t>
  </si>
  <si>
    <t>26DAA05</t>
  </si>
  <si>
    <t>26DRV02</t>
  </si>
  <si>
    <t>ASSY, CANISTER, DRIVE, 26"</t>
  </si>
  <si>
    <t>105440</t>
  </si>
  <si>
    <t>26DRV06</t>
  </si>
  <si>
    <t>26DRV08</t>
  </si>
  <si>
    <t>26DRV09</t>
  </si>
  <si>
    <t>26DRV10</t>
  </si>
  <si>
    <t>26GMAG05</t>
  </si>
  <si>
    <t>ASSY, MAGNETIZER, GMFL, 26"</t>
  </si>
  <si>
    <t>26MAG01</t>
  </si>
  <si>
    <t>26MCPU01</t>
  </si>
  <si>
    <t>ASSY, ENDPLATE, CPU, MAPPING, 28"</t>
  </si>
  <si>
    <t>103769</t>
  </si>
  <si>
    <t>26MCPU03</t>
  </si>
  <si>
    <t>26MCPU04</t>
  </si>
  <si>
    <t>26MCPU05</t>
  </si>
  <si>
    <t>26XMB08</t>
  </si>
  <si>
    <t>ASSY, ENDPLATE</t>
  </si>
  <si>
    <t>26_305</t>
  </si>
  <si>
    <t>26XMF08</t>
  </si>
  <si>
    <t>ASSY, ENDPLATE, REAR, DRIVE, 30"</t>
  </si>
  <si>
    <t>110489</t>
  </si>
  <si>
    <t>26XMF09</t>
  </si>
  <si>
    <t>26XMF10</t>
  </si>
  <si>
    <t>30DRV03</t>
  </si>
  <si>
    <t>ASSY, CANISTER, DRIVE, 30"</t>
  </si>
  <si>
    <t>105431</t>
  </si>
  <si>
    <t>30GMAG04</t>
  </si>
  <si>
    <t>ASSY, MAGNETIZER, GMFL, 30"</t>
  </si>
  <si>
    <t>109360</t>
  </si>
  <si>
    <t>30GMAG05</t>
  </si>
  <si>
    <t>ASSY, MAGNTIZER BODY, GMFL2, 30"</t>
  </si>
  <si>
    <t>109902</t>
  </si>
  <si>
    <t>30MAG01</t>
  </si>
  <si>
    <t>32DAA01</t>
  </si>
  <si>
    <t>ASSY, CANISTER, DEF, 72 ARM, xHD</t>
  </si>
  <si>
    <t>112569</t>
  </si>
  <si>
    <t>32DRV01</t>
  </si>
  <si>
    <t>CANISTER, DRIVE, 36"</t>
  </si>
  <si>
    <t>36_503</t>
  </si>
  <si>
    <t>32XMF01</t>
  </si>
  <si>
    <t>ASSY, ENDPLATE, TRANSMITTER, DEF, 32"</t>
  </si>
  <si>
    <t>100035</t>
  </si>
  <si>
    <t>32XMF02</t>
  </si>
  <si>
    <t>36DRV03</t>
  </si>
  <si>
    <t>36GDRV01</t>
  </si>
  <si>
    <t>36MAG02</t>
  </si>
  <si>
    <t>ASSY, MAGNETIZER SECTION, 36"</t>
  </si>
  <si>
    <t>110532</t>
  </si>
  <si>
    <t>36MAG03</t>
  </si>
  <si>
    <t>ASSY, MAGNETIZER, GMFL2, 36"</t>
  </si>
  <si>
    <t>36XMT03</t>
  </si>
  <si>
    <t>38DAA01</t>
  </si>
  <si>
    <t>ASSY, DEF CANISTER, 38"</t>
  </si>
  <si>
    <t>105988</t>
  </si>
  <si>
    <t>411195</t>
  </si>
  <si>
    <t>MODULE, IMU, LN-200</t>
  </si>
  <si>
    <t>IMU</t>
  </si>
  <si>
    <t>200956</t>
  </si>
  <si>
    <t>416026</t>
  </si>
  <si>
    <t>421818</t>
  </si>
  <si>
    <t>421915</t>
  </si>
  <si>
    <t>422233</t>
  </si>
  <si>
    <t>422884</t>
  </si>
  <si>
    <t>423854</t>
  </si>
  <si>
    <t>Salt Lake City - PI Warehouse</t>
  </si>
  <si>
    <t>424149</t>
  </si>
  <si>
    <t>427162</t>
  </si>
  <si>
    <t>427234</t>
  </si>
  <si>
    <t>427469</t>
  </si>
  <si>
    <t>427627</t>
  </si>
  <si>
    <t>429001</t>
  </si>
  <si>
    <t>MODULE, IMU, LN-200C</t>
  </si>
  <si>
    <t>204009</t>
  </si>
  <si>
    <t>42DRV01</t>
  </si>
  <si>
    <t>ASSY, CANISTER, DRIVE, 42"</t>
  </si>
  <si>
    <t>105208</t>
  </si>
  <si>
    <t>42DRV02</t>
  </si>
  <si>
    <t>430446</t>
  </si>
  <si>
    <t>430451</t>
  </si>
  <si>
    <t>430457</t>
  </si>
  <si>
    <t>430492</t>
  </si>
  <si>
    <t>431606</t>
  </si>
  <si>
    <t>433865</t>
  </si>
  <si>
    <t>434115</t>
  </si>
  <si>
    <t>434297</t>
  </si>
  <si>
    <t>434484</t>
  </si>
  <si>
    <t>435014</t>
  </si>
  <si>
    <t>435128</t>
  </si>
  <si>
    <t>436417</t>
  </si>
  <si>
    <t>437855</t>
  </si>
  <si>
    <t>437858</t>
  </si>
  <si>
    <t>439354</t>
  </si>
  <si>
    <t>441430</t>
  </si>
  <si>
    <t>441564</t>
  </si>
  <si>
    <t>442833</t>
  </si>
  <si>
    <t>443010</t>
  </si>
  <si>
    <t>443040</t>
  </si>
  <si>
    <t>443215</t>
  </si>
  <si>
    <t>443372</t>
  </si>
  <si>
    <t>443464</t>
  </si>
  <si>
    <t>443490</t>
  </si>
  <si>
    <t>445166</t>
  </si>
  <si>
    <t>445167</t>
  </si>
  <si>
    <t>445191</t>
  </si>
  <si>
    <t>445204</t>
  </si>
  <si>
    <t>Air Compressor Insp-HOU</t>
  </si>
  <si>
    <t>Air Compressor</t>
  </si>
  <si>
    <t>General MaintObject</t>
  </si>
  <si>
    <t>Maintenance Object</t>
  </si>
  <si>
    <t>Houston - Service Center MaintenanceObjects</t>
  </si>
  <si>
    <t>Air Compressor Insp-SLC</t>
  </si>
  <si>
    <t>Salt Lake City - MaintenanceObjects</t>
  </si>
  <si>
    <t>Air Compressor Insp-TUL</t>
  </si>
  <si>
    <t>Tulsa - Service Center MaintenanceObjects</t>
  </si>
  <si>
    <t>Bench Grinders &amp; Chops Saw-HOU</t>
  </si>
  <si>
    <t>Bench Grinders &amp; Chops Saw</t>
  </si>
  <si>
    <t>Bench Grinders &amp; Chops Saw-SLC</t>
  </si>
  <si>
    <t>Bench Grinders &amp; Chops Saw-TUL</t>
  </si>
  <si>
    <t>Fire Extinguishers Insp-HOU</t>
  </si>
  <si>
    <t>Fire Extinguishers</t>
  </si>
  <si>
    <t>Fire Extinguishers Insp-SLC</t>
  </si>
  <si>
    <t>Fire Extinguishers Insp-TUL</t>
  </si>
  <si>
    <t>Forklift Inspection-HOU</t>
  </si>
  <si>
    <t>Forklift</t>
  </si>
  <si>
    <t>Forklift Inspection-SLC</t>
  </si>
  <si>
    <t>Forklift Inspection-TUL</t>
  </si>
  <si>
    <t>Four Gas Monitor-HOU</t>
  </si>
  <si>
    <t>Four Gas Monitor</t>
  </si>
  <si>
    <t>Four Gas Monitor-SLC</t>
  </si>
  <si>
    <t>Four Gas Monitor-TUL</t>
  </si>
  <si>
    <t>Full Mask Fit Test-HOU</t>
  </si>
  <si>
    <t>Full Mask Fit Test</t>
  </si>
  <si>
    <t>Full Mask Fit Test-SLC</t>
  </si>
  <si>
    <t>Full Mask Fit Test-TUL</t>
  </si>
  <si>
    <t>Housekeeping Inspection (5S)-HOU</t>
  </si>
  <si>
    <t>Housekeeping Inspection (5S)</t>
  </si>
  <si>
    <t>Housekeeping Inspection (5S)-SLC</t>
  </si>
  <si>
    <t>Housekeeping Inspection (5S)-TUL</t>
  </si>
  <si>
    <t>Jib Crane Inspection-HOU</t>
  </si>
  <si>
    <t>Jib Crane</t>
  </si>
  <si>
    <t>Crane</t>
  </si>
  <si>
    <t>Jib Crane Inspection-SLC</t>
  </si>
  <si>
    <t>Jib Crane Inspection-TUL</t>
  </si>
  <si>
    <t>Overhead Gantry Crane-HOU</t>
  </si>
  <si>
    <t>Overhead Gantry Crane</t>
  </si>
  <si>
    <t>Overhead Gantry Crane-SLC</t>
  </si>
  <si>
    <t>Overhead Gantry Crane-TUL</t>
  </si>
  <si>
    <t>Slings Routine Inspections-HOU</t>
  </si>
  <si>
    <t>Slings Routine Inspections</t>
  </si>
  <si>
    <t>Lifting Equipment</t>
  </si>
  <si>
    <t>Slings Routine Inspections-SLC</t>
  </si>
  <si>
    <t>Slings Routine Inspections-TUL</t>
  </si>
  <si>
    <t>Solvent Tank Change-HOU</t>
  </si>
  <si>
    <t>Solvent Tank</t>
  </si>
  <si>
    <t>Solvent Tank Change-SLC</t>
  </si>
  <si>
    <t>Solvent Tank Change-TUL</t>
  </si>
  <si>
    <t>SYS-I000357-002</t>
  </si>
  <si>
    <t>MODULE, IMU, IMAR</t>
  </si>
  <si>
    <t>113103</t>
  </si>
  <si>
    <t>TA000008</t>
  </si>
  <si>
    <t>ASSY, ENDPLATE, CPU, FRONT, xHD, DEF, 20-24"</t>
  </si>
  <si>
    <t>109314</t>
  </si>
  <si>
    <t>TA000012</t>
  </si>
  <si>
    <t>ASSY, ENDPLATE, CPU, REAR, xHD, GDEF, 16"</t>
  </si>
  <si>
    <t>109078</t>
  </si>
  <si>
    <t>TA000013</t>
  </si>
  <si>
    <t>TA000014</t>
  </si>
  <si>
    <t>TA000015</t>
  </si>
  <si>
    <t>TA000016</t>
  </si>
  <si>
    <t>TA000017</t>
  </si>
  <si>
    <t>ASSY, BATTERY, BI-DI, 8"</t>
  </si>
  <si>
    <t>111738</t>
  </si>
  <si>
    <t>TA000020</t>
  </si>
  <si>
    <t>TA000021</t>
  </si>
  <si>
    <t>TA000022</t>
  </si>
  <si>
    <t>ASSY, ENDPLATE, CPU, REAR, xHD, GDEF, 18"</t>
  </si>
  <si>
    <t>112539</t>
  </si>
  <si>
    <t>TA000023</t>
  </si>
  <si>
    <t>ASSY, CANISTER, MAGNETIZER, GMFL, 18"</t>
  </si>
  <si>
    <t>112078</t>
  </si>
  <si>
    <t>TA000024</t>
  </si>
  <si>
    <t>TA000045</t>
  </si>
  <si>
    <t>TA000047</t>
  </si>
  <si>
    <t>ASSY, ENDPLATE, CPU, xHD, GMFL, 20"</t>
  </si>
  <si>
    <t>109098</t>
  </si>
  <si>
    <t>TA000049</t>
  </si>
  <si>
    <t>TA000058</t>
  </si>
  <si>
    <t>ASSY, MAGNETS, MAGNETIZER 1, EMAT, 12"</t>
  </si>
  <si>
    <t>112448</t>
  </si>
  <si>
    <t>TA000059</t>
  </si>
  <si>
    <t>ASSY, MAGNETS, MAGNETIZER 2, EMAT, 12"</t>
  </si>
  <si>
    <t>112460</t>
  </si>
  <si>
    <t>TA000060</t>
  </si>
  <si>
    <t>ASSY, DRIVE CANISTER, 12" EMAT</t>
  </si>
  <si>
    <t>TA000094</t>
  </si>
  <si>
    <t>TA000102</t>
  </si>
  <si>
    <t>TA000104</t>
  </si>
  <si>
    <t>ASSY, CANISTER, ODOMETERS, DRIVE, MDS, 20"</t>
  </si>
  <si>
    <t>112964</t>
  </si>
  <si>
    <t>TA000105</t>
  </si>
  <si>
    <t>ASSY, ENDPLATE, BATTERY, DRIVE, MDS, 20"</t>
  </si>
  <si>
    <t>112959</t>
  </si>
  <si>
    <t>TA000106</t>
  </si>
  <si>
    <t>ASSY, ENDPLATE, TRANSMITTER, DRIVE, MDS, 20"</t>
  </si>
  <si>
    <t>112960</t>
  </si>
  <si>
    <t>TA000112</t>
  </si>
  <si>
    <t>ASSY, CANISTER, SENSORS, DEF, MDS, 20"</t>
  </si>
  <si>
    <t>112950</t>
  </si>
  <si>
    <t>TA000113</t>
  </si>
  <si>
    <t>ASSY, ENDPLATE, FRONT, XYZ, DEF, MDS, 20"</t>
  </si>
  <si>
    <t>130762</t>
  </si>
  <si>
    <t>TA000114</t>
  </si>
  <si>
    <t>ASSY, ENDPLATE, POWER, REAR, DEF, MDS, 20"</t>
  </si>
  <si>
    <t>112949</t>
  </si>
  <si>
    <t>TA000122</t>
  </si>
  <si>
    <t>ASSY, POWER PACK, DEF, 10"</t>
  </si>
  <si>
    <t>109861</t>
  </si>
  <si>
    <t>TA000125</t>
  </si>
  <si>
    <t>ASSY, ENDPLATE, CPU, REAR, xHD, 18"</t>
  </si>
  <si>
    <t>112884</t>
  </si>
  <si>
    <t>TA000126</t>
  </si>
  <si>
    <t>TA000129</t>
  </si>
  <si>
    <t>ASSY, TRANSMITTER, DEF, 20-24"</t>
  </si>
  <si>
    <t>109408</t>
  </si>
  <si>
    <t>TA000137</t>
  </si>
  <si>
    <t>TA000153</t>
  </si>
  <si>
    <t>TA000158</t>
  </si>
  <si>
    <t>TA000163</t>
  </si>
  <si>
    <t>TA000164</t>
  </si>
  <si>
    <t>TA000165</t>
  </si>
  <si>
    <t>ASSY, ENDPLATE, CPU, FRONT, xHD, GMFL, 10"</t>
  </si>
  <si>
    <t>108551</t>
  </si>
  <si>
    <t>TA000166</t>
  </si>
  <si>
    <t>TA000173</t>
  </si>
  <si>
    <t>TA000177</t>
  </si>
  <si>
    <t>TA000178</t>
  </si>
  <si>
    <t>TA000179</t>
  </si>
  <si>
    <t>TA000189</t>
  </si>
  <si>
    <t>TA000191</t>
  </si>
  <si>
    <t>ASSY, MAGNETIZER, MFL2, 16"</t>
  </si>
  <si>
    <t>108959</t>
  </si>
  <si>
    <t>TA000193</t>
  </si>
  <si>
    <t>ASSY, MAGNETIZER, LFM, 16"</t>
  </si>
  <si>
    <t>108958</t>
  </si>
  <si>
    <t>TA000195</t>
  </si>
  <si>
    <t>ASSY, MAGNETIZER, SENSORS, DEF, 16"</t>
  </si>
  <si>
    <t>109845</t>
  </si>
  <si>
    <t>TA000202</t>
  </si>
  <si>
    <t>TA000203</t>
  </si>
  <si>
    <t>TA000205</t>
  </si>
  <si>
    <t>TA000206</t>
  </si>
  <si>
    <t>ASSY, ENDPLATE, XYZ, MFL, ATEX, 16"</t>
  </si>
  <si>
    <t>113572</t>
  </si>
  <si>
    <t>TA000220</t>
  </si>
  <si>
    <t>TA000222</t>
  </si>
  <si>
    <t>TA000223</t>
  </si>
  <si>
    <t>TA000224</t>
  </si>
  <si>
    <t>TA000228</t>
  </si>
  <si>
    <t>TA000229</t>
  </si>
  <si>
    <t>TA000254</t>
  </si>
  <si>
    <t>TA000255</t>
  </si>
  <si>
    <t>ASSY, ENDPLATE, TRANSMITTER, xHD, GMFL, 24"</t>
  </si>
  <si>
    <t>109099</t>
  </si>
  <si>
    <t>TA000270</t>
  </si>
  <si>
    <t>TA000271</t>
  </si>
  <si>
    <t>TA000272</t>
  </si>
  <si>
    <t>TA000274</t>
  </si>
  <si>
    <t>TA000281</t>
  </si>
  <si>
    <t>TA000286</t>
  </si>
  <si>
    <t>ASSY, CANISTER, DRIVE, 6"</t>
  </si>
  <si>
    <t>112231</t>
  </si>
  <si>
    <t>TA000287</t>
  </si>
  <si>
    <t>ASSY, ARMS, SENSOR, SMFL 1, 6"</t>
  </si>
  <si>
    <t>SMFL1</t>
  </si>
  <si>
    <t>113045</t>
  </si>
  <si>
    <t>TA000288</t>
  </si>
  <si>
    <t>ASSY, MAGNETIZER, SMFL 2, 6"</t>
  </si>
  <si>
    <t>112196</t>
  </si>
  <si>
    <t>TA000293</t>
  </si>
  <si>
    <t>TA000295</t>
  </si>
  <si>
    <t>ASSY, FRONT ENDPLATE, DEF CANISTER, XHD</t>
  </si>
  <si>
    <t>112572</t>
  </si>
  <si>
    <t>TA000296</t>
  </si>
  <si>
    <t>ASSY, MOUNT, XMIT, ODO, DEF, SINGLE_BODY, 36"</t>
  </si>
  <si>
    <t>109615</t>
  </si>
  <si>
    <t>TA000299</t>
  </si>
  <si>
    <t>TA000348</t>
  </si>
  <si>
    <t>TA000349</t>
  </si>
  <si>
    <t>TA000400</t>
  </si>
  <si>
    <t>TA000491</t>
  </si>
  <si>
    <t>TA000492</t>
  </si>
  <si>
    <t>TA000533</t>
  </si>
  <si>
    <t>ASSY, ENDPLATE, CPU, xHD, 12"</t>
  </si>
  <si>
    <t>108359</t>
  </si>
  <si>
    <t>TA000535</t>
  </si>
  <si>
    <t>TA000536</t>
  </si>
  <si>
    <t>TA000541</t>
  </si>
  <si>
    <t>ASSY, CPU, TRANSMITTER, xHD, MFL, 16"</t>
  </si>
  <si>
    <t>109079</t>
  </si>
  <si>
    <t>TA000552</t>
  </si>
  <si>
    <t>TA000553</t>
  </si>
  <si>
    <t>TA000554</t>
  </si>
  <si>
    <t>TA000558</t>
  </si>
  <si>
    <t>TA000561</t>
  </si>
  <si>
    <t>TA000562</t>
  </si>
  <si>
    <t>TA000575</t>
  </si>
  <si>
    <t>TA000576</t>
  </si>
  <si>
    <t>TA000577</t>
  </si>
  <si>
    <t>TA000579</t>
  </si>
  <si>
    <t>TA000582</t>
  </si>
  <si>
    <t>TA000583</t>
  </si>
  <si>
    <t>TA000585</t>
  </si>
  <si>
    <t>ASSY, CANISTER BODY, DEF_XYZ, 18"</t>
  </si>
  <si>
    <t>112548</t>
  </si>
  <si>
    <t>TA000588</t>
  </si>
  <si>
    <t>TA000589</t>
  </si>
  <si>
    <t>TA000600</t>
  </si>
  <si>
    <t>TA000601</t>
  </si>
  <si>
    <t>TA000615</t>
  </si>
  <si>
    <t>ASSY, ENDPLATE, POWER PACK, CHAIN, PRV, 8"</t>
  </si>
  <si>
    <t>116461</t>
  </si>
  <si>
    <t>TA000640</t>
  </si>
  <si>
    <t>TA000641</t>
  </si>
  <si>
    <t>TA000643</t>
  </si>
  <si>
    <t>ASSY, DRIVE, MAGNET, FLOATING, 6"</t>
  </si>
  <si>
    <t>100879</t>
  </si>
  <si>
    <t>TA000686</t>
  </si>
  <si>
    <t>TA000717</t>
  </si>
  <si>
    <t>ASSY, TRANSMITTER, xHD, DEF, 12"</t>
  </si>
  <si>
    <t>108595</t>
  </si>
  <si>
    <t>TA000718</t>
  </si>
  <si>
    <t>ASSY, CPU, xHD, DEF, 12"-14"</t>
  </si>
  <si>
    <t>108753</t>
  </si>
  <si>
    <t>TA000720</t>
  </si>
  <si>
    <t>TA000729</t>
  </si>
  <si>
    <t>ASSY, ENDPLATE, CPU, xHD, GMFL, 14"</t>
  </si>
  <si>
    <t>108570</t>
  </si>
  <si>
    <t>TA000730</t>
  </si>
  <si>
    <t>TA000736</t>
  </si>
  <si>
    <t>ASSY, ENDPLATE, CPU, FRONT, xHD, DEF, 12"</t>
  </si>
  <si>
    <t>108593</t>
  </si>
  <si>
    <t>TA000737</t>
  </si>
  <si>
    <t>TA000739</t>
  </si>
  <si>
    <t>ASSY, ENDPLATE, POWER PACK, SHORT, 10"</t>
  </si>
  <si>
    <t>116394</t>
  </si>
  <si>
    <t>TA000753</t>
  </si>
  <si>
    <t>TA000755</t>
  </si>
  <si>
    <t>ASSY, MAGNETIZER, SENSORS, MFL2, 12"</t>
  </si>
  <si>
    <t>113097</t>
  </si>
  <si>
    <t>TA000759</t>
  </si>
  <si>
    <t>ASSY, W/O WHEELS, DEF, SHORT COMBO, 12"</t>
  </si>
  <si>
    <t>116405</t>
  </si>
  <si>
    <t>TA000760</t>
  </si>
  <si>
    <t>TA000761</t>
  </si>
  <si>
    <t>TA000765</t>
  </si>
  <si>
    <t>TA000767</t>
  </si>
  <si>
    <t>TA000768</t>
  </si>
  <si>
    <t>TA000769</t>
  </si>
  <si>
    <t>TA000790</t>
  </si>
  <si>
    <t>TA000811</t>
  </si>
  <si>
    <t>TA000812</t>
  </si>
  <si>
    <t>TA000813</t>
  </si>
  <si>
    <t>TA000814</t>
  </si>
  <si>
    <t>TA000815</t>
  </si>
  <si>
    <t>TA000816</t>
  </si>
  <si>
    <t>ASSY, ENDPLATE, TRANSMITTER, xHD, 14"</t>
  </si>
  <si>
    <t>108566</t>
  </si>
  <si>
    <t>TA000817</t>
  </si>
  <si>
    <t>TA000824</t>
  </si>
  <si>
    <t>TA000825</t>
  </si>
  <si>
    <t>TA000828</t>
  </si>
  <si>
    <t>TA000829</t>
  </si>
  <si>
    <t>TA000858</t>
  </si>
  <si>
    <t>TA000859</t>
  </si>
  <si>
    <t>TA000860</t>
  </si>
  <si>
    <t>TA000862</t>
  </si>
  <si>
    <t>TA000863</t>
  </si>
  <si>
    <t>TA000865</t>
  </si>
  <si>
    <t>TA000866</t>
  </si>
  <si>
    <t>TA000867</t>
  </si>
  <si>
    <t>TA000869</t>
  </si>
  <si>
    <t>TA000882</t>
  </si>
  <si>
    <t>TA000895</t>
  </si>
  <si>
    <t>CANISTER, DRIVE, H2, 18"</t>
  </si>
  <si>
    <t>114954</t>
  </si>
  <si>
    <t>TA000896</t>
  </si>
  <si>
    <t>ASSY, CPU, xHD, MFL, H2, 18"</t>
  </si>
  <si>
    <t>114980</t>
  </si>
  <si>
    <t>TA000897</t>
  </si>
  <si>
    <t>ASSY, CANISTER, MAGNETIZER, H2, 18"</t>
  </si>
  <si>
    <t>114920</t>
  </si>
  <si>
    <t>TA000900</t>
  </si>
  <si>
    <t>TA000903</t>
  </si>
  <si>
    <t>TA000920</t>
  </si>
  <si>
    <t>ASSY, RELIEF VALVE, DRIVE, H2, 18"</t>
  </si>
  <si>
    <t>114953</t>
  </si>
  <si>
    <t>TA000937</t>
  </si>
  <si>
    <t>ASSY, ENDPLATE, CPU, xHD, GMFL, 26"</t>
  </si>
  <si>
    <t>109364</t>
  </si>
  <si>
    <t>TA000945</t>
  </si>
  <si>
    <t>TA000946</t>
  </si>
  <si>
    <t>ASSY, ENDPLATE, CPU, FRONT, XHD, GMFL, 8"</t>
  </si>
  <si>
    <t>TA000948</t>
  </si>
  <si>
    <t>TA000956</t>
  </si>
  <si>
    <t>TA000958</t>
  </si>
  <si>
    <t>TA000959</t>
  </si>
  <si>
    <t>TA000960</t>
  </si>
  <si>
    <t>TA000961</t>
  </si>
  <si>
    <t>TA000963</t>
  </si>
  <si>
    <t>TA000965</t>
  </si>
  <si>
    <t>TA000967</t>
  </si>
  <si>
    <t>TA000968</t>
  </si>
  <si>
    <t>TA000969</t>
  </si>
  <si>
    <t>TA000970</t>
  </si>
  <si>
    <t>ASSY, DEF, BODY, xHD, 14</t>
  </si>
  <si>
    <t>114368</t>
  </si>
  <si>
    <t>TA000979</t>
  </si>
  <si>
    <t>ASSY, CPU, GMFL, 42"</t>
  </si>
  <si>
    <t>111616</t>
  </si>
  <si>
    <t>TA000987</t>
  </si>
  <si>
    <t>ASSY, ENDPLATE, CPU, MAPPING, H2, 18"</t>
  </si>
  <si>
    <t>114990</t>
  </si>
  <si>
    <t>TA001016</t>
  </si>
  <si>
    <t>TA001021</t>
  </si>
  <si>
    <t>TA001036</t>
  </si>
  <si>
    <t>TA001048</t>
  </si>
  <si>
    <t>ASSY, ENDPLATE, CPU, FRONT, xHD, GMFL, 8" (HYBRID)</t>
  </si>
  <si>
    <t>TA001056</t>
  </si>
  <si>
    <t>TA001059</t>
  </si>
  <si>
    <t>TA001064</t>
  </si>
  <si>
    <t>ASSY, WELDMENT, CANISTER, DRIVE, MDS, 30"</t>
  </si>
  <si>
    <t>111574</t>
  </si>
  <si>
    <t>TA001067</t>
  </si>
  <si>
    <t>ASSY, ENDPLATE, REAR, CPU, 30"</t>
  </si>
  <si>
    <t>115110</t>
  </si>
  <si>
    <t>TA001069</t>
  </si>
  <si>
    <t>ASSY, ENDPLATE, FRONT, POWER, LFM, MDS, 30</t>
  </si>
  <si>
    <t>115759</t>
  </si>
  <si>
    <t>TA001070</t>
  </si>
  <si>
    <t>ASSY, CORE, LFM, MDS, 30</t>
  </si>
  <si>
    <t>113138</t>
  </si>
  <si>
    <t>TA001078</t>
  </si>
  <si>
    <t>TA001081</t>
  </si>
  <si>
    <t>TA001083</t>
  </si>
  <si>
    <t>ASSY, DRIVE MODULE</t>
  </si>
  <si>
    <t>TA001086</t>
  </si>
  <si>
    <t>TA001088</t>
  </si>
  <si>
    <t>TA001089</t>
  </si>
  <si>
    <t>TA001090</t>
  </si>
  <si>
    <t>ASSY, ENDPLATE, BATTERY, REAR, ATEX, 16"</t>
  </si>
  <si>
    <t>113510</t>
  </si>
  <si>
    <t>TA001102</t>
  </si>
  <si>
    <t>TA001103</t>
  </si>
  <si>
    <t>ASSY, MAGNETIZER 1, EMAT, 16"</t>
  </si>
  <si>
    <t>111061</t>
  </si>
  <si>
    <t>TA001105</t>
  </si>
  <si>
    <t>ASSY, MAGNETIZER 2, EMAT, 16"</t>
  </si>
  <si>
    <t>111062</t>
  </si>
  <si>
    <t>TA001112</t>
  </si>
  <si>
    <t>TA001113</t>
  </si>
  <si>
    <t>TA001115</t>
  </si>
  <si>
    <t>TA001118</t>
  </si>
  <si>
    <t>TA001159</t>
  </si>
  <si>
    <t>TA001162</t>
  </si>
  <si>
    <t>TA001168</t>
  </si>
  <si>
    <t>TA001171</t>
  </si>
  <si>
    <t>TA001174</t>
  </si>
  <si>
    <t>TA001181</t>
  </si>
  <si>
    <t>TA001183</t>
  </si>
  <si>
    <t>TA001184</t>
  </si>
  <si>
    <t>TA001185</t>
  </si>
  <si>
    <t>TA001195</t>
  </si>
  <si>
    <t>ASSY, ENDPLATE, BATTERY, REAR, EMAT, 12"</t>
  </si>
  <si>
    <t>113181-1</t>
  </si>
  <si>
    <t>TA001207</t>
  </si>
  <si>
    <t>TA001212</t>
  </si>
  <si>
    <t>ASSY, ENDPLATE, POWER, CHAIN, 12"</t>
  </si>
  <si>
    <t>108716</t>
  </si>
  <si>
    <t>TA001213</t>
  </si>
  <si>
    <t>TA001214</t>
  </si>
  <si>
    <t>TA001218</t>
  </si>
  <si>
    <t>TA001219</t>
  </si>
  <si>
    <t>TA001220</t>
  </si>
  <si>
    <t>TA001221</t>
  </si>
  <si>
    <t>TA001222</t>
  </si>
  <si>
    <t>ASSY, ENDPLATE, POWER, 12"</t>
  </si>
  <si>
    <t>116431</t>
  </si>
  <si>
    <t>TA001224</t>
  </si>
  <si>
    <t>TA001229</t>
  </si>
  <si>
    <t>TA001230</t>
  </si>
  <si>
    <t>TA001231</t>
  </si>
  <si>
    <t>TA001232</t>
  </si>
  <si>
    <t>TA001233</t>
  </si>
  <si>
    <t>TA001237</t>
  </si>
  <si>
    <t>ASSY, ENDPLATE, POWER, FRONT, MFL3, 6"</t>
  </si>
  <si>
    <t>117860</t>
  </si>
  <si>
    <t>TA001240</t>
  </si>
  <si>
    <t>ASSY, ENDPLATE, POWER PACK, ATEX, FRONT, 6", WITH SPACER</t>
  </si>
  <si>
    <t>116399-01</t>
  </si>
  <si>
    <t>TA001242</t>
  </si>
  <si>
    <t>TA001243</t>
  </si>
  <si>
    <t>ASSY, ENDPLATE, POWER, REAR, MFL, 6"</t>
  </si>
  <si>
    <t>116764</t>
  </si>
  <si>
    <t>TA001245</t>
  </si>
  <si>
    <t>TA001247</t>
  </si>
  <si>
    <t>TA001248</t>
  </si>
  <si>
    <t>TA001249</t>
  </si>
  <si>
    <t>TA001251</t>
  </si>
  <si>
    <t>TA001254</t>
  </si>
  <si>
    <t>TA001256</t>
  </si>
  <si>
    <t>ASSY, CPU, XHD, 6"</t>
  </si>
  <si>
    <t>116553</t>
  </si>
  <si>
    <t>TA001257</t>
  </si>
  <si>
    <t>ASSY, CPU, xHD, 6"</t>
  </si>
  <si>
    <t>TA001259</t>
  </si>
  <si>
    <t>TA001264</t>
  </si>
  <si>
    <t>TA001265</t>
  </si>
  <si>
    <t>TA001266</t>
  </si>
  <si>
    <t>TA001268</t>
  </si>
  <si>
    <t>TA001274</t>
  </si>
  <si>
    <t>TA001278</t>
  </si>
  <si>
    <t>TA001279</t>
  </si>
  <si>
    <t>TA001284</t>
  </si>
  <si>
    <t>TA001285</t>
  </si>
  <si>
    <t>TA001286</t>
  </si>
  <si>
    <t>TA001287</t>
  </si>
  <si>
    <t>TA001295</t>
  </si>
  <si>
    <t>ASSY, ENDPLATE, DRIVE, POWER, 16"</t>
  </si>
  <si>
    <t>117081-01</t>
  </si>
  <si>
    <t>TA001296</t>
  </si>
  <si>
    <t>117081</t>
  </si>
  <si>
    <t>TA001297</t>
  </si>
  <si>
    <t>TA001299</t>
  </si>
  <si>
    <t>TA001300</t>
  </si>
  <si>
    <t>TA001302</t>
  </si>
  <si>
    <t>TA001305</t>
  </si>
  <si>
    <t>TA001307</t>
  </si>
  <si>
    <t>TA001308</t>
  </si>
  <si>
    <t>TA001314</t>
  </si>
  <si>
    <t>TA001315</t>
  </si>
  <si>
    <t>TA001316</t>
  </si>
  <si>
    <t>ASSY, ENDPLATE, POWER, K360, 20"-30"</t>
  </si>
  <si>
    <t>117754</t>
  </si>
  <si>
    <t>TA001319</t>
  </si>
  <si>
    <t>TA001324</t>
  </si>
  <si>
    <t>ASSY, ENDPLATE, POWER, REAR, 16"</t>
  </si>
  <si>
    <t>117262</t>
  </si>
  <si>
    <t>TA001329</t>
  </si>
  <si>
    <t>TA001335</t>
  </si>
  <si>
    <t>TA001339</t>
  </si>
  <si>
    <t>TA001340</t>
  </si>
  <si>
    <t>TA001342</t>
  </si>
  <si>
    <t>TA001347</t>
  </si>
  <si>
    <t>ASSY, ENDPLATE, POWER, DRIVE, 20"</t>
  </si>
  <si>
    <t>109117</t>
  </si>
  <si>
    <t>TA001349</t>
  </si>
  <si>
    <t>TA001351</t>
  </si>
  <si>
    <t>TA001364</t>
  </si>
  <si>
    <t>TA001367</t>
  </si>
  <si>
    <t>TA001370</t>
  </si>
  <si>
    <t>ASSY, ENDPLATE, POWER OR ATEX, 20"-24" MAPPING</t>
  </si>
  <si>
    <t>117335</t>
  </si>
  <si>
    <t>TA001372</t>
  </si>
  <si>
    <t>TA001373</t>
  </si>
  <si>
    <t>TA001374</t>
  </si>
  <si>
    <t>TA001378</t>
  </si>
  <si>
    <t>TA001379</t>
  </si>
  <si>
    <t>TA001391</t>
  </si>
  <si>
    <t>TA001397</t>
  </si>
  <si>
    <t>ASSY, ENDPLATE, POWER, REAR, NH3, 6"</t>
  </si>
  <si>
    <t>117168</t>
  </si>
  <si>
    <t>TA001401</t>
  </si>
  <si>
    <t>TA001402</t>
  </si>
  <si>
    <t>TA001407</t>
  </si>
  <si>
    <t>TA001411</t>
  </si>
  <si>
    <t>TA001412</t>
  </si>
  <si>
    <t>TA001413</t>
  </si>
  <si>
    <t>TA001414</t>
  </si>
  <si>
    <t>TA001415</t>
  </si>
  <si>
    <t>TA001416</t>
  </si>
  <si>
    <t>TA001421</t>
  </si>
  <si>
    <t>TA001423</t>
  </si>
  <si>
    <t>TA001424</t>
  </si>
  <si>
    <t>TA001430</t>
  </si>
  <si>
    <t>ASSY, ENDPLATE, POWER, REAR, 6"</t>
  </si>
  <si>
    <t>116943</t>
  </si>
  <si>
    <t>TA001433</t>
  </si>
  <si>
    <t>TA001434</t>
  </si>
  <si>
    <t>TA001435</t>
  </si>
  <si>
    <t>TA001436</t>
  </si>
  <si>
    <t>ASSY, ENDPLATE, POWER, 1.5D, 6"</t>
  </si>
  <si>
    <t>116958</t>
  </si>
  <si>
    <t>TA001438</t>
  </si>
  <si>
    <t>TA001439</t>
  </si>
  <si>
    <t>TA001440</t>
  </si>
  <si>
    <t>TA001442</t>
  </si>
  <si>
    <t>TA001443</t>
  </si>
  <si>
    <t>TA001444</t>
  </si>
  <si>
    <t>TA001447</t>
  </si>
  <si>
    <t>TA001448</t>
  </si>
  <si>
    <t>TA001449</t>
  </si>
  <si>
    <t>TA001451</t>
  </si>
  <si>
    <t>TA001453</t>
  </si>
  <si>
    <t>TA001456</t>
  </si>
  <si>
    <t>TA001462</t>
  </si>
  <si>
    <t>TA001464</t>
  </si>
  <si>
    <t>TA001466</t>
  </si>
  <si>
    <t>TA001467</t>
  </si>
  <si>
    <t>TA001472</t>
  </si>
  <si>
    <t>ASSY, ENDPLATE, POWER, NH3, 4"</t>
  </si>
  <si>
    <t>118520</t>
  </si>
  <si>
    <t>TA001474</t>
  </si>
  <si>
    <t>ASSY, POWER PACK, 10"</t>
  </si>
  <si>
    <t>117694</t>
  </si>
  <si>
    <t>TA001476</t>
  </si>
  <si>
    <t>TA001479</t>
  </si>
  <si>
    <t>TA001480</t>
  </si>
  <si>
    <t>TA001481</t>
  </si>
  <si>
    <t>ASSY, BATTERY, GMFL, 10"</t>
  </si>
  <si>
    <t>110617</t>
  </si>
  <si>
    <t>TA001482</t>
  </si>
  <si>
    <t>TA001483</t>
  </si>
  <si>
    <t>TA001485</t>
  </si>
  <si>
    <t>TA001486</t>
  </si>
  <si>
    <t>TA001487</t>
  </si>
  <si>
    <t>TA001489</t>
  </si>
  <si>
    <t>TA001492</t>
  </si>
  <si>
    <t>TA001494</t>
  </si>
  <si>
    <t>TA001495</t>
  </si>
  <si>
    <t>TA001496</t>
  </si>
  <si>
    <t>TA001500</t>
  </si>
  <si>
    <t>ASSY, ENDPLATE, POWER PACK, 10"</t>
  </si>
  <si>
    <t>115617</t>
  </si>
  <si>
    <t>TA001503</t>
  </si>
  <si>
    <t>TA001505</t>
  </si>
  <si>
    <t>TA001509</t>
  </si>
  <si>
    <t>TA001511</t>
  </si>
  <si>
    <t>TA001515</t>
  </si>
  <si>
    <t>TA001522</t>
  </si>
  <si>
    <t>TA001525</t>
  </si>
  <si>
    <t>TA001527</t>
  </si>
  <si>
    <t>TA001529</t>
  </si>
  <si>
    <t>TA001531</t>
  </si>
  <si>
    <t>TA001532</t>
  </si>
  <si>
    <t>TA001533</t>
  </si>
  <si>
    <t>TA001536</t>
  </si>
  <si>
    <t>TA001542</t>
  </si>
  <si>
    <t>TA001551</t>
  </si>
  <si>
    <t>ASSY, CANNISTER, BATTERY, NH3, 10"</t>
  </si>
  <si>
    <t>118199</t>
  </si>
  <si>
    <t>TA001552</t>
  </si>
  <si>
    <t>TA001554</t>
  </si>
  <si>
    <t>TA001555</t>
  </si>
  <si>
    <t>TA001556</t>
  </si>
  <si>
    <t>TA001557</t>
  </si>
  <si>
    <t>TA001558</t>
  </si>
  <si>
    <t>TA001577</t>
  </si>
  <si>
    <t>TA001578</t>
  </si>
  <si>
    <t>TA001579</t>
  </si>
  <si>
    <t>TA001581</t>
  </si>
  <si>
    <t>TA001584</t>
  </si>
  <si>
    <t>TA001585</t>
  </si>
  <si>
    <t>TA001587</t>
  </si>
  <si>
    <t>ASSY, ENDPLATE, POWER PACK, NH3 10"</t>
  </si>
  <si>
    <t>118070</t>
  </si>
  <si>
    <t>TA001588</t>
  </si>
  <si>
    <t>TA001589</t>
  </si>
  <si>
    <t>Tool Name (Short)</t>
  </si>
  <si>
    <t>Tool Name Full</t>
  </si>
  <si>
    <t>Component</t>
  </si>
  <si>
    <t>Component Name</t>
  </si>
  <si>
    <t>Other Tool Name</t>
  </si>
  <si>
    <t>With mapping Tool Config</t>
  </si>
  <si>
    <t>Long Name w/ Mapping</t>
  </si>
  <si>
    <t>4" Def</t>
  </si>
  <si>
    <t>4" DEF. DAA ASSY</t>
  </si>
  <si>
    <t>Row Labels</t>
  </si>
  <si>
    <t>Count of Tool Name Full</t>
  </si>
  <si>
    <t>4"MFL</t>
  </si>
  <si>
    <t>4" AMAG ASSY (MFL)</t>
  </si>
  <si>
    <t>4" MDS</t>
  </si>
  <si>
    <t>4" MDS COMBO</t>
  </si>
  <si>
    <t>4" NH3</t>
  </si>
  <si>
    <t>6" Def</t>
  </si>
  <si>
    <t>6" DEF. DAA ASSY  HD</t>
  </si>
  <si>
    <t>MCPU</t>
  </si>
  <si>
    <t>6" DEF. DAA ASSY XHD</t>
  </si>
  <si>
    <t>n/a</t>
  </si>
  <si>
    <t>Grand Total</t>
  </si>
  <si>
    <t>6" MFL</t>
  </si>
  <si>
    <t>6" AMAG ASSY (MFL3) HD NoXMIT</t>
  </si>
  <si>
    <t xml:space="preserve">6" AMAG ASSY (MFL5) </t>
  </si>
  <si>
    <t>6" LGT &amp; K360</t>
  </si>
  <si>
    <t>6" MDS PRO</t>
  </si>
  <si>
    <t>DEF.MFL.SMFL.06 </t>
  </si>
  <si>
    <t>DEF.MFL.SMFL.XYZ.06 </t>
  </si>
  <si>
    <t>SMFL 2</t>
  </si>
  <si>
    <t>DEF Fr Plate</t>
  </si>
  <si>
    <t>MLOG</t>
  </si>
  <si>
    <t>6" MDS Flex</t>
  </si>
  <si>
    <t>FLEX.DEF.MFL.06 </t>
  </si>
  <si>
    <t>FLEX.DEF.MFL.XYZ.06 </t>
  </si>
  <si>
    <t>6" NH3</t>
  </si>
  <si>
    <t>6" MFL (NH3) </t>
  </si>
  <si>
    <t>not config on Home Tool Sheet</t>
  </si>
  <si>
    <t>8" DEF</t>
  </si>
  <si>
    <t>8" GMFL</t>
  </si>
  <si>
    <t>8" MFL</t>
  </si>
  <si>
    <t>8" MDS V1</t>
  </si>
  <si>
    <t>2nd DRV</t>
  </si>
  <si>
    <t>8" MDS V2 Pro</t>
  </si>
  <si>
    <t>SMFL 1</t>
  </si>
  <si>
    <t>ENDPLATE, REAR, LFM</t>
  </si>
  <si>
    <t>BATT ENDPLATE</t>
  </si>
  <si>
    <t>BATT CANISTER</t>
  </si>
  <si>
    <t>8" MDS V2 Flex</t>
  </si>
  <si>
    <t xml:space="preserve">8" NH3 </t>
  </si>
  <si>
    <t xml:space="preserve">8"/10" LGT </t>
  </si>
  <si>
    <t>DRV/BAT</t>
  </si>
  <si>
    <t>10_651</t>
  </si>
  <si>
    <t>10" Def</t>
  </si>
  <si>
    <t>10" DAA ASSY (DEF ARM)</t>
  </si>
  <si>
    <t>10" MFL</t>
  </si>
  <si>
    <t>10" AMAG ASSY (MFL)</t>
  </si>
  <si>
    <t>10" GMFL+GDEF</t>
  </si>
  <si>
    <t>10" GMAG ASSY. (GMFL+GDEF)</t>
  </si>
  <si>
    <t>GCPU</t>
  </si>
  <si>
    <t>DEF CPU</t>
  </si>
  <si>
    <t>MGCPU</t>
  </si>
  <si>
    <t xml:space="preserve">10" MDS </t>
  </si>
  <si>
    <t>10" MFL (NH3)</t>
  </si>
  <si>
    <t>10" EMAT</t>
  </si>
  <si>
    <t>EMAG 1</t>
  </si>
  <si>
    <t>EMAG 2.</t>
  </si>
  <si>
    <t>EMAG 3</t>
  </si>
  <si>
    <t>12" MDS UR</t>
  </si>
  <si>
    <t>12" ULTRA REZ PRO</t>
  </si>
  <si>
    <t>R ENDPLATE MFL</t>
  </si>
  <si>
    <t>R ENDPLATE LFM</t>
  </si>
  <si>
    <t>DEF MAP</t>
  </si>
  <si>
    <t>12" DEF</t>
  </si>
  <si>
    <t>12" DAA ASSY (DEF ARM)</t>
  </si>
  <si>
    <t>12" MFL</t>
  </si>
  <si>
    <t>12" AMAG ASSY (MFL)</t>
  </si>
  <si>
    <t>12" GMFL+GDEF</t>
  </si>
  <si>
    <t>12" GMAG ASSY (GMFL+DEF)</t>
  </si>
  <si>
    <t>12" MDS</t>
  </si>
  <si>
    <t>12"LGT</t>
  </si>
  <si>
    <t>12/14" LGT</t>
  </si>
  <si>
    <t>12" EMAT</t>
  </si>
  <si>
    <t>14" GMAT</t>
  </si>
  <si>
    <t>GXMIT</t>
  </si>
  <si>
    <t>16" DEF</t>
  </si>
  <si>
    <t>16" DAA ASSY. (DEF)</t>
  </si>
  <si>
    <t>16" GDEF</t>
  </si>
  <si>
    <t>16" DAA ASSY (GDEF)</t>
  </si>
  <si>
    <t>16" MGDEF</t>
  </si>
  <si>
    <t>16" DAA ASSY (MGDEF)</t>
  </si>
  <si>
    <t>XYZ</t>
  </si>
  <si>
    <t>16" MFL</t>
  </si>
  <si>
    <t>16" MFL ASSY. (MFL)</t>
  </si>
  <si>
    <t>16" GMFL</t>
  </si>
  <si>
    <t>16" GMAG ASSY. (GMFL)</t>
  </si>
  <si>
    <t>16" MDS</t>
  </si>
  <si>
    <t>DUAL DRV</t>
  </si>
  <si>
    <t>LFM BATT</t>
  </si>
  <si>
    <t>DEF BATT</t>
  </si>
  <si>
    <t>16" EMAT</t>
  </si>
  <si>
    <t>18" GMFL</t>
  </si>
  <si>
    <t>18" GMAG ASSY. (GMFL)</t>
  </si>
  <si>
    <t>GBAT</t>
  </si>
  <si>
    <t>18" MGDEF</t>
  </si>
  <si>
    <t>18" MGDEF ASSY.</t>
  </si>
  <si>
    <t>GBATT</t>
  </si>
  <si>
    <t>GDRV</t>
  </si>
  <si>
    <t>20" DEF</t>
  </si>
  <si>
    <t>20" DEF. DAA ASSY</t>
  </si>
  <si>
    <t>XMIT PLATE</t>
  </si>
  <si>
    <t>STINGER XMIT</t>
  </si>
  <si>
    <t>20" MFL</t>
  </si>
  <si>
    <t>20" MFL . DAA ASSY</t>
  </si>
  <si>
    <t>20" GMFL</t>
  </si>
  <si>
    <t>20" GMAG ASSY. (GMFL)</t>
  </si>
  <si>
    <t>WHEEL-CANISTER, MAPPING, 20"-24"</t>
  </si>
  <si>
    <t>MAPPING POWER</t>
  </si>
  <si>
    <t>20" MDS</t>
  </si>
  <si>
    <t>111278-01</t>
  </si>
  <si>
    <t>MFL ENDPLATE</t>
  </si>
  <si>
    <t>112947-01</t>
  </si>
  <si>
    <t>DEF Rear Enplate (Wheel Support)</t>
  </si>
  <si>
    <t>DEF ENDPLATE</t>
  </si>
  <si>
    <t>130765-01</t>
  </si>
  <si>
    <t>DEF Rear Endplate (Brush Support)</t>
  </si>
  <si>
    <t>24" DEF</t>
  </si>
  <si>
    <t>BAT ENDPLATE</t>
  </si>
  <si>
    <t>XMIT ENDPLATE</t>
  </si>
  <si>
    <t>24" GMFL</t>
  </si>
  <si>
    <t>24" GMAG ASSY. (GMFL)</t>
  </si>
  <si>
    <t>24" MDS</t>
  </si>
  <si>
    <t>3 BATT</t>
  </si>
  <si>
    <t>DRV/DEF</t>
  </si>
  <si>
    <t>REAR CPU</t>
  </si>
  <si>
    <t>FRONT BATT</t>
  </si>
  <si>
    <t>26" DEF</t>
  </si>
  <si>
    <t>DEF BAT</t>
  </si>
  <si>
    <t>ODO XMIT</t>
  </si>
  <si>
    <t>26" GMFL</t>
  </si>
  <si>
    <t>26" GMAG ASSY. (GMFL)</t>
  </si>
  <si>
    <t>26" MDS</t>
  </si>
  <si>
    <t>30" GMAG</t>
  </si>
  <si>
    <t>30" GMAG ASS. (GMFL)</t>
  </si>
  <si>
    <t>REAR END PLATE</t>
  </si>
  <si>
    <t>MAG</t>
  </si>
  <si>
    <t>30" MDS</t>
  </si>
  <si>
    <t>115109-01</t>
  </si>
  <si>
    <t>32"- 36" DEF</t>
  </si>
  <si>
    <t>36" DEF</t>
  </si>
  <si>
    <t>ODO</t>
  </si>
  <si>
    <t>36" GMAG</t>
  </si>
  <si>
    <t>36" GMAG ASS. (GMFL)</t>
  </si>
  <si>
    <t>117762-01</t>
  </si>
  <si>
    <t>42" DEF + GMFL</t>
  </si>
  <si>
    <t>DEF BAT END PLATE</t>
  </si>
  <si>
    <t>36"-48" DUEL DEF</t>
  </si>
  <si>
    <t>36"-48" DUEL DIAMETER DEF</t>
  </si>
  <si>
    <t>Model #</t>
  </si>
  <si>
    <t>Tool Size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</si>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</sst>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1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theme="7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4" fillId="4" borderId="0" applyNumberFormat="0" applyBorder="0" applyAlignment="0" applyProtection="0"/>
  </cellStyleXfs>
  <cellXfs count="56">
    <xf numFmtId="0" fontId="0" fillId="0" borderId="0" xfId="0"/>
    <xf numFmtId="0" fontId="0" fillId="0" borderId="1" xfId="0" applyBorder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vertical="center" wrapText="1"/>
    </xf>
    <xf numFmtId="0" fontId="0" fillId="5" borderId="0" xfId="0" applyFill="1"/>
    <xf numFmtId="0" fontId="8" fillId="0" borderId="0" xfId="0" applyFont="1"/>
    <xf numFmtId="0" fontId="9" fillId="0" borderId="0" xfId="0" applyFont="1" applyAlignment="1">
      <alignment horizont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3" applyFont="1" applyFill="1" applyAlignment="1">
      <alignment horizontal="center"/>
    </xf>
    <xf numFmtId="0" fontId="10" fillId="0" borderId="0" xfId="1" applyFont="1" applyFill="1" applyAlignment="1">
      <alignment horizontal="center"/>
    </xf>
    <xf numFmtId="0" fontId="10" fillId="0" borderId="0" xfId="2" applyFont="1" applyFill="1" applyAlignment="1">
      <alignment horizontal="center"/>
    </xf>
    <xf numFmtId="49" fontId="10" fillId="0" borderId="0" xfId="0" applyNumberFormat="1" applyFont="1" applyAlignment="1">
      <alignment horizontal="center"/>
    </xf>
    <xf numFmtId="0" fontId="11" fillId="0" borderId="0" xfId="0" applyFont="1" applyAlignment="1">
      <alignment vertical="center"/>
    </xf>
    <xf numFmtId="0" fontId="0" fillId="0" borderId="0" xfId="0" applyAlignment="1">
      <alignment horizontal="left" vertical="center" indent="3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left" vertical="center" wrapText="1" indent="1"/>
    </xf>
    <xf numFmtId="0" fontId="0" fillId="6" borderId="0" xfId="0" applyFill="1" applyAlignment="1">
      <alignment vertical="center" wrapText="1"/>
    </xf>
    <xf numFmtId="0" fontId="0" fillId="6" borderId="0" xfId="0" applyFill="1"/>
    <xf numFmtId="49" fontId="9" fillId="0" borderId="0" xfId="0" applyNumberFormat="1" applyFont="1" applyAlignment="1">
      <alignment horizontal="center" wrapText="1"/>
    </xf>
    <xf numFmtId="49" fontId="10" fillId="0" borderId="0" xfId="3" applyNumberFormat="1" applyFont="1" applyFill="1" applyAlignment="1">
      <alignment horizontal="center"/>
    </xf>
    <xf numFmtId="49" fontId="10" fillId="7" borderId="0" xfId="0" applyNumberFormat="1" applyFont="1" applyFill="1" applyAlignment="1">
      <alignment horizontal="center"/>
    </xf>
    <xf numFmtId="49" fontId="10" fillId="0" borderId="0" xfId="1" applyNumberFormat="1" applyFont="1" applyFill="1" applyAlignment="1">
      <alignment horizontal="center"/>
    </xf>
    <xf numFmtId="49" fontId="10" fillId="0" borderId="0" xfId="2" applyNumberFormat="1" applyFont="1" applyFill="1" applyAlignment="1">
      <alignment horizontal="center"/>
    </xf>
    <xf numFmtId="49" fontId="0" fillId="0" borderId="0" xfId="0" applyNumberFormat="1"/>
    <xf numFmtId="49" fontId="6" fillId="0" borderId="0" xfId="0" applyNumberFormat="1" applyFont="1" applyAlignment="1">
      <alignment horizontal="left" vertical="center" wrapText="1" indent="1"/>
    </xf>
    <xf numFmtId="49" fontId="0" fillId="0" borderId="0" xfId="0" applyNumberFormat="1" applyAlignment="1">
      <alignment vertical="center" wrapText="1"/>
    </xf>
    <xf numFmtId="2" fontId="6" fillId="0" borderId="0" xfId="0" applyNumberFormat="1" applyFont="1" applyAlignment="1">
      <alignment horizontal="left" vertical="center" wrapText="1" indent="1"/>
    </xf>
    <xf numFmtId="2" fontId="0" fillId="0" borderId="0" xfId="0" applyNumberFormat="1"/>
    <xf numFmtId="2" fontId="0" fillId="0" borderId="0" xfId="0" applyNumberFormat="1" applyAlignment="1">
      <alignment vertical="center" wrapText="1"/>
    </xf>
    <xf numFmtId="49" fontId="0" fillId="6" borderId="0" xfId="0" applyNumberFormat="1" applyFill="1"/>
    <xf numFmtId="0" fontId="0" fillId="0" borderId="0" xfId="0" applyAlignment="1">
      <alignment vertical="center"/>
    </xf>
    <xf numFmtId="0" fontId="10" fillId="0" borderId="0" xfId="0" applyFont="1" applyAlignment="1">
      <alignment horizontal="left"/>
    </xf>
    <xf numFmtId="0" fontId="10" fillId="0" borderId="0" xfId="3" applyFont="1" applyFill="1" applyAlignment="1">
      <alignment horizontal="left"/>
    </xf>
    <xf numFmtId="0" fontId="10" fillId="7" borderId="0" xfId="0" applyFont="1" applyFill="1" applyAlignment="1">
      <alignment horizontal="left"/>
    </xf>
    <xf numFmtId="0" fontId="10" fillId="0" borderId="0" xfId="1" applyFont="1" applyFill="1" applyAlignment="1">
      <alignment horizontal="left"/>
    </xf>
    <xf numFmtId="0" fontId="10" fillId="0" borderId="0" xfId="2" applyFont="1" applyFill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 applyAlignment="1">
      <alignment horizontal="left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10" fillId="8" borderId="2" xfId="0" applyFont="1" applyFill="1" applyBorder="1" applyAlignment="1">
      <alignment horizontal="left"/>
    </xf>
    <xf numFmtId="49" fontId="8" fillId="0" borderId="0" xfId="0" applyNumberFormat="1" applyFont="1"/>
    <xf numFmtId="49" fontId="10" fillId="0" borderId="0" xfId="0" applyNumberFormat="1" applyFont="1" applyAlignment="1">
      <alignment horizontal="left"/>
    </xf>
    <xf numFmtId="49" fontId="10" fillId="0" borderId="0" xfId="3" applyNumberFormat="1" applyFont="1" applyFill="1" applyAlignment="1">
      <alignment horizontal="left"/>
    </xf>
    <xf numFmtId="49" fontId="10" fillId="0" borderId="0" xfId="1" applyNumberFormat="1" applyFont="1" applyFill="1" applyAlignment="1">
      <alignment horizontal="left"/>
    </xf>
    <xf numFmtId="49" fontId="10" fillId="0" borderId="0" xfId="2" applyNumberFormat="1" applyFont="1" applyFill="1" applyAlignment="1">
      <alignment horizontal="left"/>
    </xf>
    <xf numFmtId="49" fontId="10" fillId="0" borderId="0" xfId="0" applyNumberFormat="1" applyFon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 indent="1"/>
    </xf>
    <xf numFmtId="0" fontId="10" fillId="7" borderId="0" xfId="0" applyFont="1" applyFill="1"/>
  </cellXfs>
  <cellStyles count="4">
    <cellStyle name="20% - Accent1" xfId="3" builtinId="30"/>
    <cellStyle name="Accent1" xfId="2" builtinId="29"/>
    <cellStyle name="Normal" xfId="0" builtinId="0"/>
    <cellStyle name="Warning Text" xfId="1" builtinId="11"/>
  </cellStyles>
  <dxfs count="10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ron, Connor" refreshedDate="46037.531063541668" createdVersion="8" refreshedVersion="8" minRefreshableVersion="3" recordCount="417" xr:uid="{06F83B3D-EB0A-4206-8A28-04A77D783A05}">
  <cacheSource type="worksheet">
    <worksheetSource ref="A1:F1048576" sheet="Tool Body By Method"/>
  </cacheSource>
  <cacheFields count="6">
    <cacheField name="Size" numFmtId="0">
      <sharedItems containsString="0" containsBlank="1" containsNumber="1" containsInteger="1" minValue="4" maxValue="42" count="14">
        <n v="4"/>
        <n v="6"/>
        <n v="8"/>
        <n v="10"/>
        <n v="12"/>
        <n v="14"/>
        <n v="16"/>
        <n v="18"/>
        <n v="20"/>
        <n v="24"/>
        <n v="26"/>
        <n v="30"/>
        <m/>
        <n v="42"/>
      </sharedItems>
    </cacheField>
    <cacheField name="Tool Name (Short)" numFmtId="0">
      <sharedItems containsBlank="1"/>
    </cacheField>
    <cacheField name="Tool Name Full" numFmtId="0">
      <sharedItems containsBlank="1" count="55">
        <s v="4&quot; DEF. DAA ASSY"/>
        <s v="4&quot; AMAG ASSY (MFL)"/>
        <s v="4&quot; MDS COMBO"/>
        <s v="4&quot; NH3"/>
        <s v="6&quot; DEF. DAA ASSY  HD"/>
        <s v="6&quot; DEF. DAA ASSY XHD"/>
        <s v="6&quot; AMAG ASSY (MFL3) HD NoXMIT"/>
        <s v="6&quot; AMAG ASSY (MFL5) "/>
        <s v="6&quot; LGT &amp; K360"/>
        <s v="6&quot; MDS PRO"/>
        <s v="6&quot; MDS Flex"/>
        <s v="6&quot; NH3"/>
        <s v="6&quot; MFL (NH3) "/>
        <m/>
        <s v="10&quot; DAA ASSY (DEF ARM)"/>
        <s v="10&quot; AMAG ASSY (MFL)"/>
        <s v="10&quot; GMAG ASSY. (GMFL+GDEF)"/>
        <s v="10&quot; MDS "/>
        <s v="10&quot; DEF (NH3)"/>
        <s v="10&quot; MFL (NH3)"/>
        <s v="10&quot; EMAT"/>
        <s v="12&quot; ULTRA REZ PRO"/>
        <s v="12&quot; DAA ASSY (DEF ARM)"/>
        <s v="12&quot; AMAG ASSY (MFL)"/>
        <s v="12&quot; GMAG ASSY (GMFL+DEF)"/>
        <s v="12&quot; MDS"/>
        <s v="12&quot; MDS UR"/>
        <s v="12/14&quot; LGT"/>
        <s v="12&quot; EMAT"/>
        <s v="14&quot; GMAT"/>
        <s v="16&quot; DAA ASSY. (DEF)"/>
        <s v="16&quot; DAA ASSY (GDEF)"/>
        <s v="16&quot; DAA ASSY (MGDEF)"/>
        <s v="16&quot; MFL ASSY. (MFL)"/>
        <s v="16&quot; GMAG ASSY. (GMFL)"/>
        <s v="16&quot; MDS"/>
        <s v="16&quot; EMAT"/>
        <s v="18&quot; GMAG ASSY. (GMFL)"/>
        <s v="18&quot; MGDEF ASSY."/>
        <s v="20&quot; DEF. DAA ASSY"/>
        <s v="20&quot; MFL . DAA ASSY"/>
        <s v="20&quot; GMAG ASSY. (GMFL)"/>
        <s v="20&quot; MDS"/>
        <s v="24&quot; DEF"/>
        <s v="24&quot; GMAG ASSY. (GMFL)"/>
        <s v="24&quot; MDS"/>
        <s v="26&quot; DEF"/>
        <s v="26&quot; GMAG ASSY. (GMFL)"/>
        <s v="26&quot; MDS"/>
        <s v="30&quot; GMAG ASS. (GMFL)"/>
        <s v="30&quot; MDS"/>
        <s v="36&quot; DEF"/>
        <s v="36&quot; GMAG ASS. (GMFL)"/>
        <s v="42&quot; DEF + GMFL"/>
        <s v="36&quot;-48&quot; DUEL DIAMETER DEF"/>
      </sharedItems>
    </cacheField>
    <cacheField name="Tool Config" numFmtId="0">
      <sharedItems containsBlank="1" containsMixedTypes="1" containsNumber="1" containsInteger="1" minValue="101050" maxValue="129313"/>
    </cacheField>
    <cacheField name="Component" numFmtId="0">
      <sharedItems containsBlank="1" containsMixedTypes="1" containsNumber="1" containsInteger="1" minValue="100035" maxValue="129825" count="279">
        <s v="04_105"/>
        <s v="04_610"/>
        <s v="04_632"/>
        <n v="118517"/>
        <n v="112402"/>
        <s v="04_200"/>
        <n v="112502"/>
        <n v="118107"/>
        <n v="116490"/>
        <n v="117949"/>
        <n v="121753"/>
        <n v="118211"/>
        <n v="118113"/>
        <n v="115338"/>
        <n v="118520"/>
        <n v="115390"/>
        <s v="06_605"/>
        <s v="06_6001"/>
        <n v="105639"/>
        <n v="116958"/>
        <n v="113729"/>
        <n v="122983"/>
        <n v="116553"/>
        <n v="124785"/>
        <n v="106487"/>
        <s v="N/A"/>
        <n v="106498"/>
        <n v="105941"/>
        <n v="117860"/>
        <s v="116399-01"/>
        <n v="100238"/>
        <s v="06_201"/>
        <n v="116764"/>
        <n v="116937"/>
        <n v="103821"/>
        <n v="105683"/>
        <n v="103837"/>
        <n v="103834"/>
        <n v="112231"/>
        <n v="113045"/>
        <n v="112196"/>
        <n v="113039"/>
        <n v="112707"/>
        <n v="112713"/>
        <n v="112174"/>
        <n v="129712"/>
        <n v="129825"/>
        <n v="113239"/>
        <n v="102784"/>
        <n v="107216"/>
        <n v="117168"/>
        <n v="107221"/>
        <n v="110269"/>
        <m/>
        <n v="104146"/>
        <n v="108564"/>
        <n v="108342"/>
        <n v="116394"/>
        <n v="109528"/>
        <n v="104013"/>
        <n v="101437"/>
        <n v="109401"/>
        <n v="108532"/>
        <n v="116461"/>
        <n v="109919"/>
        <n v="102058"/>
        <s v="08_215"/>
        <n v="106682"/>
        <n v="110180"/>
        <n v="122013"/>
        <n v="106762"/>
        <n v="110255"/>
        <n v="114560"/>
        <n v="110472"/>
        <n v="118621"/>
        <n v="108704"/>
        <n v="121111"/>
        <n v="120927"/>
        <n v="120931"/>
        <n v="121003"/>
        <n v="121074"/>
        <n v="121437"/>
        <n v="120950"/>
        <n v="106751"/>
        <n v="120946"/>
        <n v="107068"/>
        <n v="107269"/>
        <n v="106981"/>
        <n v="106996"/>
        <n v="116943"/>
        <s v="08_652"/>
        <n v="112179"/>
        <s v="06_552"/>
        <s v="10_651"/>
        <n v="115617"/>
        <s v="108525-02"/>
        <n v="112058"/>
        <n v="105585"/>
        <s v="10_120"/>
        <s v="10_201"/>
        <n v="100812"/>
        <n v="108557"/>
        <n v="108551"/>
        <n v="110617"/>
        <n v="112131"/>
        <s v="108525-01"/>
        <n v="113727"/>
        <n v="102324"/>
        <n v="108051"/>
        <n v="123689"/>
        <n v="110257"/>
        <n v="108307"/>
        <n v="108081"/>
        <n v="109595"/>
        <n v="117694"/>
        <n v="107267"/>
        <n v="107984"/>
        <n v="118199"/>
        <n v="110279"/>
        <n v="118070"/>
        <n v="119658"/>
        <n v="111201"/>
        <n v="111202"/>
        <n v="120708"/>
        <n v="118262"/>
        <n v="109206"/>
        <n v="120459"/>
        <n v="113097"/>
        <n v="108872"/>
        <n v="111717"/>
        <n v="108881"/>
        <n v="116405"/>
        <n v="108908"/>
        <n v="116431"/>
        <n v="108593"/>
        <n v="112106"/>
        <n v="108595"/>
        <s v="12_201"/>
        <n v="108359"/>
        <n v="112093"/>
        <n v="108716"/>
        <n v="109088"/>
        <n v="108570"/>
        <n v="108753"/>
        <n v="114368"/>
        <n v="129645"/>
        <s v="112050-01"/>
        <n v="121994"/>
        <n v="121980"/>
        <n v="118414"/>
        <n v="118405"/>
        <n v="108764"/>
        <n v="108566"/>
        <n v="117262"/>
        <n v="109068"/>
        <n v="109067"/>
        <n v="109071"/>
        <n v="117081"/>
        <n v="107013"/>
        <n v="109176"/>
        <n v="109078"/>
        <n v="100787"/>
        <n v="109173"/>
        <n v="109113"/>
        <n v="113572"/>
        <s v="16_202"/>
        <n v="108775"/>
        <n v="109079"/>
        <n v="118313"/>
        <n v="112856"/>
        <n v="109250"/>
        <n v="107166"/>
        <n v="108982"/>
        <n v="120589"/>
        <n v="108959"/>
        <n v="108977"/>
        <n v="108958"/>
        <n v="109845"/>
        <n v="113581"/>
        <n v="109011"/>
        <n v="113583"/>
        <n v="123590"/>
        <n v="123585"/>
        <n v="112884"/>
        <n v="112078"/>
        <s v="117081-01"/>
        <n v="112548"/>
        <n v="112539"/>
        <n v="109117"/>
        <n v="100213"/>
        <n v="109348"/>
        <n v="109314"/>
        <n v="109322"/>
        <n v="129550"/>
        <n v="109408"/>
        <n v="120833"/>
        <n v="117754"/>
        <n v="105850"/>
        <n v="109104"/>
        <s v="20_315"/>
        <n v="109101"/>
        <n v="109098"/>
        <n v="111591"/>
        <n v="117335"/>
        <n v="108159"/>
        <n v="112959"/>
        <n v="112964"/>
        <n v="112960"/>
        <n v="120123"/>
        <s v="111278-01"/>
        <n v="111283"/>
        <n v="111280"/>
        <n v="111284"/>
        <s v="112947-01"/>
        <n v="112950"/>
        <n v="112949"/>
        <s v="130765-01"/>
        <n v="102397"/>
        <n v="109099"/>
        <s v="109096-01"/>
        <n v="109093"/>
        <s v="111021-03"/>
        <s v="110468-01"/>
        <n v="118879"/>
        <s v="110713-01"/>
        <n v="110708"/>
        <n v="110710"/>
        <s v="110647-03"/>
        <n v="111336"/>
        <n v="109687"/>
        <n v="109936"/>
        <n v="105440"/>
        <n v="110489"/>
        <n v="103769"/>
        <n v="110879"/>
        <n v="110887"/>
        <n v="115167"/>
        <n v="115166"/>
        <s v="109363-01"/>
        <n v="109364"/>
        <n v="116188"/>
        <n v="120072"/>
        <n v="118950"/>
        <n v="118953"/>
        <n v="118962"/>
        <n v="105431"/>
        <n v="109360"/>
        <n v="111574"/>
        <n v="115091"/>
        <n v="113138"/>
        <n v="120020"/>
        <s v="115109-01"/>
        <n v="119346"/>
        <n v="115110"/>
        <n v="115759"/>
        <n v="111604"/>
        <s v="36_503"/>
        <n v="100035"/>
        <n v="112572"/>
        <n v="112569"/>
        <n v="117589"/>
        <n v="109615"/>
        <s v="117762-01"/>
        <s v="107272-02"/>
        <n v="110531"/>
        <n v="105208"/>
        <n v="116760"/>
        <n v="111875"/>
        <n v="105988"/>
        <n v="118450"/>
        <n v="118725"/>
        <n v="111616"/>
        <s v="106030-02"/>
        <n v="110131"/>
        <n v="107405"/>
        <n v="117572"/>
        <n v="108176"/>
        <n v="107480"/>
        <n v="107460"/>
      </sharedItems>
    </cacheField>
    <cacheField name="Component Name" numFmtId="0">
      <sharedItems containsBlank="1" count="63">
        <s v="DRV"/>
        <s v="DEF"/>
        <s v="CPU"/>
        <s v="BAT"/>
        <s v="XMIT"/>
        <s v="MFL"/>
        <s v="MCPU"/>
        <s v="BATT"/>
        <s v="SMFL"/>
        <s v="SMFL 2"/>
        <s v="DEF Fr Plate"/>
        <s v="MLOG"/>
        <m/>
        <s v="GMFL"/>
        <s v="2nd DRV"/>
        <s v="RES"/>
        <s v="SMFL 1"/>
        <s v="LFM"/>
        <s v="ENDPLATE, REAR, LFM"/>
        <s v="BATT ENDPLATE"/>
        <s v="BATT CANISTER"/>
        <s v="DRV/BAT"/>
        <s v="GCPU"/>
        <s v="DEF CPU"/>
        <s v="GDEF"/>
        <s v="MGCPU"/>
        <s v="MAP"/>
        <s v="EMAG 1"/>
        <s v="EMAG 2."/>
        <s v="EMAG 3"/>
        <s v="R ENDPLATE MFL"/>
        <s v="R ENDPLATE LFM"/>
        <s v="DEF MAP"/>
        <s v="GXMIT"/>
        <s v="XYZ"/>
        <s v="DUAL DRV"/>
        <s v="LFM BATT"/>
        <s v="DEF BATT"/>
        <s v="GBAT"/>
        <s v="GBATT"/>
        <s v="GDRV"/>
        <s v="MGDEF"/>
        <s v="XMIT PLATE"/>
        <s v="STINGER XMIT"/>
        <s v="WHEEL-CANISTER, MAPPING, 20&quot;-24&quot;"/>
        <s v="MAPPING POWER"/>
        <s v="SMFL2"/>
        <s v="MFL ENDPLATE"/>
        <s v="DEF Rear Enplate (Wheel Support)"/>
        <s v="DEF ENDPLATE"/>
        <s v="DEF Rear Endplate (Brush Support)"/>
        <s v="BAT ENDPLATE"/>
        <s v="XMIT ENDPLATE"/>
        <s v="3 BATT"/>
        <s v="DRV/DEF"/>
        <s v="REAR CPU"/>
        <s v="FRONT BATT"/>
        <s v="DEF BAT"/>
        <s v="ODO XMIT"/>
        <s v="REAR END PLATE"/>
        <s v="MAG"/>
        <s v="ODO"/>
        <s v="DEF BAT END PLA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7">
  <r>
    <x v="0"/>
    <s v="4&quot; Def"/>
    <x v="0"/>
    <s v="04_600"/>
    <x v="0"/>
    <x v="0"/>
  </r>
  <r>
    <x v="0"/>
    <s v="4&quot; Def"/>
    <x v="0"/>
    <s v="04_600"/>
    <x v="1"/>
    <x v="1"/>
  </r>
  <r>
    <x v="0"/>
    <s v="4&quot; Def"/>
    <x v="0"/>
    <s v="04_600"/>
    <x v="2"/>
    <x v="2"/>
  </r>
  <r>
    <x v="0"/>
    <s v="4&quot; Def"/>
    <x v="0"/>
    <s v="04_600"/>
    <x v="3"/>
    <x v="3"/>
  </r>
  <r>
    <x v="0"/>
    <s v="4&quot; Def"/>
    <x v="0"/>
    <s v="04_600"/>
    <x v="4"/>
    <x v="4"/>
  </r>
  <r>
    <x v="0"/>
    <s v="4&quot;MFL"/>
    <x v="1"/>
    <s v="04_001"/>
    <x v="0"/>
    <x v="0"/>
  </r>
  <r>
    <x v="0"/>
    <s v="4&quot;MFL"/>
    <x v="1"/>
    <s v="04_001"/>
    <x v="5"/>
    <x v="5"/>
  </r>
  <r>
    <x v="0"/>
    <s v="4&quot;MFL"/>
    <x v="1"/>
    <s v="04_001"/>
    <x v="6"/>
    <x v="2"/>
  </r>
  <r>
    <x v="0"/>
    <s v="4&quot;MFL"/>
    <x v="1"/>
    <s v="04_001"/>
    <x v="3"/>
    <x v="3"/>
  </r>
  <r>
    <x v="0"/>
    <s v="4&quot;MFL"/>
    <x v="1"/>
    <s v="04_001"/>
    <x v="4"/>
    <x v="4"/>
  </r>
  <r>
    <x v="0"/>
    <s v="4&quot; MDS"/>
    <x v="2"/>
    <n v="121771"/>
    <x v="7"/>
    <x v="0"/>
  </r>
  <r>
    <x v="0"/>
    <s v="4&quot; MDS"/>
    <x v="2"/>
    <n v="121771"/>
    <x v="8"/>
    <x v="1"/>
  </r>
  <r>
    <x v="0"/>
    <s v="4&quot; MDS"/>
    <x v="2"/>
    <n v="121771"/>
    <x v="9"/>
    <x v="2"/>
  </r>
  <r>
    <x v="0"/>
    <s v="4&quot; MDS"/>
    <x v="2"/>
    <n v="121771"/>
    <x v="10"/>
    <x v="3"/>
  </r>
  <r>
    <x v="0"/>
    <s v="4&quot; MDS"/>
    <x v="2"/>
    <n v="121771"/>
    <x v="11"/>
    <x v="5"/>
  </r>
  <r>
    <x v="0"/>
    <s v="4&quot; MDS"/>
    <x v="2"/>
    <n v="121771"/>
    <x v="12"/>
    <x v="4"/>
  </r>
  <r>
    <x v="0"/>
    <s v="4&quot; NH3"/>
    <x v="3"/>
    <n v="115675"/>
    <x v="0"/>
    <x v="0"/>
  </r>
  <r>
    <x v="0"/>
    <s v="4&quot; NH3"/>
    <x v="3"/>
    <n v="115675"/>
    <x v="1"/>
    <x v="1"/>
  </r>
  <r>
    <x v="0"/>
    <s v="4&quot; NH3"/>
    <x v="3"/>
    <n v="115675"/>
    <x v="13"/>
    <x v="2"/>
  </r>
  <r>
    <x v="0"/>
    <s v="4&quot; NH3"/>
    <x v="3"/>
    <n v="115675"/>
    <x v="14"/>
    <x v="3"/>
  </r>
  <r>
    <x v="0"/>
    <s v="4&quot; NH3"/>
    <x v="3"/>
    <n v="115675"/>
    <x v="14"/>
    <x v="3"/>
  </r>
  <r>
    <x v="0"/>
    <s v="4&quot; NH3"/>
    <x v="3"/>
    <n v="115675"/>
    <x v="15"/>
    <x v="4"/>
  </r>
  <r>
    <x v="1"/>
    <s v="6&quot; Def"/>
    <x v="4"/>
    <s v="06_6000"/>
    <x v="16"/>
    <x v="0"/>
  </r>
  <r>
    <x v="1"/>
    <s v="6&quot; Def"/>
    <x v="4"/>
    <s v="06_6000"/>
    <x v="17"/>
    <x v="1"/>
  </r>
  <r>
    <x v="1"/>
    <s v="6&quot; Def"/>
    <x v="4"/>
    <s v="06_6000"/>
    <x v="18"/>
    <x v="2"/>
  </r>
  <r>
    <x v="1"/>
    <s v="6&quot; Def"/>
    <x v="4"/>
    <s v="06_6000"/>
    <x v="19"/>
    <x v="3"/>
  </r>
  <r>
    <x v="1"/>
    <s v="6&quot; Def"/>
    <x v="4"/>
    <s v="06_6000"/>
    <x v="20"/>
    <x v="4"/>
  </r>
  <r>
    <x v="1"/>
    <s v="6&quot; Def"/>
    <x v="4"/>
    <s v="06_6000"/>
    <x v="21"/>
    <x v="6"/>
  </r>
  <r>
    <x v="1"/>
    <s v="6&quot; Def"/>
    <x v="5"/>
    <n v="126981"/>
    <x v="16"/>
    <x v="0"/>
  </r>
  <r>
    <x v="1"/>
    <s v="6&quot; Def"/>
    <x v="5"/>
    <n v="126981"/>
    <x v="17"/>
    <x v="1"/>
  </r>
  <r>
    <x v="1"/>
    <s v="6&quot; Def"/>
    <x v="5"/>
    <n v="126981"/>
    <x v="22"/>
    <x v="2"/>
  </r>
  <r>
    <x v="1"/>
    <s v="6&quot; Def"/>
    <x v="5"/>
    <n v="126981"/>
    <x v="19"/>
    <x v="3"/>
  </r>
  <r>
    <x v="1"/>
    <s v="6&quot; Def"/>
    <x v="5"/>
    <n v="126981"/>
    <x v="23"/>
    <x v="4"/>
  </r>
  <r>
    <x v="1"/>
    <s v="6&quot; Def"/>
    <x v="5"/>
    <n v="126981"/>
    <x v="21"/>
    <x v="6"/>
  </r>
  <r>
    <x v="1"/>
    <s v="6&quot; MFL"/>
    <x v="6"/>
    <n v="106496"/>
    <x v="24"/>
    <x v="0"/>
  </r>
  <r>
    <x v="1"/>
    <s v="6&quot; MFL"/>
    <x v="6"/>
    <n v="106496"/>
    <x v="25"/>
    <x v="5"/>
  </r>
  <r>
    <x v="1"/>
    <s v="6&quot; MFL"/>
    <x v="6"/>
    <n v="106496"/>
    <x v="26"/>
    <x v="2"/>
  </r>
  <r>
    <x v="1"/>
    <s v="6&quot; MFL"/>
    <x v="6"/>
    <n v="106496"/>
    <x v="27"/>
    <x v="6"/>
  </r>
  <r>
    <x v="1"/>
    <s v="6&quot; MFL"/>
    <x v="6"/>
    <n v="106496"/>
    <x v="28"/>
    <x v="7"/>
  </r>
  <r>
    <x v="1"/>
    <s v="6&quot; MFL"/>
    <x v="6"/>
    <n v="106496"/>
    <x v="29"/>
    <x v="7"/>
  </r>
  <r>
    <x v="1"/>
    <s v="6&quot; MFL"/>
    <x v="6"/>
    <n v="106496"/>
    <x v="30"/>
    <x v="4"/>
  </r>
  <r>
    <x v="1"/>
    <s v="6&quot; MFL"/>
    <x v="7"/>
    <n v="116459"/>
    <x v="16"/>
    <x v="0"/>
  </r>
  <r>
    <x v="1"/>
    <s v="6&quot; MFL"/>
    <x v="7"/>
    <n v="116459"/>
    <x v="31"/>
    <x v="5"/>
  </r>
  <r>
    <x v="1"/>
    <s v="6&quot; MFL"/>
    <x v="7"/>
    <n v="116459"/>
    <x v="22"/>
    <x v="2"/>
  </r>
  <r>
    <x v="1"/>
    <s v="6&quot; MFL"/>
    <x v="7"/>
    <n v="116459"/>
    <x v="32"/>
    <x v="3"/>
  </r>
  <r>
    <x v="1"/>
    <s v="6&quot; MFL"/>
    <x v="7"/>
    <n v="116459"/>
    <x v="33"/>
    <x v="4"/>
  </r>
  <r>
    <x v="1"/>
    <s v="6&quot; LGT"/>
    <x v="8"/>
    <n v="105681"/>
    <x v="34"/>
    <x v="0"/>
  </r>
  <r>
    <x v="1"/>
    <s v="6&quot; LGT"/>
    <x v="8"/>
    <n v="105681"/>
    <x v="35"/>
    <x v="1"/>
  </r>
  <r>
    <x v="1"/>
    <s v="6&quot; LGT"/>
    <x v="8"/>
    <n v="105681"/>
    <x v="36"/>
    <x v="2"/>
  </r>
  <r>
    <x v="1"/>
    <s v="6&quot; LGT"/>
    <x v="8"/>
    <n v="105681"/>
    <x v="3"/>
    <x v="3"/>
  </r>
  <r>
    <x v="1"/>
    <s v="6&quot; LGT"/>
    <x v="8"/>
    <n v="105681"/>
    <x v="37"/>
    <x v="4"/>
  </r>
  <r>
    <x v="1"/>
    <s v="6&quot; MDS PRO"/>
    <x v="9"/>
    <s v="112200-01-01-01-01"/>
    <x v="38"/>
    <x v="0"/>
  </r>
  <r>
    <x v="1"/>
    <s v="6&quot; MDS PRO"/>
    <x v="9"/>
    <s v="112200-01-01-01-01"/>
    <x v="38"/>
    <x v="0"/>
  </r>
  <r>
    <x v="1"/>
    <s v="6&quot; MDS PRO"/>
    <x v="9"/>
    <s v="112200-01-01-01-01"/>
    <x v="39"/>
    <x v="8"/>
  </r>
  <r>
    <x v="1"/>
    <s v="6&quot; MDS PRO"/>
    <x v="9"/>
    <s v="112200-01-01-01-01"/>
    <x v="40"/>
    <x v="9"/>
  </r>
  <r>
    <x v="1"/>
    <s v="6&quot; MDS PRO"/>
    <x v="9"/>
    <s v="112200-01-01-01-01"/>
    <x v="41"/>
    <x v="10"/>
  </r>
  <r>
    <x v="1"/>
    <s v="6&quot; MDS PRO"/>
    <x v="9"/>
    <s v="112200-01-01-01-01"/>
    <x v="42"/>
    <x v="1"/>
  </r>
  <r>
    <x v="1"/>
    <s v="6&quot; MDS PRO"/>
    <x v="9"/>
    <s v="112200-01-01-01-01"/>
    <x v="43"/>
    <x v="7"/>
  </r>
  <r>
    <x v="1"/>
    <s v="6&quot; MDS PRO"/>
    <x v="9"/>
    <s v="112200-01-01-01-01"/>
    <x v="44"/>
    <x v="5"/>
  </r>
  <r>
    <x v="1"/>
    <s v="6&quot; MDS PRO"/>
    <x v="9"/>
    <s v="112200-01-01-01-01"/>
    <x v="45"/>
    <x v="11"/>
  </r>
  <r>
    <x v="1"/>
    <s v="6&quot; MDS PRO"/>
    <x v="9"/>
    <s v="112200-01-01-01-01"/>
    <x v="46"/>
    <x v="7"/>
  </r>
  <r>
    <x v="1"/>
    <s v="6&quot; MDS Flex"/>
    <x v="10"/>
    <s v="112200-01-00-01-01"/>
    <x v="38"/>
    <x v="0"/>
  </r>
  <r>
    <x v="1"/>
    <s v="6&quot; MDS Flex"/>
    <x v="10"/>
    <s v="112200-01-00-01-01"/>
    <x v="38"/>
    <x v="0"/>
  </r>
  <r>
    <x v="1"/>
    <s v="6&quot; MDS Flex"/>
    <x v="10"/>
    <s v="112200-01-00-01-01"/>
    <x v="41"/>
    <x v="10"/>
  </r>
  <r>
    <x v="1"/>
    <s v="6&quot; MDS Flex"/>
    <x v="10"/>
    <s v="112200-01-00-01-01"/>
    <x v="42"/>
    <x v="1"/>
  </r>
  <r>
    <x v="1"/>
    <s v="6&quot; MDS Flex"/>
    <x v="10"/>
    <s v="112200-01-00-01-01"/>
    <x v="43"/>
    <x v="7"/>
  </r>
  <r>
    <x v="1"/>
    <s v="6&quot; MDS Flex"/>
    <x v="10"/>
    <s v="112200-01-00-01-01"/>
    <x v="44"/>
    <x v="5"/>
  </r>
  <r>
    <x v="1"/>
    <s v="6&quot; NH3"/>
    <x v="11"/>
    <n v="102783"/>
    <x v="47"/>
    <x v="0"/>
  </r>
  <r>
    <x v="1"/>
    <s v="6&quot; NH3"/>
    <x v="11"/>
    <n v="102783"/>
    <x v="48"/>
    <x v="1"/>
  </r>
  <r>
    <x v="1"/>
    <s v="6&quot; NH3"/>
    <x v="11"/>
    <n v="102783"/>
    <x v="49"/>
    <x v="2"/>
  </r>
  <r>
    <x v="1"/>
    <s v="6&quot; NH3"/>
    <x v="11"/>
    <n v="102783"/>
    <x v="50"/>
    <x v="3"/>
  </r>
  <r>
    <x v="1"/>
    <s v="6&quot; NH3"/>
    <x v="11"/>
    <n v="102783"/>
    <x v="51"/>
    <x v="4"/>
  </r>
  <r>
    <x v="1"/>
    <s v="6&quot; MFL (NH3) "/>
    <x v="12"/>
    <s v="06_002"/>
    <x v="47"/>
    <x v="0"/>
  </r>
  <r>
    <x v="1"/>
    <s v="6&quot; MFL (NH3) "/>
    <x v="12"/>
    <s v="06_002"/>
    <x v="31"/>
    <x v="5"/>
  </r>
  <r>
    <x v="1"/>
    <s v="6&quot; MFL (NH3) "/>
    <x v="12"/>
    <s v="06_002"/>
    <x v="52"/>
    <x v="2"/>
  </r>
  <r>
    <x v="1"/>
    <s v="6&quot; MFL (NH3) "/>
    <x v="12"/>
    <s v="06_002"/>
    <x v="50"/>
    <x v="3"/>
  </r>
  <r>
    <x v="1"/>
    <s v="6&quot; MFL (NH3) "/>
    <x v="12"/>
    <s v="06_002"/>
    <x v="51"/>
    <x v="4"/>
  </r>
  <r>
    <x v="1"/>
    <s v="6&quot; MFL+DEF (NH3)"/>
    <x v="13"/>
    <n v="113403"/>
    <x v="53"/>
    <x v="12"/>
  </r>
  <r>
    <x v="2"/>
    <s v="8&quot; DEF"/>
    <x v="13"/>
    <n v="108563"/>
    <x v="54"/>
    <x v="0"/>
  </r>
  <r>
    <x v="2"/>
    <s v="8&quot; DEF"/>
    <x v="13"/>
    <n v="108563"/>
    <x v="55"/>
    <x v="1"/>
  </r>
  <r>
    <x v="2"/>
    <s v="8&quot; DEF"/>
    <x v="13"/>
    <n v="108563"/>
    <x v="56"/>
    <x v="2"/>
  </r>
  <r>
    <x v="2"/>
    <s v="8&quot; DEF"/>
    <x v="13"/>
    <n v="108563"/>
    <x v="57"/>
    <x v="3"/>
  </r>
  <r>
    <x v="2"/>
    <s v="8&quot; DEF"/>
    <x v="13"/>
    <n v="108563"/>
    <x v="58"/>
    <x v="4"/>
  </r>
  <r>
    <x v="2"/>
    <s v="8&quot; DEF"/>
    <x v="13"/>
    <n v="108563"/>
    <x v="59"/>
    <x v="6"/>
  </r>
  <r>
    <x v="2"/>
    <s v="8&quot; GMFL"/>
    <x v="13"/>
    <n v="112056"/>
    <x v="60"/>
    <x v="0"/>
  </r>
  <r>
    <x v="2"/>
    <s v="8&quot; GMFL"/>
    <x v="13"/>
    <n v="112056"/>
    <x v="61"/>
    <x v="13"/>
  </r>
  <r>
    <x v="2"/>
    <s v="8&quot; GMFL"/>
    <x v="13"/>
    <n v="112056"/>
    <x v="62"/>
    <x v="2"/>
  </r>
  <r>
    <x v="2"/>
    <s v="8&quot; GMFL"/>
    <x v="13"/>
    <n v="112056"/>
    <x v="63"/>
    <x v="3"/>
  </r>
  <r>
    <x v="2"/>
    <s v="8&quot; GMFL"/>
    <x v="13"/>
    <n v="112056"/>
    <x v="64"/>
    <x v="4"/>
  </r>
  <r>
    <x v="2"/>
    <s v="8&quot; GMFL"/>
    <x v="13"/>
    <n v="112056"/>
    <x v="65"/>
    <x v="6"/>
  </r>
  <r>
    <x v="2"/>
    <s v="8&quot; MFL"/>
    <x v="13"/>
    <n v="108561"/>
    <x v="54"/>
    <x v="0"/>
  </r>
  <r>
    <x v="2"/>
    <s v="8&quot; MFL"/>
    <x v="13"/>
    <n v="108561"/>
    <x v="66"/>
    <x v="5"/>
  </r>
  <r>
    <x v="2"/>
    <s v="8&quot; MFL"/>
    <x v="13"/>
    <n v="108561"/>
    <x v="56"/>
    <x v="2"/>
  </r>
  <r>
    <x v="2"/>
    <s v="8&quot; MFL"/>
    <x v="13"/>
    <n v="108561"/>
    <x v="57"/>
    <x v="3"/>
  </r>
  <r>
    <x v="2"/>
    <s v="8&quot; MFL"/>
    <x v="13"/>
    <n v="108561"/>
    <x v="58"/>
    <x v="4"/>
  </r>
  <r>
    <x v="2"/>
    <s v="8&quot; MDS V1"/>
    <x v="13"/>
    <n v="123926"/>
    <x v="67"/>
    <x v="0"/>
  </r>
  <r>
    <x v="2"/>
    <s v="8&quot; MDS V1"/>
    <x v="13"/>
    <n v="123926"/>
    <x v="68"/>
    <x v="14"/>
  </r>
  <r>
    <x v="2"/>
    <s v="8&quot; MDS V1"/>
    <x v="13"/>
    <n v="123926"/>
    <x v="69"/>
    <x v="8"/>
  </r>
  <r>
    <x v="2"/>
    <s v="8&quot; MDS V1"/>
    <x v="13"/>
    <n v="123926"/>
    <x v="70"/>
    <x v="2"/>
  </r>
  <r>
    <x v="2"/>
    <s v="8&quot; MDS V1"/>
    <x v="13"/>
    <n v="123926"/>
    <x v="71"/>
    <x v="1"/>
  </r>
  <r>
    <x v="2"/>
    <s v="8&quot; MDS V1"/>
    <x v="13"/>
    <n v="123926"/>
    <x v="72"/>
    <x v="5"/>
  </r>
  <r>
    <x v="2"/>
    <s v="8&quot; MDS V1"/>
    <x v="13"/>
    <n v="123926"/>
    <x v="73"/>
    <x v="15"/>
  </r>
  <r>
    <x v="2"/>
    <s v="8&quot; MDS V1"/>
    <x v="13"/>
    <n v="123926"/>
    <x v="74"/>
    <x v="7"/>
  </r>
  <r>
    <x v="2"/>
    <s v="8&quot; MDS V1"/>
    <x v="13"/>
    <n v="123926"/>
    <x v="73"/>
    <x v="15"/>
  </r>
  <r>
    <x v="2"/>
    <s v="8&quot; MDS V1"/>
    <x v="13"/>
    <n v="123926"/>
    <x v="74"/>
    <x v="7"/>
  </r>
  <r>
    <x v="2"/>
    <s v="8&quot; MDS V1"/>
    <x v="13"/>
    <n v="123926"/>
    <x v="75"/>
    <x v="11"/>
  </r>
  <r>
    <x v="2"/>
    <s v="8&quot; MDS V2 Pro"/>
    <x v="13"/>
    <n v="122500"/>
    <x v="67"/>
    <x v="0"/>
  </r>
  <r>
    <x v="2"/>
    <s v="8&quot; MDS V2 Pro"/>
    <x v="13"/>
    <n v="122500"/>
    <x v="67"/>
    <x v="0"/>
  </r>
  <r>
    <x v="2"/>
    <s v="8&quot; MDS V2 Pro"/>
    <x v="13"/>
    <n v="122500"/>
    <x v="68"/>
    <x v="14"/>
  </r>
  <r>
    <x v="2"/>
    <s v="8&quot; MDS V2 Pro"/>
    <x v="13"/>
    <n v="122500"/>
    <x v="76"/>
    <x v="16"/>
  </r>
  <r>
    <x v="2"/>
    <s v="8&quot; MDS V2 Pro"/>
    <x v="13"/>
    <n v="122500"/>
    <x v="76"/>
    <x v="9"/>
  </r>
  <r>
    <x v="2"/>
    <s v="8&quot; MDS V2 Pro"/>
    <x v="13"/>
    <n v="122500"/>
    <x v="77"/>
    <x v="1"/>
  </r>
  <r>
    <x v="2"/>
    <s v="8&quot; MDS V2 Pro"/>
    <x v="13"/>
    <n v="122500"/>
    <x v="78"/>
    <x v="2"/>
  </r>
  <r>
    <x v="2"/>
    <s v="8&quot; MDS V2 Pro"/>
    <x v="13"/>
    <n v="122500"/>
    <x v="79"/>
    <x v="5"/>
  </r>
  <r>
    <x v="2"/>
    <s v="8&quot; MDS V2 Pro"/>
    <x v="13"/>
    <n v="122500"/>
    <x v="80"/>
    <x v="17"/>
  </r>
  <r>
    <x v="2"/>
    <s v="8&quot; MDS V2 Pro"/>
    <x v="13"/>
    <n v="122500"/>
    <x v="81"/>
    <x v="18"/>
  </r>
  <r>
    <x v="2"/>
    <s v="8&quot; MDS V2 Pro"/>
    <x v="13"/>
    <n v="122500"/>
    <x v="82"/>
    <x v="19"/>
  </r>
  <r>
    <x v="2"/>
    <s v="8&quot; MDS V2 Pro"/>
    <x v="13"/>
    <n v="122500"/>
    <x v="83"/>
    <x v="20"/>
  </r>
  <r>
    <x v="2"/>
    <s v="8&quot; MDS V2 Pro"/>
    <x v="13"/>
    <n v="122500"/>
    <x v="84"/>
    <x v="11"/>
  </r>
  <r>
    <x v="2"/>
    <s v="8&quot; MDS V2 Flex"/>
    <x v="13"/>
    <n v="129313"/>
    <x v="67"/>
    <x v="0"/>
  </r>
  <r>
    <x v="2"/>
    <s v="8&quot; MDS V2 Flex"/>
    <x v="13"/>
    <n v="129313"/>
    <x v="67"/>
    <x v="0"/>
  </r>
  <r>
    <x v="2"/>
    <s v="8&quot; MDS V2 Flex"/>
    <x v="13"/>
    <n v="129313"/>
    <x v="68"/>
    <x v="14"/>
  </r>
  <r>
    <x v="2"/>
    <s v="8&quot; MDS V2 Flex"/>
    <x v="13"/>
    <n v="129313"/>
    <x v="77"/>
    <x v="1"/>
  </r>
  <r>
    <x v="2"/>
    <s v="8&quot; MDS V2 Flex"/>
    <x v="13"/>
    <n v="129313"/>
    <x v="78"/>
    <x v="2"/>
  </r>
  <r>
    <x v="2"/>
    <s v="8&quot; MDS V2 Flex"/>
    <x v="13"/>
    <n v="129313"/>
    <x v="79"/>
    <x v="5"/>
  </r>
  <r>
    <x v="2"/>
    <s v="8&quot; MDS V2 Flex"/>
    <x v="13"/>
    <n v="129313"/>
    <x v="81"/>
    <x v="18"/>
  </r>
  <r>
    <x v="2"/>
    <s v="8&quot; MDS V2 Flex"/>
    <x v="13"/>
    <n v="129313"/>
    <x v="82"/>
    <x v="19"/>
  </r>
  <r>
    <x v="2"/>
    <s v="8&quot; MDS V2 Flex"/>
    <x v="13"/>
    <n v="129313"/>
    <x v="83"/>
    <x v="20"/>
  </r>
  <r>
    <x v="2"/>
    <s v="8&quot; MDS V2 Flex"/>
    <x v="13"/>
    <n v="129313"/>
    <x v="84"/>
    <x v="11"/>
  </r>
  <r>
    <x v="2"/>
    <s v="8&quot; NH3 "/>
    <x v="13"/>
    <n v="106626"/>
    <x v="85"/>
    <x v="0"/>
  </r>
  <r>
    <x v="2"/>
    <s v="8&quot; NH3 "/>
    <x v="13"/>
    <n v="106626"/>
    <x v="86"/>
    <x v="1"/>
  </r>
  <r>
    <x v="2"/>
    <s v="8&quot; NH3 "/>
    <x v="13"/>
    <n v="106626"/>
    <x v="87"/>
    <x v="2"/>
  </r>
  <r>
    <x v="2"/>
    <s v="8&quot; NH3 "/>
    <x v="13"/>
    <n v="106626"/>
    <x v="57"/>
    <x v="3"/>
  </r>
  <r>
    <x v="2"/>
    <s v="8&quot; NH3 "/>
    <x v="13"/>
    <n v="106626"/>
    <x v="88"/>
    <x v="4"/>
  </r>
  <r>
    <x v="2"/>
    <s v="8&quot;/10&quot; LGT "/>
    <x v="13"/>
    <s v="10_650"/>
    <x v="89"/>
    <x v="21"/>
  </r>
  <r>
    <x v="2"/>
    <s v="8&quot;/10&quot; LGT "/>
    <x v="13"/>
    <s v="10_650"/>
    <x v="90"/>
    <x v="2"/>
  </r>
  <r>
    <x v="2"/>
    <s v="8&quot;/10&quot; LGT "/>
    <x v="13"/>
    <s v="10_650"/>
    <x v="91"/>
    <x v="1"/>
  </r>
  <r>
    <x v="2"/>
    <s v="8&quot;/10&quot; LGT "/>
    <x v="13"/>
    <s v="10_650"/>
    <x v="92"/>
    <x v="4"/>
  </r>
  <r>
    <x v="2"/>
    <s v="8&quot;/10&quot; LGT "/>
    <x v="13"/>
    <s v="10_650"/>
    <x v="93"/>
    <x v="1"/>
  </r>
  <r>
    <x v="3"/>
    <s v="10&quot; Def"/>
    <x v="14"/>
    <n v="108571"/>
    <x v="94"/>
    <x v="3"/>
  </r>
  <r>
    <x v="3"/>
    <s v="10&quot; Def"/>
    <x v="14"/>
    <n v="108571"/>
    <x v="95"/>
    <x v="2"/>
  </r>
  <r>
    <x v="3"/>
    <s v="10&quot; Def"/>
    <x v="14"/>
    <n v="108571"/>
    <x v="96"/>
    <x v="1"/>
  </r>
  <r>
    <x v="3"/>
    <s v="10&quot; Def"/>
    <x v="14"/>
    <n v="108571"/>
    <x v="58"/>
    <x v="4"/>
  </r>
  <r>
    <x v="3"/>
    <s v="10&quot; Def"/>
    <x v="14"/>
    <n v="108571"/>
    <x v="97"/>
    <x v="6"/>
  </r>
  <r>
    <x v="3"/>
    <s v="10&quot; MFL"/>
    <x v="15"/>
    <n v="110864"/>
    <x v="98"/>
    <x v="0"/>
  </r>
  <r>
    <x v="3"/>
    <s v="10&quot; MFL"/>
    <x v="15"/>
    <n v="110864"/>
    <x v="99"/>
    <x v="5"/>
  </r>
  <r>
    <x v="3"/>
    <s v="10&quot; MFL"/>
    <x v="15"/>
    <n v="110864"/>
    <x v="56"/>
    <x v="2"/>
  </r>
  <r>
    <x v="3"/>
    <s v="10&quot; MFL"/>
    <x v="15"/>
    <n v="110864"/>
    <x v="94"/>
    <x v="3"/>
  </r>
  <r>
    <x v="3"/>
    <s v="10&quot; MFL"/>
    <x v="15"/>
    <n v="110864"/>
    <x v="58"/>
    <x v="4"/>
  </r>
  <r>
    <x v="3"/>
    <s v="10&quot; GMFL+GDEF"/>
    <x v="16"/>
    <n v="108556"/>
    <x v="100"/>
    <x v="0"/>
  </r>
  <r>
    <x v="3"/>
    <s v="10&quot; GMFL+GDEF"/>
    <x v="16"/>
    <n v="108556"/>
    <x v="101"/>
    <x v="13"/>
  </r>
  <r>
    <x v="3"/>
    <s v="10&quot; GMFL+GDEF"/>
    <x v="16"/>
    <n v="108556"/>
    <x v="102"/>
    <x v="22"/>
  </r>
  <r>
    <x v="3"/>
    <s v="10&quot; GMFL+GDEF"/>
    <x v="16"/>
    <n v="108556"/>
    <x v="103"/>
    <x v="3"/>
  </r>
  <r>
    <x v="3"/>
    <s v="10&quot; GMFL+GDEF"/>
    <x v="16"/>
    <n v="108556"/>
    <x v="104"/>
    <x v="4"/>
  </r>
  <r>
    <x v="3"/>
    <s v="10&quot; GMFL+GDEF"/>
    <x v="16"/>
    <n v="108556"/>
    <x v="105"/>
    <x v="23"/>
  </r>
  <r>
    <x v="3"/>
    <s v="10&quot; GMFL+GDEF"/>
    <x v="16"/>
    <n v="108556"/>
    <x v="106"/>
    <x v="24"/>
  </r>
  <r>
    <x v="3"/>
    <s v="10&quot; GMFL+GDEF"/>
    <x v="16"/>
    <n v="108556"/>
    <x v="107"/>
    <x v="25"/>
  </r>
  <r>
    <x v="3"/>
    <s v="10&quot; MDS "/>
    <x v="17"/>
    <m/>
    <x v="108"/>
    <x v="0"/>
  </r>
  <r>
    <x v="3"/>
    <s v="10&quot; MDS "/>
    <x v="17"/>
    <m/>
    <x v="109"/>
    <x v="8"/>
  </r>
  <r>
    <x v="3"/>
    <s v="10&quot; MDS "/>
    <x v="17"/>
    <m/>
    <x v="110"/>
    <x v="1"/>
  </r>
  <r>
    <x v="3"/>
    <s v="10&quot; MDS "/>
    <x v="17"/>
    <m/>
    <x v="111"/>
    <x v="2"/>
  </r>
  <r>
    <x v="3"/>
    <s v="10&quot; MDS "/>
    <x v="17"/>
    <m/>
    <x v="112"/>
    <x v="5"/>
  </r>
  <r>
    <x v="3"/>
    <s v="10&quot; MDS "/>
    <x v="17"/>
    <m/>
    <x v="113"/>
    <x v="15"/>
  </r>
  <r>
    <x v="3"/>
    <s v="10&quot; MDS "/>
    <x v="17"/>
    <m/>
    <x v="114"/>
    <x v="7"/>
  </r>
  <r>
    <x v="3"/>
    <s v="10&quot; MDS "/>
    <x v="17"/>
    <m/>
    <x v="113"/>
    <x v="15"/>
  </r>
  <r>
    <x v="3"/>
    <s v="10&quot; MDS "/>
    <x v="17"/>
    <m/>
    <x v="114"/>
    <x v="7"/>
  </r>
  <r>
    <x v="3"/>
    <s v="10&quot; MDS "/>
    <x v="17"/>
    <m/>
    <x v="75"/>
    <x v="26"/>
  </r>
  <r>
    <x v="3"/>
    <s v="10&quot; DEF (NH3)"/>
    <x v="18"/>
    <n v="106627"/>
    <x v="94"/>
    <x v="21"/>
  </r>
  <r>
    <x v="3"/>
    <s v="10&quot; DEF (NH3)"/>
    <x v="18"/>
    <n v="106627"/>
    <x v="115"/>
    <x v="1"/>
  </r>
  <r>
    <x v="3"/>
    <s v="10&quot; DEF (NH3)"/>
    <x v="18"/>
    <n v="106627"/>
    <x v="116"/>
    <x v="2"/>
  </r>
  <r>
    <x v="3"/>
    <s v="10&quot; DEF (NH3)"/>
    <x v="18"/>
    <n v="106627"/>
    <x v="117"/>
    <x v="3"/>
  </r>
  <r>
    <x v="3"/>
    <s v="10&quot; DEF (NH3)"/>
    <x v="18"/>
    <n v="106627"/>
    <x v="88"/>
    <x v="4"/>
  </r>
  <r>
    <x v="3"/>
    <s v="10&quot; MFL (NH3)"/>
    <x v="19"/>
    <n v="122986"/>
    <x v="94"/>
    <x v="21"/>
  </r>
  <r>
    <x v="3"/>
    <s v="10&quot; MFL (NH3)"/>
    <x v="19"/>
    <n v="122986"/>
    <x v="96"/>
    <x v="1"/>
  </r>
  <r>
    <x v="3"/>
    <s v="10&quot; MFL (NH3)"/>
    <x v="19"/>
    <n v="122986"/>
    <x v="116"/>
    <x v="2"/>
  </r>
  <r>
    <x v="3"/>
    <s v="10&quot; MFL (NH3)"/>
    <x v="19"/>
    <n v="122986"/>
    <x v="117"/>
    <x v="3"/>
  </r>
  <r>
    <x v="3"/>
    <s v="10&quot; MFL (NH3)"/>
    <x v="19"/>
    <n v="122986"/>
    <x v="88"/>
    <x v="4"/>
  </r>
  <r>
    <x v="3"/>
    <s v="10&quot; MFL (NH3)"/>
    <x v="19"/>
    <n v="122986"/>
    <x v="97"/>
    <x v="6"/>
  </r>
  <r>
    <x v="3"/>
    <m/>
    <x v="13"/>
    <n v="101050"/>
    <x v="94"/>
    <x v="21"/>
  </r>
  <r>
    <x v="3"/>
    <m/>
    <x v="13"/>
    <n v="101050"/>
    <x v="99"/>
    <x v="5"/>
  </r>
  <r>
    <x v="3"/>
    <m/>
    <x v="13"/>
    <n v="101050"/>
    <x v="118"/>
    <x v="2"/>
  </r>
  <r>
    <x v="3"/>
    <m/>
    <x v="13"/>
    <n v="101050"/>
    <x v="119"/>
    <x v="3"/>
  </r>
  <r>
    <x v="3"/>
    <m/>
    <x v="13"/>
    <n v="101050"/>
    <x v="88"/>
    <x v="4"/>
  </r>
  <r>
    <x v="3"/>
    <m/>
    <x v="13"/>
    <n v="101050"/>
    <x v="97"/>
    <x v="6"/>
  </r>
  <r>
    <x v="3"/>
    <s v="10&quot; EMAT"/>
    <x v="20"/>
    <n v="119600"/>
    <x v="120"/>
    <x v="0"/>
  </r>
  <r>
    <x v="3"/>
    <s v="10&quot; EMAT"/>
    <x v="20"/>
    <n v="119600"/>
    <x v="121"/>
    <x v="27"/>
  </r>
  <r>
    <x v="3"/>
    <s v="10&quot; EMAT"/>
    <x v="20"/>
    <n v="119600"/>
    <x v="122"/>
    <x v="28"/>
  </r>
  <r>
    <x v="3"/>
    <s v="10&quot; EMAT"/>
    <x v="20"/>
    <n v="119600"/>
    <x v="123"/>
    <x v="29"/>
  </r>
  <r>
    <x v="3"/>
    <s v="10&quot; EMAT"/>
    <x v="20"/>
    <n v="119600"/>
    <x v="124"/>
    <x v="7"/>
  </r>
  <r>
    <x v="3"/>
    <s v="10&quot; EMAT"/>
    <x v="20"/>
    <n v="119600"/>
    <x v="124"/>
    <x v="7"/>
  </r>
  <r>
    <x v="3"/>
    <s v="10&quot; EMAT"/>
    <x v="20"/>
    <n v="119600"/>
    <x v="124"/>
    <x v="7"/>
  </r>
  <r>
    <x v="4"/>
    <s v="12&quot; MDS UR"/>
    <x v="21"/>
    <m/>
    <x v="125"/>
    <x v="0"/>
  </r>
  <r>
    <x v="4"/>
    <s v="12&quot; MDS UR"/>
    <x v="21"/>
    <m/>
    <x v="126"/>
    <x v="8"/>
  </r>
  <r>
    <x v="4"/>
    <s v="12&quot; MDS UR"/>
    <x v="21"/>
    <m/>
    <x v="127"/>
    <x v="5"/>
  </r>
  <r>
    <x v="4"/>
    <s v="12&quot; MDS UR"/>
    <x v="21"/>
    <m/>
    <x v="128"/>
    <x v="30"/>
  </r>
  <r>
    <x v="4"/>
    <s v="12&quot; MDS UR"/>
    <x v="21"/>
    <m/>
    <x v="129"/>
    <x v="17"/>
  </r>
  <r>
    <x v="4"/>
    <s v="12&quot; MDS UR"/>
    <x v="21"/>
    <m/>
    <x v="130"/>
    <x v="31"/>
  </r>
  <r>
    <x v="4"/>
    <s v="12&quot; MDS UR"/>
    <x v="21"/>
    <m/>
    <x v="131"/>
    <x v="1"/>
  </r>
  <r>
    <x v="4"/>
    <s v="12&quot; MDS UR"/>
    <x v="21"/>
    <m/>
    <x v="132"/>
    <x v="32"/>
  </r>
  <r>
    <x v="4"/>
    <s v="12&quot; DEF"/>
    <x v="22"/>
    <n v="112100"/>
    <x v="133"/>
    <x v="3"/>
  </r>
  <r>
    <x v="4"/>
    <s v="12&quot; DEF"/>
    <x v="22"/>
    <n v="112100"/>
    <x v="134"/>
    <x v="2"/>
  </r>
  <r>
    <x v="4"/>
    <s v="12&quot; DEF"/>
    <x v="22"/>
    <n v="112100"/>
    <x v="135"/>
    <x v="1"/>
  </r>
  <r>
    <x v="4"/>
    <s v="12&quot; DEF"/>
    <x v="22"/>
    <n v="112100"/>
    <x v="136"/>
    <x v="4"/>
  </r>
  <r>
    <x v="4"/>
    <s v="12&quot; DEF"/>
    <x v="22"/>
    <n v="112100"/>
    <x v="97"/>
    <x v="6"/>
  </r>
  <r>
    <x v="4"/>
    <s v="12&quot; MFL"/>
    <x v="23"/>
    <n v="114577"/>
    <x v="137"/>
    <x v="5"/>
  </r>
  <r>
    <x v="4"/>
    <s v="12&quot; MFL"/>
    <x v="23"/>
    <n v="114577"/>
    <x v="138"/>
    <x v="2"/>
  </r>
  <r>
    <x v="4"/>
    <s v="12&quot; MFL"/>
    <x v="23"/>
    <n v="114577"/>
    <x v="133"/>
    <x v="3"/>
  </r>
  <r>
    <x v="4"/>
    <s v="12&quot; MFL"/>
    <x v="23"/>
    <n v="114577"/>
    <x v="139"/>
    <x v="4"/>
  </r>
  <r>
    <x v="4"/>
    <s v="12&quot; MFL"/>
    <x v="23"/>
    <n v="114577"/>
    <x v="97"/>
    <x v="6"/>
  </r>
  <r>
    <x v="4"/>
    <s v="12&quot; GMFL+GDEF"/>
    <x v="24"/>
    <n v="108740"/>
    <x v="140"/>
    <x v="3"/>
  </r>
  <r>
    <x v="4"/>
    <s v="12&quot; GMFL+GDEF"/>
    <x v="24"/>
    <n v="108740"/>
    <x v="141"/>
    <x v="13"/>
  </r>
  <r>
    <x v="4"/>
    <s v="12&quot; GMFL+GDEF"/>
    <x v="24"/>
    <n v="108740"/>
    <x v="142"/>
    <x v="2"/>
  </r>
  <r>
    <x v="4"/>
    <s v="12&quot; GMFL+GDEF"/>
    <x v="24"/>
    <n v="108740"/>
    <x v="136"/>
    <x v="4"/>
  </r>
  <r>
    <x v="4"/>
    <s v="12&quot; GMFL+GDEF"/>
    <x v="24"/>
    <n v="108740"/>
    <x v="143"/>
    <x v="22"/>
  </r>
  <r>
    <x v="4"/>
    <s v="12&quot; GMFL+GDEF"/>
    <x v="24"/>
    <n v="108740"/>
    <x v="144"/>
    <x v="24"/>
  </r>
  <r>
    <x v="4"/>
    <s v="12&quot; GMFL+GDEF"/>
    <x v="24"/>
    <n v="108740"/>
    <x v="136"/>
    <x v="4"/>
  </r>
  <r>
    <x v="4"/>
    <s v="12&quot; MDS"/>
    <x v="25"/>
    <m/>
    <x v="125"/>
    <x v="0"/>
  </r>
  <r>
    <x v="4"/>
    <s v="12&quot; MDS"/>
    <x v="25"/>
    <m/>
    <x v="126"/>
    <x v="8"/>
  </r>
  <r>
    <x v="4"/>
    <s v="12&quot; MDS"/>
    <x v="25"/>
    <m/>
    <x v="127"/>
    <x v="5"/>
  </r>
  <r>
    <x v="4"/>
    <s v="12&quot; MDS"/>
    <x v="25"/>
    <m/>
    <x v="128"/>
    <x v="30"/>
  </r>
  <r>
    <x v="4"/>
    <s v="12&quot; MDS"/>
    <x v="25"/>
    <m/>
    <x v="129"/>
    <x v="17"/>
  </r>
  <r>
    <x v="4"/>
    <s v="12&quot; MDS"/>
    <x v="25"/>
    <m/>
    <x v="130"/>
    <x v="31"/>
  </r>
  <r>
    <x v="4"/>
    <s v="12&quot; MDS"/>
    <x v="25"/>
    <m/>
    <x v="131"/>
    <x v="1"/>
  </r>
  <r>
    <x v="4"/>
    <s v="12&quot; MDS"/>
    <x v="25"/>
    <m/>
    <x v="132"/>
    <x v="32"/>
  </r>
  <r>
    <x v="4"/>
    <s v="12&quot; MDS"/>
    <x v="25"/>
    <m/>
    <x v="125"/>
    <x v="0"/>
  </r>
  <r>
    <x v="4"/>
    <s v="12&quot; MDS UR"/>
    <x v="26"/>
    <m/>
    <x v="126"/>
    <x v="8"/>
  </r>
  <r>
    <x v="4"/>
    <s v="12&quot; MDS UR"/>
    <x v="26"/>
    <m/>
    <x v="145"/>
    <x v="5"/>
  </r>
  <r>
    <x v="4"/>
    <s v="12&quot; MDS UR"/>
    <x v="26"/>
    <m/>
    <x v="128"/>
    <x v="30"/>
  </r>
  <r>
    <x v="4"/>
    <s v="12&quot; MDS UR"/>
    <x v="26"/>
    <m/>
    <x v="129"/>
    <x v="17"/>
  </r>
  <r>
    <x v="4"/>
    <s v="12&quot; MDS UR"/>
    <x v="26"/>
    <m/>
    <x v="130"/>
    <x v="31"/>
  </r>
  <r>
    <x v="4"/>
    <s v="12&quot; MDS UR"/>
    <x v="26"/>
    <m/>
    <x v="131"/>
    <x v="1"/>
  </r>
  <r>
    <x v="4"/>
    <s v="12&quot; MDS UR"/>
    <x v="26"/>
    <m/>
    <x v="132"/>
    <x v="32"/>
  </r>
  <r>
    <x v="4"/>
    <s v="12&quot;LGT"/>
    <x v="27"/>
    <n v="108847"/>
    <x v="94"/>
    <x v="7"/>
  </r>
  <r>
    <x v="4"/>
    <s v="12&quot;LGT"/>
    <x v="27"/>
    <n v="108847"/>
    <x v="105"/>
    <x v="2"/>
  </r>
  <r>
    <x v="4"/>
    <s v="12&quot;LGT"/>
    <x v="27"/>
    <n v="108847"/>
    <x v="146"/>
    <x v="1"/>
  </r>
  <r>
    <x v="4"/>
    <s v="12&quot;LGT"/>
    <x v="27"/>
    <n v="108847"/>
    <x v="139"/>
    <x v="4"/>
  </r>
  <r>
    <x v="4"/>
    <s v="12&quot; EMAT"/>
    <x v="28"/>
    <n v="119600"/>
    <x v="125"/>
    <x v="0"/>
  </r>
  <r>
    <x v="4"/>
    <s v="12&quot; EMAT"/>
    <x v="28"/>
    <n v="119600"/>
    <x v="147"/>
    <x v="27"/>
  </r>
  <r>
    <x v="4"/>
    <s v="12&quot; EMAT"/>
    <x v="28"/>
    <n v="119600"/>
    <x v="148"/>
    <x v="28"/>
  </r>
  <r>
    <x v="4"/>
    <s v="12&quot; EMAT"/>
    <x v="28"/>
    <n v="119600"/>
    <x v="149"/>
    <x v="2"/>
  </r>
  <r>
    <x v="4"/>
    <s v="12&quot; EMAT"/>
    <x v="28"/>
    <n v="119600"/>
    <x v="150"/>
    <x v="7"/>
  </r>
  <r>
    <x v="4"/>
    <s v="12&quot; EMAT"/>
    <x v="28"/>
    <n v="119600"/>
    <x v="150"/>
    <x v="7"/>
  </r>
  <r>
    <x v="5"/>
    <s v="14&quot; GMAT"/>
    <x v="29"/>
    <m/>
    <x v="140"/>
    <x v="0"/>
  </r>
  <r>
    <x v="5"/>
    <s v="14&quot; GMAT"/>
    <x v="29"/>
    <m/>
    <x v="151"/>
    <x v="13"/>
  </r>
  <r>
    <x v="5"/>
    <s v="14&quot; GMAT"/>
    <x v="29"/>
    <m/>
    <x v="142"/>
    <x v="2"/>
  </r>
  <r>
    <x v="5"/>
    <s v="14&quot; GMAT"/>
    <x v="29"/>
    <m/>
    <x v="152"/>
    <x v="33"/>
  </r>
  <r>
    <x v="6"/>
    <s v="16&quot; DEF"/>
    <x v="30"/>
    <n v="109180"/>
    <x v="153"/>
    <x v="3"/>
  </r>
  <r>
    <x v="6"/>
    <s v="16&quot; DEF"/>
    <x v="30"/>
    <n v="109180"/>
    <x v="154"/>
    <x v="2"/>
  </r>
  <r>
    <x v="6"/>
    <s v="16&quot; DEF"/>
    <x v="30"/>
    <n v="109180"/>
    <x v="155"/>
    <x v="1"/>
  </r>
  <r>
    <x v="6"/>
    <s v="16&quot; DEF"/>
    <x v="30"/>
    <n v="109180"/>
    <x v="156"/>
    <x v="4"/>
  </r>
  <r>
    <x v="6"/>
    <s v="16&quot; GDEF"/>
    <x v="31"/>
    <n v="109248"/>
    <x v="157"/>
    <x v="3"/>
  </r>
  <r>
    <x v="6"/>
    <s v="16&quot; GDEF"/>
    <x v="31"/>
    <n v="109248"/>
    <x v="158"/>
    <x v="0"/>
  </r>
  <r>
    <x v="6"/>
    <s v="16&quot; GDEF"/>
    <x v="31"/>
    <n v="109248"/>
    <x v="159"/>
    <x v="1"/>
  </r>
  <r>
    <x v="6"/>
    <s v="16&quot; GDEF"/>
    <x v="31"/>
    <n v="109248"/>
    <x v="160"/>
    <x v="2"/>
  </r>
  <r>
    <x v="6"/>
    <s v="16&quot; GDEF"/>
    <x v="31"/>
    <n v="109248"/>
    <x v="161"/>
    <x v="4"/>
  </r>
  <r>
    <x v="6"/>
    <s v="16&quot; MGDEF"/>
    <x v="32"/>
    <n v="109249"/>
    <x v="157"/>
    <x v="3"/>
  </r>
  <r>
    <x v="6"/>
    <s v="16&quot; MGDEF"/>
    <x v="32"/>
    <n v="109249"/>
    <x v="158"/>
    <x v="0"/>
  </r>
  <r>
    <x v="6"/>
    <s v="16&quot; MGDEF"/>
    <x v="32"/>
    <n v="109249"/>
    <x v="162"/>
    <x v="34"/>
  </r>
  <r>
    <x v="6"/>
    <s v="16&quot; MGDEF"/>
    <x v="32"/>
    <n v="109249"/>
    <x v="163"/>
    <x v="1"/>
  </r>
  <r>
    <x v="6"/>
    <s v="16&quot; MGDEF"/>
    <x v="32"/>
    <n v="109249"/>
    <x v="160"/>
    <x v="2"/>
  </r>
  <r>
    <x v="6"/>
    <s v="16&quot; MGDEF"/>
    <x v="32"/>
    <n v="109249"/>
    <x v="161"/>
    <x v="4"/>
  </r>
  <r>
    <x v="6"/>
    <s v="16&quot; MFL"/>
    <x v="33"/>
    <n v="108734"/>
    <x v="153"/>
    <x v="7"/>
  </r>
  <r>
    <x v="6"/>
    <s v="16&quot; MFL"/>
    <x v="33"/>
    <n v="108734"/>
    <x v="164"/>
    <x v="6"/>
  </r>
  <r>
    <x v="6"/>
    <s v="16&quot; MFL"/>
    <x v="33"/>
    <n v="108734"/>
    <x v="165"/>
    <x v="5"/>
  </r>
  <r>
    <x v="6"/>
    <s v="16&quot; MFL"/>
    <x v="33"/>
    <n v="108734"/>
    <x v="166"/>
    <x v="2"/>
  </r>
  <r>
    <x v="6"/>
    <s v="16&quot; MFL"/>
    <x v="33"/>
    <n v="108734"/>
    <x v="167"/>
    <x v="4"/>
  </r>
  <r>
    <x v="6"/>
    <s v="16&quot; MFL"/>
    <x v="33"/>
    <n v="108734"/>
    <x v="168"/>
    <x v="7"/>
  </r>
  <r>
    <x v="6"/>
    <s v="16&quot; GMFL"/>
    <x v="34"/>
    <n v="112848"/>
    <x v="157"/>
    <x v="3"/>
  </r>
  <r>
    <x v="6"/>
    <s v="16&quot; GMFL"/>
    <x v="34"/>
    <n v="112848"/>
    <x v="158"/>
    <x v="0"/>
  </r>
  <r>
    <x v="6"/>
    <s v="16&quot; GMFL"/>
    <x v="34"/>
    <n v="112848"/>
    <x v="169"/>
    <x v="2"/>
  </r>
  <r>
    <x v="6"/>
    <s v="16&quot; GMFL"/>
    <x v="34"/>
    <n v="112848"/>
    <x v="170"/>
    <x v="13"/>
  </r>
  <r>
    <x v="6"/>
    <s v="16&quot; GMFL"/>
    <x v="34"/>
    <n v="112848"/>
    <x v="171"/>
    <x v="4"/>
  </r>
  <r>
    <x v="6"/>
    <s v="16&quot; MDS"/>
    <x v="35"/>
    <m/>
    <x v="153"/>
    <x v="35"/>
  </r>
  <r>
    <x v="6"/>
    <s v="16&quot; MDS"/>
    <x v="35"/>
    <m/>
    <x v="172"/>
    <x v="0"/>
  </r>
  <r>
    <x v="6"/>
    <s v="16&quot; MDS"/>
    <x v="35"/>
    <m/>
    <x v="173"/>
    <x v="8"/>
  </r>
  <r>
    <x v="6"/>
    <s v="16&quot; MDS"/>
    <x v="35"/>
    <m/>
    <x v="174"/>
    <x v="5"/>
  </r>
  <r>
    <x v="6"/>
    <s v="16&quot; MDS"/>
    <x v="35"/>
    <m/>
    <x v="175"/>
    <x v="2"/>
  </r>
  <r>
    <x v="6"/>
    <s v="16&quot; MDS"/>
    <x v="35"/>
    <m/>
    <x v="176"/>
    <x v="17"/>
  </r>
  <r>
    <x v="6"/>
    <s v="16&quot; MDS"/>
    <x v="35"/>
    <m/>
    <x v="177"/>
    <x v="1"/>
  </r>
  <r>
    <x v="6"/>
    <s v="16&quot; MDS"/>
    <x v="35"/>
    <m/>
    <x v="178"/>
    <x v="36"/>
  </r>
  <r>
    <x v="6"/>
    <s v="16&quot; MDS"/>
    <x v="35"/>
    <m/>
    <x v="179"/>
    <x v="11"/>
  </r>
  <r>
    <x v="6"/>
    <s v="16&quot; MDS"/>
    <x v="35"/>
    <m/>
    <x v="180"/>
    <x v="37"/>
  </r>
  <r>
    <x v="6"/>
    <s v="16&quot; EMAT"/>
    <x v="36"/>
    <n v="119600"/>
    <x v="172"/>
    <x v="0"/>
  </r>
  <r>
    <x v="6"/>
    <s v="16&quot; EMAT"/>
    <x v="36"/>
    <n v="119600"/>
    <x v="181"/>
    <x v="27"/>
  </r>
  <r>
    <x v="6"/>
    <s v="16&quot; EMAT"/>
    <x v="36"/>
    <n v="119600"/>
    <x v="182"/>
    <x v="28"/>
  </r>
  <r>
    <x v="6"/>
    <s v="16&quot; EMAT"/>
    <x v="36"/>
    <n v="119600"/>
    <x v="149"/>
    <x v="2"/>
  </r>
  <r>
    <x v="6"/>
    <s v="16&quot; EMAT"/>
    <x v="36"/>
    <n v="119600"/>
    <x v="150"/>
    <x v="7"/>
  </r>
  <r>
    <x v="6"/>
    <s v="16&quot; EMAT"/>
    <x v="36"/>
    <n v="119600"/>
    <x v="150"/>
    <x v="7"/>
  </r>
  <r>
    <x v="7"/>
    <s v="18&quot; GMFL"/>
    <x v="37"/>
    <m/>
    <x v="157"/>
    <x v="38"/>
  </r>
  <r>
    <x v="7"/>
    <s v="18&quot; GMFL"/>
    <x v="37"/>
    <m/>
    <x v="158"/>
    <x v="0"/>
  </r>
  <r>
    <x v="7"/>
    <s v="18&quot; GMFL"/>
    <x v="37"/>
    <m/>
    <x v="183"/>
    <x v="2"/>
  </r>
  <r>
    <x v="7"/>
    <s v="18&quot; GMFL"/>
    <x v="37"/>
    <m/>
    <x v="184"/>
    <x v="13"/>
  </r>
  <r>
    <x v="7"/>
    <s v="18&quot; GMFL"/>
    <x v="37"/>
    <m/>
    <x v="171"/>
    <x v="4"/>
  </r>
  <r>
    <x v="7"/>
    <s v="18&quot; MGDEF"/>
    <x v="38"/>
    <m/>
    <x v="185"/>
    <x v="39"/>
  </r>
  <r>
    <x v="7"/>
    <s v="18&quot; MGDEF"/>
    <x v="38"/>
    <m/>
    <x v="158"/>
    <x v="40"/>
  </r>
  <r>
    <x v="7"/>
    <s v="18&quot; MGDEF"/>
    <x v="38"/>
    <m/>
    <x v="162"/>
    <x v="6"/>
  </r>
  <r>
    <x v="7"/>
    <s v="18&quot; MGDEF"/>
    <x v="38"/>
    <m/>
    <x v="186"/>
    <x v="41"/>
  </r>
  <r>
    <x v="7"/>
    <s v="18&quot; MGDEF"/>
    <x v="38"/>
    <m/>
    <x v="187"/>
    <x v="2"/>
  </r>
  <r>
    <x v="7"/>
    <s v="18&quot; MGDEF"/>
    <x v="38"/>
    <m/>
    <x v="161"/>
    <x v="4"/>
  </r>
  <r>
    <x v="8"/>
    <s v="20&quot; DEF"/>
    <x v="39"/>
    <n v="109628"/>
    <x v="188"/>
    <x v="3"/>
  </r>
  <r>
    <x v="8"/>
    <s v="20&quot; DEF"/>
    <x v="39"/>
    <n v="109628"/>
    <x v="189"/>
    <x v="0"/>
  </r>
  <r>
    <x v="8"/>
    <s v="20&quot; DEF"/>
    <x v="39"/>
    <n v="109628"/>
    <x v="190"/>
    <x v="42"/>
  </r>
  <r>
    <x v="8"/>
    <s v="20&quot; DEF"/>
    <x v="39"/>
    <n v="109628"/>
    <x v="191"/>
    <x v="2"/>
  </r>
  <r>
    <x v="8"/>
    <s v="20&quot; DEF"/>
    <x v="39"/>
    <n v="109628"/>
    <x v="192"/>
    <x v="1"/>
  </r>
  <r>
    <x v="8"/>
    <s v="20&quot; DEF"/>
    <x v="39"/>
    <n v="109628"/>
    <x v="193"/>
    <x v="6"/>
  </r>
  <r>
    <x v="8"/>
    <s v="20&quot; DEF"/>
    <x v="39"/>
    <n v="109628"/>
    <x v="194"/>
    <x v="4"/>
  </r>
  <r>
    <x v="8"/>
    <s v="20&quot; DEF"/>
    <x v="39"/>
    <n v="109628"/>
    <x v="195"/>
    <x v="43"/>
  </r>
  <r>
    <x v="8"/>
    <s v="20&quot; DEF"/>
    <x v="39"/>
    <n v="109628"/>
    <x v="196"/>
    <x v="3"/>
  </r>
  <r>
    <x v="8"/>
    <s v="20&quot; MFL"/>
    <x v="40"/>
    <n v="109627"/>
    <x v="188"/>
    <x v="3"/>
  </r>
  <r>
    <x v="8"/>
    <s v="20&quot; MFL"/>
    <x v="40"/>
    <n v="109627"/>
    <x v="189"/>
    <x v="0"/>
  </r>
  <r>
    <x v="8"/>
    <s v="20&quot; MFL"/>
    <x v="40"/>
    <n v="109627"/>
    <x v="190"/>
    <x v="42"/>
  </r>
  <r>
    <x v="8"/>
    <s v="20&quot; MFL"/>
    <x v="40"/>
    <n v="109627"/>
    <x v="197"/>
    <x v="5"/>
  </r>
  <r>
    <x v="8"/>
    <s v="20&quot; MFL"/>
    <x v="40"/>
    <n v="109627"/>
    <x v="198"/>
    <x v="2"/>
  </r>
  <r>
    <x v="8"/>
    <s v="20&quot; MFL"/>
    <x v="40"/>
    <n v="109627"/>
    <x v="194"/>
    <x v="4"/>
  </r>
  <r>
    <x v="8"/>
    <s v="20&quot; GMFL"/>
    <x v="41"/>
    <n v="109492"/>
    <x v="188"/>
    <x v="3"/>
  </r>
  <r>
    <x v="8"/>
    <s v="20&quot; GMFL"/>
    <x v="41"/>
    <n v="109492"/>
    <x v="189"/>
    <x v="0"/>
  </r>
  <r>
    <x v="8"/>
    <s v="20&quot; GMFL"/>
    <x v="41"/>
    <n v="109492"/>
    <x v="190"/>
    <x v="42"/>
  </r>
  <r>
    <x v="8"/>
    <s v="20&quot; GMFL"/>
    <x v="41"/>
    <n v="109492"/>
    <x v="199"/>
    <x v="4"/>
  </r>
  <r>
    <x v="8"/>
    <s v="20&quot; GMFL"/>
    <x v="41"/>
    <n v="109492"/>
    <x v="200"/>
    <x v="13"/>
  </r>
  <r>
    <x v="8"/>
    <s v="20&quot; GMFL"/>
    <x v="41"/>
    <n v="109492"/>
    <x v="201"/>
    <x v="2"/>
  </r>
  <r>
    <x v="8"/>
    <s v="20&quot; GMFL"/>
    <x v="41"/>
    <n v="109492"/>
    <x v="202"/>
    <x v="44"/>
  </r>
  <r>
    <x v="8"/>
    <s v="20&quot; GMFL"/>
    <x v="41"/>
    <n v="109492"/>
    <x v="203"/>
    <x v="45"/>
  </r>
  <r>
    <x v="8"/>
    <s v="20&quot; GMFL"/>
    <x v="41"/>
    <n v="109492"/>
    <x v="204"/>
    <x v="6"/>
  </r>
  <r>
    <x v="8"/>
    <s v="20&quot; MDS"/>
    <x v="42"/>
    <m/>
    <x v="205"/>
    <x v="19"/>
  </r>
  <r>
    <x v="8"/>
    <s v="20&quot; MDS"/>
    <x v="42"/>
    <m/>
    <x v="206"/>
    <x v="0"/>
  </r>
  <r>
    <x v="8"/>
    <s v="20&quot; MDS"/>
    <x v="42"/>
    <m/>
    <x v="207"/>
    <x v="4"/>
  </r>
  <r>
    <x v="8"/>
    <s v="20&quot; MDS"/>
    <x v="42"/>
    <m/>
    <x v="208"/>
    <x v="46"/>
  </r>
  <r>
    <x v="8"/>
    <s v="20&quot; MDS"/>
    <x v="42"/>
    <m/>
    <x v="209"/>
    <x v="47"/>
  </r>
  <r>
    <x v="8"/>
    <s v="20&quot; MDS"/>
    <x v="42"/>
    <m/>
    <x v="210"/>
    <x v="5"/>
  </r>
  <r>
    <x v="8"/>
    <s v="20&quot; MDS"/>
    <x v="42"/>
    <m/>
    <x v="211"/>
    <x v="2"/>
  </r>
  <r>
    <x v="8"/>
    <s v="20&quot; MDS"/>
    <x v="42"/>
    <m/>
    <x v="212"/>
    <x v="17"/>
  </r>
  <r>
    <x v="8"/>
    <s v="20&quot; MDS"/>
    <x v="42"/>
    <m/>
    <x v="213"/>
    <x v="48"/>
  </r>
  <r>
    <x v="8"/>
    <s v="20&quot; MDS"/>
    <x v="42"/>
    <m/>
    <x v="214"/>
    <x v="1"/>
  </r>
  <r>
    <x v="8"/>
    <s v="20&quot; MDS"/>
    <x v="42"/>
    <m/>
    <x v="215"/>
    <x v="49"/>
  </r>
  <r>
    <x v="8"/>
    <s v="20&quot; MDS"/>
    <x v="42"/>
    <m/>
    <x v="216"/>
    <x v="50"/>
  </r>
  <r>
    <x v="9"/>
    <s v="24&quot; DEF"/>
    <x v="43"/>
    <m/>
    <x v="188"/>
    <x v="51"/>
  </r>
  <r>
    <x v="9"/>
    <s v="24&quot; DEF"/>
    <x v="43"/>
    <m/>
    <x v="217"/>
    <x v="0"/>
  </r>
  <r>
    <x v="9"/>
    <s v="24&quot; DEF"/>
    <x v="43"/>
    <m/>
    <x v="190"/>
    <x v="52"/>
  </r>
  <r>
    <x v="9"/>
    <s v="24&quot; GMFL"/>
    <x v="44"/>
    <n v="109346"/>
    <x v="188"/>
    <x v="51"/>
  </r>
  <r>
    <x v="9"/>
    <s v="24&quot; GMFL"/>
    <x v="44"/>
    <n v="109346"/>
    <x v="217"/>
    <x v="0"/>
  </r>
  <r>
    <x v="9"/>
    <s v="24&quot; GMFL"/>
    <x v="44"/>
    <n v="109346"/>
    <x v="190"/>
    <x v="52"/>
  </r>
  <r>
    <x v="9"/>
    <s v="24&quot; GMFL"/>
    <x v="44"/>
    <n v="109346"/>
    <x v="218"/>
    <x v="4"/>
  </r>
  <r>
    <x v="9"/>
    <s v="24&quot; GMFL"/>
    <x v="44"/>
    <n v="109346"/>
    <x v="219"/>
    <x v="13"/>
  </r>
  <r>
    <x v="9"/>
    <s v="24&quot; GMFL"/>
    <x v="44"/>
    <n v="109346"/>
    <x v="220"/>
    <x v="2"/>
  </r>
  <r>
    <x v="9"/>
    <s v="24&quot; MDS"/>
    <x v="45"/>
    <m/>
    <x v="221"/>
    <x v="53"/>
  </r>
  <r>
    <x v="9"/>
    <s v="24&quot; MDS"/>
    <x v="45"/>
    <m/>
    <x v="222"/>
    <x v="54"/>
  </r>
  <r>
    <x v="9"/>
    <s v="24&quot; MDS"/>
    <x v="45"/>
    <m/>
    <x v="223"/>
    <x v="8"/>
  </r>
  <r>
    <x v="9"/>
    <s v="24&quot; MDS"/>
    <x v="45"/>
    <m/>
    <x v="224"/>
    <x v="6"/>
  </r>
  <r>
    <x v="9"/>
    <s v="24&quot; MDS"/>
    <x v="45"/>
    <m/>
    <x v="225"/>
    <x v="55"/>
  </r>
  <r>
    <x v="9"/>
    <s v="24&quot; MDS"/>
    <x v="45"/>
    <m/>
    <x v="226"/>
    <x v="5"/>
  </r>
  <r>
    <x v="9"/>
    <s v="24&quot; MDS"/>
    <x v="45"/>
    <m/>
    <x v="227"/>
    <x v="56"/>
  </r>
  <r>
    <x v="9"/>
    <s v="24&quot; MDS"/>
    <x v="45"/>
    <m/>
    <x v="228"/>
    <x v="4"/>
  </r>
  <r>
    <x v="9"/>
    <s v="24&quot; MDS"/>
    <x v="45"/>
    <m/>
    <x v="229"/>
    <x v="17"/>
  </r>
  <r>
    <x v="10"/>
    <s v="26&quot; DEF"/>
    <x v="46"/>
    <n v="114879"/>
    <x v="230"/>
    <x v="51"/>
  </r>
  <r>
    <x v="10"/>
    <s v="26&quot; DEF"/>
    <x v="46"/>
    <n v="114879"/>
    <x v="231"/>
    <x v="0"/>
  </r>
  <r>
    <x v="10"/>
    <s v="26&quot; DEF"/>
    <x v="46"/>
    <n v="114879"/>
    <x v="232"/>
    <x v="19"/>
  </r>
  <r>
    <x v="10"/>
    <s v="26&quot; DEF"/>
    <x v="46"/>
    <n v="114879"/>
    <x v="233"/>
    <x v="11"/>
  </r>
  <r>
    <x v="10"/>
    <s v="26&quot; DEF"/>
    <x v="46"/>
    <n v="114879"/>
    <x v="234"/>
    <x v="2"/>
  </r>
  <r>
    <x v="10"/>
    <s v="26&quot; DEF"/>
    <x v="46"/>
    <n v="114879"/>
    <x v="235"/>
    <x v="1"/>
  </r>
  <r>
    <x v="10"/>
    <s v="26&quot; DEF"/>
    <x v="46"/>
    <n v="114879"/>
    <x v="236"/>
    <x v="57"/>
  </r>
  <r>
    <x v="10"/>
    <s v="26&quot; DEF"/>
    <x v="46"/>
    <n v="114879"/>
    <x v="237"/>
    <x v="58"/>
  </r>
  <r>
    <x v="10"/>
    <s v="26&quot; GMFL"/>
    <x v="47"/>
    <n v="110251"/>
    <x v="230"/>
    <x v="51"/>
  </r>
  <r>
    <x v="10"/>
    <s v="26&quot; GMFL"/>
    <x v="47"/>
    <n v="110251"/>
    <x v="231"/>
    <x v="0"/>
  </r>
  <r>
    <x v="10"/>
    <s v="26&quot; GMFL"/>
    <x v="47"/>
    <n v="110251"/>
    <x v="232"/>
    <x v="52"/>
  </r>
  <r>
    <x v="10"/>
    <s v="26&quot; GMFL"/>
    <x v="47"/>
    <n v="110251"/>
    <x v="238"/>
    <x v="13"/>
  </r>
  <r>
    <x v="10"/>
    <s v="26&quot; GMFL"/>
    <x v="47"/>
    <n v="110251"/>
    <x v="239"/>
    <x v="2"/>
  </r>
  <r>
    <x v="10"/>
    <s v="26&quot; MDS"/>
    <x v="48"/>
    <m/>
    <x v="240"/>
    <x v="1"/>
  </r>
  <r>
    <x v="10"/>
    <s v="26&quot; MDS"/>
    <x v="48"/>
    <m/>
    <x v="223"/>
    <x v="8"/>
  </r>
  <r>
    <x v="10"/>
    <s v="26&quot; MDS"/>
    <x v="48"/>
    <m/>
    <x v="241"/>
    <x v="6"/>
  </r>
  <r>
    <x v="10"/>
    <s v="26&quot; MDS"/>
    <x v="48"/>
    <m/>
    <x v="225"/>
    <x v="2"/>
  </r>
  <r>
    <x v="10"/>
    <s v="26&quot; MDS"/>
    <x v="48"/>
    <m/>
    <x v="226"/>
    <x v="5"/>
  </r>
  <r>
    <x v="10"/>
    <s v="26&quot; MDS"/>
    <x v="48"/>
    <m/>
    <x v="242"/>
    <x v="7"/>
  </r>
  <r>
    <x v="10"/>
    <s v="26&quot; MDS"/>
    <x v="48"/>
    <m/>
    <x v="243"/>
    <x v="4"/>
  </r>
  <r>
    <x v="10"/>
    <s v="26&quot; MDS"/>
    <x v="48"/>
    <m/>
    <x v="244"/>
    <x v="17"/>
  </r>
  <r>
    <x v="11"/>
    <s v="30&quot; GMAG"/>
    <x v="49"/>
    <n v="110486"/>
    <x v="230"/>
    <x v="51"/>
  </r>
  <r>
    <x v="11"/>
    <s v="30&quot; GMAG"/>
    <x v="49"/>
    <n v="110486"/>
    <x v="245"/>
    <x v="0"/>
  </r>
  <r>
    <x v="11"/>
    <s v="30&quot; GMAG"/>
    <x v="49"/>
    <n v="110486"/>
    <x v="232"/>
    <x v="59"/>
  </r>
  <r>
    <x v="11"/>
    <s v="30&quot; GMAG"/>
    <x v="49"/>
    <n v="110486"/>
    <x v="246"/>
    <x v="60"/>
  </r>
  <r>
    <x v="11"/>
    <s v="30&quot; GMAG"/>
    <x v="49"/>
    <n v="110486"/>
    <x v="239"/>
    <x v="2"/>
  </r>
  <r>
    <x v="11"/>
    <s v="30&quot; MDS"/>
    <x v="50"/>
    <n v="115600"/>
    <x v="247"/>
    <x v="54"/>
  </r>
  <r>
    <x v="11"/>
    <s v="30&quot; MDS"/>
    <x v="50"/>
    <n v="115600"/>
    <x v="248"/>
    <x v="5"/>
  </r>
  <r>
    <x v="11"/>
    <s v="30&quot; MDS"/>
    <x v="50"/>
    <n v="115600"/>
    <x v="249"/>
    <x v="17"/>
  </r>
  <r>
    <x v="11"/>
    <s v="30&quot; MDS"/>
    <x v="50"/>
    <n v="115600"/>
    <x v="250"/>
    <x v="46"/>
  </r>
  <r>
    <x v="11"/>
    <s v="30&quot; MDS"/>
    <x v="50"/>
    <n v="115600"/>
    <x v="251"/>
    <x v="11"/>
  </r>
  <r>
    <x v="11"/>
    <s v="30&quot; MDS"/>
    <x v="50"/>
    <n v="115600"/>
    <x v="252"/>
    <x v="4"/>
  </r>
  <r>
    <x v="11"/>
    <s v="30&quot; MDS"/>
    <x v="50"/>
    <n v="115600"/>
    <x v="253"/>
    <x v="2"/>
  </r>
  <r>
    <x v="11"/>
    <s v="30&quot; MDS"/>
    <x v="50"/>
    <n v="115600"/>
    <x v="254"/>
    <x v="7"/>
  </r>
  <r>
    <x v="12"/>
    <s v="32&quot;- 36&quot; DEF"/>
    <x v="51"/>
    <n v="114349"/>
    <x v="255"/>
    <x v="7"/>
  </r>
  <r>
    <x v="12"/>
    <s v="32&quot;- 36&quot; DEF"/>
    <x v="51"/>
    <n v="114349"/>
    <x v="256"/>
    <x v="0"/>
  </r>
  <r>
    <x v="12"/>
    <s v="32&quot;- 36&quot; DEF"/>
    <x v="51"/>
    <n v="114349"/>
    <x v="257"/>
    <x v="4"/>
  </r>
  <r>
    <x v="12"/>
    <s v="32&quot;- 36&quot; DEF"/>
    <x v="51"/>
    <n v="114349"/>
    <x v="258"/>
    <x v="2"/>
  </r>
  <r>
    <x v="12"/>
    <s v="32&quot;- 36&quot; DEF"/>
    <x v="51"/>
    <n v="114349"/>
    <x v="259"/>
    <x v="1"/>
  </r>
  <r>
    <x v="12"/>
    <s v="32&quot;- 36&quot; DEF"/>
    <x v="51"/>
    <n v="114349"/>
    <x v="260"/>
    <x v="7"/>
  </r>
  <r>
    <x v="12"/>
    <s v="32&quot;- 36&quot; DEF"/>
    <x v="51"/>
    <n v="114349"/>
    <x v="204"/>
    <x v="11"/>
  </r>
  <r>
    <x v="12"/>
    <s v="32&quot;- 36&quot; DEF"/>
    <x v="51"/>
    <n v="114349"/>
    <x v="261"/>
    <x v="61"/>
  </r>
  <r>
    <x v="12"/>
    <s v="36&quot; GMAG"/>
    <x v="52"/>
    <n v="110533"/>
    <x v="255"/>
    <x v="7"/>
  </r>
  <r>
    <x v="12"/>
    <s v="36&quot; GMAG"/>
    <x v="52"/>
    <n v="110533"/>
    <x v="256"/>
    <x v="0"/>
  </r>
  <r>
    <x v="12"/>
    <s v="36&quot; GMAG"/>
    <x v="52"/>
    <n v="110533"/>
    <x v="257"/>
    <x v="4"/>
  </r>
  <r>
    <x v="12"/>
    <s v="36&quot; GMAG"/>
    <x v="52"/>
    <n v="110533"/>
    <x v="262"/>
    <x v="7"/>
  </r>
  <r>
    <x v="12"/>
    <s v="36&quot; GMAG"/>
    <x v="52"/>
    <n v="110533"/>
    <x v="263"/>
    <x v="60"/>
  </r>
  <r>
    <x v="12"/>
    <s v="36&quot; GMAG"/>
    <x v="52"/>
    <n v="110533"/>
    <x v="264"/>
    <x v="2"/>
  </r>
  <r>
    <x v="13"/>
    <s v="42&quot; DEF + GMFL"/>
    <x v="53"/>
    <n v="101600"/>
    <x v="265"/>
    <x v="0"/>
  </r>
  <r>
    <x v="13"/>
    <s v="42&quot; DEF + GMFL"/>
    <x v="53"/>
    <n v="101600"/>
    <x v="266"/>
    <x v="3"/>
  </r>
  <r>
    <x v="13"/>
    <s v="42&quot; DEF + GMFL"/>
    <x v="53"/>
    <n v="101600"/>
    <x v="204"/>
    <x v="6"/>
  </r>
  <r>
    <x v="13"/>
    <s v="42&quot; DEF + GMFL"/>
    <x v="53"/>
    <n v="101600"/>
    <x v="267"/>
    <x v="2"/>
  </r>
  <r>
    <x v="13"/>
    <s v="42&quot; DEF + GMFL"/>
    <x v="53"/>
    <n v="101600"/>
    <x v="268"/>
    <x v="1"/>
  </r>
  <r>
    <x v="13"/>
    <s v="42&quot; DEF + GMFL"/>
    <x v="53"/>
    <n v="101600"/>
    <x v="269"/>
    <x v="62"/>
  </r>
  <r>
    <x v="13"/>
    <s v="42&quot; DEF + GMFL"/>
    <x v="53"/>
    <n v="101600"/>
    <x v="270"/>
    <x v="51"/>
  </r>
  <r>
    <x v="13"/>
    <s v="42&quot; DEF + GMFL"/>
    <x v="53"/>
    <n v="101600"/>
    <x v="271"/>
    <x v="22"/>
  </r>
  <r>
    <x v="13"/>
    <s v="42&quot; DEF + GMFL"/>
    <x v="53"/>
    <n v="101600"/>
    <x v="272"/>
    <x v="13"/>
  </r>
  <r>
    <x v="13"/>
    <s v="42&quot; DEF + GMFL"/>
    <x v="53"/>
    <n v="101600"/>
    <x v="273"/>
    <x v="4"/>
  </r>
  <r>
    <x v="12"/>
    <s v="36&quot;-48&quot; DUEL DEF"/>
    <x v="54"/>
    <m/>
    <x v="274"/>
    <x v="0"/>
  </r>
  <r>
    <x v="12"/>
    <m/>
    <x v="13"/>
    <m/>
    <x v="275"/>
    <x v="3"/>
  </r>
  <r>
    <x v="12"/>
    <m/>
    <x v="13"/>
    <m/>
    <x v="276"/>
    <x v="6"/>
  </r>
  <r>
    <x v="12"/>
    <m/>
    <x v="13"/>
    <m/>
    <x v="277"/>
    <x v="2"/>
  </r>
  <r>
    <x v="12"/>
    <m/>
    <x v="13"/>
    <m/>
    <x v="278"/>
    <x v="1"/>
  </r>
  <r>
    <x v="12"/>
    <m/>
    <x v="13"/>
    <m/>
    <x v="53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B0CC2E-7C04-452F-A2A0-5E816F33A9C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:M34" firstHeaderRow="1" firstDataRow="1" firstDataCol="1" rowPageCount="1" colPageCount="1"/>
  <pivotFields count="6"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2"/>
        <item t="default"/>
      </items>
    </pivotField>
    <pivotField showAll="0"/>
    <pivotField dataField="1" showAll="0">
      <items count="56">
        <item x="15"/>
        <item x="14"/>
        <item x="18"/>
        <item x="20"/>
        <item x="16"/>
        <item x="17"/>
        <item x="19"/>
        <item x="23"/>
        <item x="22"/>
        <item x="28"/>
        <item x="24"/>
        <item x="25"/>
        <item x="26"/>
        <item x="21"/>
        <item x="27"/>
        <item x="29"/>
        <item x="31"/>
        <item x="32"/>
        <item x="30"/>
        <item x="36"/>
        <item x="34"/>
        <item x="35"/>
        <item x="33"/>
        <item x="37"/>
        <item x="38"/>
        <item x="39"/>
        <item x="41"/>
        <item x="42"/>
        <item x="40"/>
        <item x="43"/>
        <item x="44"/>
        <item x="45"/>
        <item x="46"/>
        <item x="47"/>
        <item x="48"/>
        <item x="49"/>
        <item x="50"/>
        <item x="51"/>
        <item x="52"/>
        <item x="54"/>
        <item x="1"/>
        <item x="0"/>
        <item x="2"/>
        <item x="3"/>
        <item x="53"/>
        <item x="6"/>
        <item x="7"/>
        <item x="4"/>
        <item x="5"/>
        <item x="8"/>
        <item x="10"/>
        <item x="9"/>
        <item x="12"/>
        <item x="11"/>
        <item x="13"/>
        <item t="default"/>
      </items>
    </pivotField>
    <pivotField showAll="0"/>
    <pivotField axis="axisRow" showAll="0">
      <items count="280">
        <item x="257"/>
        <item x="189"/>
        <item x="30"/>
        <item x="161"/>
        <item x="100"/>
        <item x="60"/>
        <item x="65"/>
        <item x="107"/>
        <item x="217"/>
        <item x="48"/>
        <item x="233"/>
        <item x="34"/>
        <item x="37"/>
        <item x="36"/>
        <item x="59"/>
        <item x="54"/>
        <item x="265"/>
        <item x="245"/>
        <item x="231"/>
        <item x="97"/>
        <item x="18"/>
        <item x="35"/>
        <item x="197"/>
        <item x="27"/>
        <item x="268"/>
        <item x="24"/>
        <item x="26"/>
        <item x="67"/>
        <item x="83"/>
        <item x="70"/>
        <item x="87"/>
        <item x="88"/>
        <item x="158"/>
        <item x="85"/>
        <item x="171"/>
        <item x="49"/>
        <item x="51"/>
        <item x="115"/>
        <item x="86"/>
        <item x="274"/>
        <item x="278"/>
        <item x="277"/>
        <item x="116"/>
        <item x="108"/>
        <item x="112"/>
        <item x="204"/>
        <item x="276"/>
        <item x="111"/>
        <item x="56"/>
        <item x="138"/>
        <item x="62"/>
        <item x="102"/>
        <item x="101"/>
        <item x="55"/>
        <item x="152"/>
        <item x="142"/>
        <item x="134"/>
        <item x="136"/>
        <item x="75"/>
        <item x="140"/>
        <item x="143"/>
        <item x="151"/>
        <item x="166"/>
        <item x="128"/>
        <item x="130"/>
        <item x="132"/>
        <item x="176"/>
        <item x="174"/>
        <item x="175"/>
        <item x="172"/>
        <item x="179"/>
        <item x="155"/>
        <item x="154"/>
        <item x="156"/>
        <item x="160"/>
        <item x="167"/>
        <item x="141"/>
        <item x="220"/>
        <item x="201"/>
        <item x="218"/>
        <item x="200"/>
        <item x="198"/>
        <item x="163"/>
        <item x="188"/>
        <item x="162"/>
        <item x="159"/>
        <item x="125"/>
        <item x="170"/>
        <item x="191"/>
        <item x="192"/>
        <item x="190"/>
        <item x="246"/>
        <item x="239"/>
        <item x="61"/>
        <item x="194"/>
        <item x="58"/>
        <item x="113"/>
        <item x="261"/>
        <item x="229"/>
        <item x="177"/>
        <item x="64"/>
        <item x="230"/>
        <item x="273"/>
        <item x="68"/>
        <item x="71"/>
        <item x="110"/>
        <item x="52"/>
        <item x="118"/>
        <item x="73"/>
        <item x="232"/>
        <item x="264"/>
        <item x="103"/>
        <item x="225"/>
        <item x="226"/>
        <item x="234"/>
        <item x="235"/>
        <item x="121"/>
        <item x="122"/>
        <item x="211"/>
        <item x="210"/>
        <item x="212"/>
        <item x="228"/>
        <item x="247"/>
        <item x="202"/>
        <item x="255"/>
        <item x="271"/>
        <item x="129"/>
        <item x="267"/>
        <item x="96"/>
        <item x="184"/>
        <item x="139"/>
        <item x="135"/>
        <item x="104"/>
        <item x="44"/>
        <item x="91"/>
        <item x="40"/>
        <item x="38"/>
        <item x="4"/>
        <item x="6"/>
        <item x="187"/>
        <item x="186"/>
        <item x="259"/>
        <item x="258"/>
        <item x="42"/>
        <item x="43"/>
        <item x="169"/>
        <item x="183"/>
        <item x="215"/>
        <item x="214"/>
        <item x="205"/>
        <item x="207"/>
        <item x="206"/>
        <item x="41"/>
        <item x="39"/>
        <item x="127"/>
        <item x="249"/>
        <item x="47"/>
        <item x="164"/>
        <item x="178"/>
        <item x="180"/>
        <item x="106"/>
        <item x="20"/>
        <item x="144"/>
        <item x="72"/>
        <item x="248"/>
        <item x="253"/>
        <item x="237"/>
        <item x="236"/>
        <item x="13"/>
        <item x="15"/>
        <item x="94"/>
        <item x="254"/>
        <item x="240"/>
        <item x="57"/>
        <item x="131"/>
        <item x="133"/>
        <item x="63"/>
        <item x="8"/>
        <item x="22"/>
        <item x="266"/>
        <item x="32"/>
        <item x="33"/>
        <item x="89"/>
        <item x="19"/>
        <item x="157"/>
        <item x="50"/>
        <item x="153"/>
        <item x="203"/>
        <item x="275"/>
        <item x="260"/>
        <item x="114"/>
        <item x="196"/>
        <item x="28"/>
        <item x="9"/>
        <item x="119"/>
        <item x="7"/>
        <item x="12"/>
        <item x="117"/>
        <item x="11"/>
        <item x="124"/>
        <item x="168"/>
        <item x="150"/>
        <item x="149"/>
        <item x="269"/>
        <item x="3"/>
        <item x="14"/>
        <item x="74"/>
        <item x="270"/>
        <item x="223"/>
        <item x="242"/>
        <item x="243"/>
        <item x="244"/>
        <item x="252"/>
        <item x="120"/>
        <item x="250"/>
        <item x="241"/>
        <item x="208"/>
        <item x="126"/>
        <item x="173"/>
        <item x="123"/>
        <item x="195"/>
        <item x="77"/>
        <item x="78"/>
        <item x="84"/>
        <item x="82"/>
        <item x="79"/>
        <item x="80"/>
        <item x="76"/>
        <item x="81"/>
        <item x="10"/>
        <item x="148"/>
        <item x="147"/>
        <item x="69"/>
        <item x="21"/>
        <item x="182"/>
        <item x="181"/>
        <item x="109"/>
        <item x="23"/>
        <item x="193"/>
        <item x="145"/>
        <item x="45"/>
        <item x="46"/>
        <item x="0"/>
        <item x="5"/>
        <item x="1"/>
        <item x="2"/>
        <item x="31"/>
        <item x="92"/>
        <item x="17"/>
        <item x="16"/>
        <item x="66"/>
        <item x="90"/>
        <item x="98"/>
        <item x="99"/>
        <item x="93"/>
        <item x="272"/>
        <item x="263"/>
        <item x="105"/>
        <item x="95"/>
        <item x="219"/>
        <item x="238"/>
        <item x="222"/>
        <item x="227"/>
        <item x="224"/>
        <item x="221"/>
        <item x="209"/>
        <item x="146"/>
        <item x="213"/>
        <item x="251"/>
        <item x="29"/>
        <item x="185"/>
        <item x="262"/>
        <item x="137"/>
        <item x="216"/>
        <item x="165"/>
        <item x="199"/>
        <item x="256"/>
        <item x="25"/>
        <item x="53"/>
        <item t="default"/>
      </items>
    </pivotField>
    <pivotField axis="axisPage" showAll="0">
      <items count="64">
        <item x="14"/>
        <item x="53"/>
        <item x="3"/>
        <item x="51"/>
        <item x="7"/>
        <item x="20"/>
        <item x="19"/>
        <item x="2"/>
        <item x="1"/>
        <item x="57"/>
        <item x="62"/>
        <item x="37"/>
        <item x="23"/>
        <item x="49"/>
        <item x="10"/>
        <item x="32"/>
        <item x="50"/>
        <item x="48"/>
        <item x="0"/>
        <item x="21"/>
        <item x="54"/>
        <item x="35"/>
        <item x="27"/>
        <item x="28"/>
        <item x="29"/>
        <item x="18"/>
        <item x="56"/>
        <item x="38"/>
        <item x="39"/>
        <item x="22"/>
        <item x="24"/>
        <item x="40"/>
        <item x="13"/>
        <item x="33"/>
        <item x="17"/>
        <item x="36"/>
        <item x="60"/>
        <item x="26"/>
        <item x="45"/>
        <item x="6"/>
        <item x="5"/>
        <item x="47"/>
        <item x="25"/>
        <item x="41"/>
        <item x="11"/>
        <item x="61"/>
        <item x="58"/>
        <item x="31"/>
        <item x="30"/>
        <item x="55"/>
        <item x="59"/>
        <item x="15"/>
        <item x="8"/>
        <item x="16"/>
        <item x="9"/>
        <item x="46"/>
        <item x="43"/>
        <item x="44"/>
        <item x="4"/>
        <item x="52"/>
        <item x="42"/>
        <item x="34"/>
        <item x="12"/>
        <item t="default"/>
      </items>
    </pivotField>
  </pivotFields>
  <rowFields count="2">
    <field x="0"/>
    <field x="4"/>
  </rowFields>
  <rowItems count="31">
    <i>
      <x/>
    </i>
    <i r="1">
      <x v="198"/>
    </i>
    <i r="1">
      <x v="243"/>
    </i>
    <i>
      <x v="1"/>
    </i>
    <i r="1">
      <x v="133"/>
    </i>
    <i r="1">
      <x v="246"/>
    </i>
    <i r="1">
      <x v="277"/>
    </i>
    <i>
      <x v="2"/>
    </i>
    <i r="1">
      <x v="163"/>
    </i>
    <i r="1">
      <x v="225"/>
    </i>
    <i r="1">
      <x v="250"/>
    </i>
    <i>
      <x v="3"/>
    </i>
    <i r="1">
      <x v="44"/>
    </i>
    <i r="1">
      <x v="253"/>
    </i>
    <i>
      <x v="4"/>
    </i>
    <i r="1">
      <x v="154"/>
    </i>
    <i r="1">
      <x v="239"/>
    </i>
    <i r="1">
      <x v="272"/>
    </i>
    <i>
      <x v="6"/>
    </i>
    <i r="1">
      <x v="67"/>
    </i>
    <i r="1">
      <x v="274"/>
    </i>
    <i>
      <x v="8"/>
    </i>
    <i r="1">
      <x v="22"/>
    </i>
    <i r="1">
      <x v="119"/>
    </i>
    <i>
      <x v="9"/>
    </i>
    <i r="1">
      <x v="113"/>
    </i>
    <i>
      <x v="10"/>
    </i>
    <i r="1">
      <x v="113"/>
    </i>
    <i>
      <x v="11"/>
    </i>
    <i r="1">
      <x v="164"/>
    </i>
    <i t="grand">
      <x/>
    </i>
  </rowItems>
  <colItems count="1">
    <i/>
  </colItems>
  <pageFields count="1">
    <pageField fld="5" item="40" hier="-1"/>
  </pageFields>
  <dataFields count="1">
    <dataField name="Count of Tool Name Full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1D6663-8B71-4547-9803-EF26620C6E56}" name="Table2" displayName="Table2" ref="A1:CO323" totalsRowShown="0" headerRowDxfId="102" dataDxfId="101">
  <autoFilter ref="A1:CO323" xr:uid="{741D6663-8B71-4547-9803-EF26620C6E56}"/>
  <tableColumns count="93">
    <tableColumn id="1" xr3:uid="{7087ADEB-BDF2-475C-90BC-0EED7248B86E}" name="Tool configuration I.D." dataDxfId="100"/>
    <tableColumn id="2" xr3:uid="{97AAD9E4-3075-4BDE-9300-AB9A8B032E9B}" name="Tool size (NPS) (in)" dataDxfId="99"/>
    <tableColumn id="3" xr3:uid="{0683603A-0124-4001-9909-0B11FCD3413A}" name="Tool description" dataDxfId="98"/>
    <tableColumn id="4" xr3:uid="{AD1E4F7A-ABF6-46B1-B142-1FD4FB53BF75}" name="Technology" dataDxfId="97"/>
    <tableColumn id="5" xr3:uid="{C60E7B5C-2EE2-4FC8-8B80-423C380C3CB1}" name="Tool type" dataDxfId="96"/>
    <tableColumn id="6" xr3:uid="{F30F5E01-3A1F-483D-A089-950D721F312D}" name="SF Item Describtion" dataDxfId="95"/>
    <tableColumn id="7" xr3:uid="{74775A89-E2FD-4543-9E4A-6353FAD1B30E}" name="FSA Item Describtion" dataDxfId="94">
      <calculatedColumnFormula>_xlfn.XLOOKUP(A2, 'Just Methods'!M:M, 'Just Methods'!C:C, "")</calculatedColumnFormula>
    </tableColumn>
    <tableColumn id="88" xr3:uid="{334502E2-D3B3-449A-8D87-5569705D6CEB}" name="FSA Alias" dataDxfId="93"/>
    <tableColumn id="87" xr3:uid="{49E09EDE-9513-4F34-98EC-E38E40C8EFAF}" name="Tool Body" dataDxfId="92">
      <calculatedColumnFormula>_xlfn.XLOOKUP(H2,'Alternative Tool Body Sheet'!A:A,'Alternative Tool Body Sheet'!C:C)</calculatedColumnFormula>
    </tableColumn>
    <tableColumn id="8" xr3:uid="{5A6190FB-82D9-4A8D-AE0C-6725FAA51F31}" name="Days To Turn" dataDxfId="91">
      <calculatedColumnFormula>IF(ISNUMBER(SEARCH("Legacy",D2)),5,
IF(OR(ISNUMBER(SEARCH("MDS",D2)),ISNUMBER(SEARCH("EMAT",D2))),7,""))</calculatedColumnFormula>
    </tableColumn>
    <tableColumn id="9" xr3:uid="{0BB3A975-CB21-4DDE-8C2F-1CC08999FD77}" name="Data Logger Generation" dataDxfId="90"/>
    <tableColumn id="10" xr3:uid="{75BA14D2-F8CD-486B-B612-A8820E61BF54}" name="Nominal pipe OD (in)" dataDxfId="89"/>
    <tableColumn id="11" xr3:uid="{22521B24-C053-4315-AA38-E0865046CD3E}" name="Min local bore (in)" dataDxfId="88"/>
    <tableColumn id="12" xr3:uid="{761FB866-D4AB-412D-BDBD-625EACA8D0D9}" name="% DEF   of OD" dataDxfId="87"/>
    <tableColumn id="13" xr3:uid="{4C630858-E7E6-4AB4-8AA6-AA356F5DE322}" name="Gauge plate size for line with &lt;5D bends" dataDxfId="86"/>
    <tableColumn id="14" xr3:uid="{ABA20FDE-1FAB-490A-90D9-00C4F0C817BB}" name="Gauge plate size for line with &gt;5D bends" dataDxfId="85"/>
    <tableColumn id="15" xr3:uid="{991092A6-950D-4729-9B5D-293E67A1D2B2}" name="Min bend radius (multiples of pipe diameter)" dataDxfId="84"/>
    <tableColumn id="16" xr3:uid="{8A05971F-03EB-41E0-BA20-3BB44665BD48}" name="Min bore in 1.5D bends" dataDxfId="83"/>
    <tableColumn id="17" xr3:uid="{6E75310E-A3EB-471D-B0DA-9C25457D0F95}" name="Min bore in 3D bends" dataDxfId="82"/>
    <tableColumn id="18" xr3:uid="{9D91B4D1-6372-4752-A72E-873FE12FE585}" name="Min bore in 5D (or greater) bends" dataDxfId="81"/>
    <tableColumn id="19" xr3:uid="{9FD58808-D8EC-46D0-9F9D-82D9BDEFE418}" name="Min dist. between bends (multiples of pipe diameter)" dataDxfId="80"/>
    <tableColumn id="20" xr3:uid="{973D3A34-388F-4B96-A45D-9D39EE12076E}" name="Max tool velocity for sizing accuracy (ft/sec)" dataDxfId="79"/>
    <tableColumn id="21" xr3:uid="{1D51EF51-867C-4C0D-9B8B-A0DBBF304AE7}" name="Higher Specified Tool Velocity (ft/sec)" dataDxfId="78"/>
    <tableColumn id="22" xr3:uid="{317BF2F2-939E-495C-BAC0-06D147D04777}" name="Max wall thickness for MFL reporting accuracy at Higher Specified Tool Velocity (in)" dataDxfId="77"/>
    <tableColumn id="23" xr3:uid="{A406E97A-B73D-4317-A810-0801E7736BA8}" name="Lower Specified Velocity (ft/sec)" dataDxfId="76"/>
    <tableColumn id="24" xr3:uid="{2023BB77-F147-484E-941D-F18D8FD1730A}" name="Max wall thickness for MFL reporting accuracy at Lower Specified Tool Velocity (in)" dataDxfId="75"/>
    <tableColumn id="25" xr3:uid="{4A292BDD-390A-4D22-AE9C-FFEE332337B6}" name="Number of DEF sensors" dataDxfId="74"/>
    <tableColumn id="26" xr3:uid="{267A1D18-FBD9-4900-8E5D-5E6FEEDF585A}" name="Number of Flex MFL sensors" dataDxfId="73"/>
    <tableColumn id="27" xr3:uid="{003671D1-2EAC-45BD-9EAF-0DD700B872FF}" name="Number of GMFL sensors" dataDxfId="72"/>
    <tableColumn id="28" xr3:uid="{4B191F6A-C5EF-485E-9110-57742917C3E6}" name="Number of IDOD sensors" dataDxfId="71"/>
    <tableColumn id="29" xr3:uid="{4A382467-DD05-483E-9CE8-3F4CFEBC4EBB}" name="Number of K360 sensors" dataDxfId="70"/>
    <tableColumn id="30" xr3:uid="{E9F2B621-D738-4956-9943-5371E3271521}" name="Number of LFM sensors" dataDxfId="69"/>
    <tableColumn id="31" xr3:uid="{563A2388-2310-43DF-BA66-679F00711AEB}" name="Number of LGT sensors" dataDxfId="68"/>
    <tableColumn id="32" xr3:uid="{FF24FA6C-E775-4544-A344-E5626D438FF1}" name="Number of MFL sensors" dataDxfId="67"/>
    <tableColumn id="33" xr3:uid="{7D5CFE05-3C51-4943-B470-18C3C567FA0D}" name="Number of RES sensors" dataDxfId="66"/>
    <tableColumn id="34" xr3:uid="{39751371-93E6-42D3-A3C3-E4CF06883D23}" name="Number of SpirALL® MFL sensors" dataDxfId="65"/>
    <tableColumn id="35" xr3:uid="{B52EAA3B-B8DD-43E8-A756-9492EBAE300C}" name="Number of UHR DEF sensors" dataDxfId="64"/>
    <tableColumn id="36" xr3:uid="{CE7B1B4E-B133-40F5-9B9B-2F3AA43ECB48}" name="Number of UHR MFL sensors" dataDxfId="63"/>
    <tableColumn id="37" xr3:uid="{4098AB4D-5C22-4162-915D-AB54EF283A52}" name="Number of Ultra Res MFL sensors" dataDxfId="62"/>
    <tableColumn id="38" xr3:uid="{BF4D2690-8AF7-4247-804F-9DBF52C36E36}" name="Max sampling rate (samp/sec)" dataDxfId="61"/>
    <tableColumn id="39" xr3:uid="{C3C0911C-949F-4B87-B37A-51512587F44E}" name="Length standard config (in)" dataDxfId="60"/>
    <tableColumn id="40" xr3:uid="{2D838411-F938-4D68-AD4F-4D80D12B6EE8}" name="Length added for each additional battery pack (in)" dataDxfId="59"/>
    <tableColumn id="41" xr3:uid="{50D3CC52-9D6B-4F45-BDAD-41649FFBA615}" name="Tool weight (lb)" dataDxfId="58"/>
    <tableColumn id="42" xr3:uid="{D5083D54-988E-4FCE-BC17-13F160552E92}" name="Weight added for each additional battery pack (lb)" dataDxfId="57"/>
    <tableColumn id="43" xr3:uid="{EBEEC72A-9C44-4103-B996-661317D8A47C}" name="Run time per alk pack (hours)" dataDxfId="56"/>
    <tableColumn id="44" xr3:uid="{79AE153A-20BB-4E33-84D7-4E49BE994E87}" name="Run time per lith pack (hours)" dataDxfId="55"/>
    <tableColumn id="45" xr3:uid="{E187EC82-34D6-45FF-B19E-CDEDCE445639}" name="Memory run time at 750 s/sec. (hours)" dataDxfId="54"/>
    <tableColumn id="46" xr3:uid="{9C2B5A1E-E890-4A2E-8CDD-94AF724241D2}" name="Total power (W)" dataDxfId="53"/>
    <tableColumn id="47" xr3:uid="{1309272A-DEC4-495A-BCD8-C5A71284E31F}" name="Total current at 12 V supply (A)" dataDxfId="52"/>
    <tableColumn id="48" xr3:uid="{53071FD8-E725-4442-B199-1E99C427CFEF}" name="Min pressure (psi)" dataDxfId="51"/>
    <tableColumn id="49" xr3:uid="{21F7BDB8-1A4F-4259-BFF8-56EDDC28383E}" name="Max pressure (psi)" dataDxfId="50"/>
    <tableColumn id="50" xr3:uid="{0A8D5558-07FC-4E29-B417-5791D2D5A906}" name="Specification document #" dataDxfId="49"/>
    <tableColumn id="51" xr3:uid="{BDCA1278-FFA0-4C19-8A6F-397D9DB03D3A}" name="Ammonia compatible" dataDxfId="48"/>
    <tableColumn id="52" xr3:uid="{B76E80AF-C936-4731-9DE8-0F830563FC66}" name="Push in" dataDxfId="47"/>
    <tableColumn id="53" xr3:uid="{E5CBF7D2-CF8A-4A9F-B638-100B26DFE063}" name="Pull in" dataDxfId="46"/>
    <tableColumn id="54" xr3:uid="{EF0CE8B2-1033-4BE1-8767-287A04BB2CB1}" name="Vertical launch" dataDxfId="45"/>
    <tableColumn id="55" xr3:uid="{3BED5BA3-FD0F-4A2A-9159-C9096A5F4F80}" name="Cassette" dataDxfId="44"/>
    <tableColumn id="56" xr3:uid="{5B1BECEA-3399-474E-BF02-40AC09915592}" name="Strings / cell / nom volt alkaline" dataDxfId="43"/>
    <tableColumn id="57" xr3:uid="{C1C3F369-3A18-4005-9D5F-4B4106F4C886}" name="Strings / cell / nom volt lithium" dataDxfId="42"/>
    <tableColumn id="58" xr3:uid="{CF01AD44-569B-4BA8-86BF-06BFFD7C12FA}" name="In-Line Temperature Range (°F)" dataDxfId="41"/>
    <tableColumn id="59" xr3:uid="{5D4B3496-8660-40EC-A073-C78590A69216}" name="Launcher-Tool Performance Specification Dim 'A' (ft)" dataDxfId="40"/>
    <tableColumn id="60" xr3:uid="{D9DCE40E-E042-45DD-8A75-6EE8092E1314}" name="Launcher-Tool Performance Specification Dim 'B' (ft)" dataDxfId="39"/>
    <tableColumn id="61" xr3:uid="{D309E27B-EF6F-4C45-A7E1-CEB93E1EECA5}" name="Launcher-Tool Performance Specification Dim 'C' (ft)" dataDxfId="38"/>
    <tableColumn id="62" xr3:uid="{306EBC4D-AD32-46E4-B742-08DAD264A9C7}" name="Launcher-Tool Performance Specification Dim 'D' (in)" dataDxfId="37"/>
    <tableColumn id="63" xr3:uid="{8D5A2F4E-CE4A-448E-AD53-A93045C12709}" name="Launcher-Tool Performance Specification Dim 'E' (ft)" dataDxfId="36"/>
    <tableColumn id="64" xr3:uid="{C977CE19-A18F-4FA9-9972-2ACA449FFC8F}" name="Launcher-Tool Performance Specification Dim 'F' (ft)" dataDxfId="35"/>
    <tableColumn id="65" xr3:uid="{CD507292-E22D-4354-863C-A530D4BDA076}" name="Receiver-Tool Performance Specification Dim 'A' (ft)" dataDxfId="34"/>
    <tableColumn id="66" xr3:uid="{EE2D4687-04B1-45F4-8DE3-5F827628730F}" name="Receiver-Tool Performance Specification Dim 'B' (ft)" dataDxfId="33"/>
    <tableColumn id="67" xr3:uid="{EA9207D6-E8A4-4001-86D4-814DF3AF8BD9}" name="Receiver-Tool Performance Specification Dim 'C' (ft)" dataDxfId="32"/>
    <tableColumn id="68" xr3:uid="{238E8D3E-435E-4A62-B451-5970B63E3DD2}" name="Receiver-Tool Performance Specification Dim 'D' (in)" dataDxfId="31"/>
    <tableColumn id="69" xr3:uid="{413A8E60-88C7-4FDF-9880-2B7508A708EE}" name="Receiver-Tool Performance Specification Dim 'E' (ft)" dataDxfId="30"/>
    <tableColumn id="70" xr3:uid="{52F334AC-3913-4006-BFB5-7029C009A9EB}" name="Receiver-Tool Performance Specification Dim 'F' (ft)" dataDxfId="29"/>
    <tableColumn id="71" xr3:uid="{C20B44B7-7519-49FE-9CBD-6B53DDB1DAAD}" name="Min tool Launch/Receive Tray Height (in)" dataDxfId="28"/>
    <tableColumn id="72" xr3:uid="{B044ECBE-1BA4-49E3-8B1B-8012B847B7CB}" name="Max tool Launch/Receive Tray Height (in)" dataDxfId="27"/>
    <tableColumn id="73" xr3:uid="{E5288874-B7B6-4A94-9EC1-3E5346AC8108}" name="DRV" dataDxfId="26"/>
    <tableColumn id="74" xr3:uid="{E8F64070-83B5-447D-B94B-1E871317A776}" name="AMAG" dataDxfId="25"/>
    <tableColumn id="75" xr3:uid="{A0F0F5DB-12CB-4C8F-A945-52F759F32426}" name="DAA" dataDxfId="24"/>
    <tableColumn id="76" xr3:uid="{10570EC7-1C73-4067-A62A-8726DAE267D9}" name="CPU" dataDxfId="23"/>
    <tableColumn id="77" xr3:uid="{D0C3CEAE-81F1-4C54-B991-746E585611F0}" name="XMIT" dataDxfId="22"/>
    <tableColumn id="78" xr3:uid="{22A94816-249D-48EF-9A2F-AC54904E9B5A}" name="BAT" dataDxfId="21"/>
    <tableColumn id="79" xr3:uid="{E55857C2-D78C-4D5F-B74E-386E6B059EA4}" name="BAT2" dataDxfId="20"/>
    <tableColumn id="80" xr3:uid="{E99E4F30-BF55-4A44-982B-8C2B02EE520B}" name="SMAG" dataDxfId="19"/>
    <tableColumn id="81" xr3:uid="{0F29595F-2934-4328-BAC9-D7E02E6C5EBD}" name="SMFL2" dataDxfId="18"/>
    <tableColumn id="82" xr3:uid="{10AC24BD-D35E-4BAC-9AE4-BE63BEF3B2F3}" name="EMAG" dataDxfId="17"/>
    <tableColumn id="84" xr3:uid="{D972B75B-A736-4BBF-A04C-C1DF6DC0D49A}" name="ARAA (RES)" dataDxfId="16"/>
    <tableColumn id="85" xr3:uid="{6C19FFEB-2CF3-4EB8-85FB-3EC834B5BE03}" name="LFM (LMAG)" dataDxfId="15"/>
    <tableColumn id="95" xr3:uid="{D9B94555-6C51-45B6-932F-425FAF82AFBA}" name="GMAG" dataDxfId="14"/>
    <tableColumn id="86" xr3:uid="{A58B40D4-72D4-48D6-939F-FBB7A3D2F3D9}" name="Not for use in water" dataDxfId="13"/>
    <tableColumn id="91" xr3:uid="{1F5378ED-E147-46EA-8EE5-B47342B2D5A1}" name="Count of Assets" dataDxfId="12"/>
    <tableColumn id="92" xr3:uid="{34107D0A-7195-4112-92E2-BB8AB137C6A7}" name="Count TUL" dataDxfId="11"/>
    <tableColumn id="94" xr3:uid="{4601C013-35C5-4D7F-9E79-58B992767913}" name="Count SLC" dataDxfId="10"/>
    <tableColumn id="93" xr3:uid="{C7709F2E-D63C-4397-BDFC-05205F90FFD3}" name="Count HOU" dataDxfId="9"/>
    <tableColumn id="89" xr3:uid="{3C9F7E09-3113-4BF7-9D99-9E418090370B}" name="Notes" dataDxfId="8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5CA8D0-FE2F-4B9D-BC94-66A0073337E9}" name="Table4" displayName="Table4" ref="A1:G85" totalsRowShown="0">
  <autoFilter ref="A1:G85" xr:uid="{455CA8D0-FE2F-4B9D-BC94-66A0073337E9}"/>
  <tableColumns count="7">
    <tableColumn id="1" xr3:uid="{9EF42D40-B0E8-496A-8E30-2319BBBB20D9}" name="Size"/>
    <tableColumn id="2" xr3:uid="{9FAD12BE-F25F-4889-8E93-E1CA7D23D26E}" name="Tool Componet"/>
    <tableColumn id="3" xr3:uid="{48C14BAE-0C0B-4DAB-8C59-52704FCACB5F}" name="Model Number"/>
    <tableColumn id="4" xr3:uid="{53330260-A6E6-4CF1-8054-40A749C7CC8B}" name="Technogolgy"/>
    <tableColumn id="5" xr3:uid="{42BBA218-CFB9-46BE-AD0C-A78566D9A483}" name="Other Name"/>
    <tableColumn id="7" xr3:uid="{64013BC5-48C4-4475-92ED-0D4B6C05931F}" name="Notes"/>
    <tableColumn id="6" xr3:uid="{181B69A9-BD37-474F-A231-10065F985A51}" name="Dual Size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994ED1-F1D1-4A2A-AE8D-8641DC940115}" name="Table1" displayName="Table1" ref="A1:H440" totalsRowShown="0">
  <autoFilter ref="A1:H440" xr:uid="{60994ED1-F1D1-4A2A-AE8D-8641DC940115}"/>
  <sortState xmlns:xlrd2="http://schemas.microsoft.com/office/spreadsheetml/2017/richdata2" ref="A2:H440">
    <sortCondition ref="B1:B440"/>
  </sortState>
  <tableColumns count="8">
    <tableColumn id="1" xr3:uid="{A0B0E3B7-3BD9-46EF-AD15-CA574E667C2F}" name="Run Type" dataDxfId="7"/>
    <tableColumn id="2" xr3:uid="{A4A8F028-4C67-477A-939B-26999FA274D4}" name="Size" dataDxfId="6">
      <calculatedColumnFormula>VALUE(_xlfn.TEXTAFTER(A2, ".", -1))</calculatedColumnFormula>
    </tableColumn>
    <tableColumn id="3" xr3:uid="{869B8BB2-56E0-4B4E-92AD-28E7D01E3BC4}" name="Tool Body TAS Report" dataDxfId="5"/>
    <tableColumn id="4" xr3:uid="{A7CBA498-AF17-4DF7-8D6B-5651BB0626C7}" name="Days to Turn" dataDxfId="4"/>
    <tableColumn id="5" xr3:uid="{7AF8666A-C04C-4793-A76A-1A60B7C76033}" name="Technology"/>
    <tableColumn id="6" xr3:uid="{3F96083D-B6CA-484C-BAF6-22A2F5780853}" name="SF Item Describtion"/>
    <tableColumn id="7" xr3:uid="{53C2187A-5DBD-4460-9306-5499CCDE1499}" name="FSA Item Number"/>
    <tableColumn id="8" xr3:uid="{93C13120-0888-40D7-9933-41B62A14663C}" name="FSA Tool Config Code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805861-C8D7-45E6-A28F-8C1D58C4A77A}" name="AxTable1" displayName="AxTable1" ref="A2:G4002" totalsRowShown="0">
  <autoFilter ref="A2:G4002" xr:uid="{FC805861-C8D7-45E6-A28F-8C1D58C4A77A}"/>
  <tableColumns count="7">
    <tableColumn id="1" xr3:uid="{CE088163-D918-403E-A616-6E91FF1E0208}" name="Asset"/>
    <tableColumn id="2" xr3:uid="{64CA6DB3-1B29-4A55-892D-CA9BE29632D4}" name="Name"/>
    <tableColumn id="3" xr3:uid="{6BE28B60-DADC-4BDD-8726-D6F7246ECF96}" name="Asset type"/>
    <tableColumn id="4" xr3:uid="{92875AE1-690E-4156-8F6F-DD87F3918D86}" name="Model"/>
    <tableColumn id="5" xr3:uid="{33134CC9-DA78-43B3-BB6D-50E3E470DF86}" name="Current lifecycle state"/>
    <tableColumn id="6" xr3:uid="{E567D343-9BD0-4CE0-9192-2A713FF232B2}" name="Functional location"/>
    <tableColumn id="7" xr3:uid="{C7D5CE09-18CC-4542-A3CD-4AEEC2976730}" name="Home Functional Loc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F67C73-246C-4A9A-8966-BDB4CE04EEB7}" name="Table5" displayName="Table5" ref="A1:D20" totalsRowShown="0">
  <autoFilter ref="A1:D20" xr:uid="{6CF67C73-246C-4A9A-8966-BDB4CE04EEB7}"/>
  <tableColumns count="4">
    <tableColumn id="1" xr3:uid="{0EB71B3D-C6E2-4CC1-A00A-DFB23D87E51E}" name="Model #"/>
    <tableColumn id="2" xr3:uid="{8C259E73-1860-402D-ABB4-C0494B701CF6}" name="Tool Body"/>
    <tableColumn id="3" xr3:uid="{4340716D-D470-49F3-AEAD-3392108E0F13}" name="Tool Size"/>
    <tableColumn id="4" xr3:uid="{D5B85B78-F135-4E0D-84A3-EE49F46E38C2}" name="Technolog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C0948-3B3E-4399-96DA-4859437869D6}">
  <sheetPr codeName="Sheet2"/>
  <dimension ref="A1:CW334"/>
  <sheetViews>
    <sheetView tabSelected="1" workbookViewId="0">
      <selection activeCell="BX194" sqref="BX194"/>
    </sheetView>
  </sheetViews>
  <sheetFormatPr defaultColWidth="9.140625" defaultRowHeight="15" x14ac:dyDescent="0.25"/>
  <cols>
    <col min="1" max="1" width="25.7109375" bestFit="1" customWidth="1"/>
    <col min="2" max="2" width="20.140625" customWidth="1"/>
    <col min="3" max="3" width="38.28515625" hidden="1" customWidth="1"/>
    <col min="4" max="4" width="13.42578125" style="52" customWidth="1"/>
    <col min="5" max="6" width="33.42578125" hidden="1" customWidth="1"/>
    <col min="7" max="7" width="43.5703125" hidden="1" customWidth="1"/>
    <col min="8" max="8" width="28.28515625" style="38" bestFit="1" customWidth="1"/>
    <col min="9" max="9" width="14.42578125" customWidth="1"/>
    <col min="10" max="10" width="9.85546875" customWidth="1"/>
    <col min="11" max="74" width="0" hidden="1" customWidth="1"/>
    <col min="75" max="75" width="12.7109375" hidden="1" customWidth="1"/>
    <col min="76" max="76" width="29.42578125" customWidth="1"/>
    <col min="77" max="77" width="26.7109375" customWidth="1"/>
    <col min="78" max="78" width="26.5703125" hidden="1" customWidth="1"/>
    <col min="79" max="79" width="25.85546875" hidden="1" customWidth="1"/>
    <col min="80" max="80" width="25.28515625" hidden="1" customWidth="1"/>
    <col min="81" max="81" width="25.140625" hidden="1" customWidth="1"/>
    <col min="82" max="82" width="25.28515625" customWidth="1"/>
    <col min="83" max="83" width="25.28515625" hidden="1" customWidth="1"/>
    <col min="84" max="84" width="34.28515625" customWidth="1"/>
    <col min="85" max="85" width="30.7109375" customWidth="1"/>
    <col min="86" max="86" width="34.85546875" customWidth="1"/>
    <col min="87" max="87" width="34.85546875" style="25" customWidth="1"/>
    <col min="88" max="92" width="20.7109375" customWidth="1"/>
    <col min="93" max="93" width="27.85546875" customWidth="1"/>
  </cols>
  <sheetData>
    <row r="1" spans="1:101" s="8" customFormat="1" ht="76.5" customHeight="1" x14ac:dyDescent="0.25">
      <c r="A1" s="2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39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20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</row>
    <row r="2" spans="1:101" s="8" customFormat="1" x14ac:dyDescent="0.25">
      <c r="A2" s="13">
        <v>115675</v>
      </c>
      <c r="B2" s="9">
        <v>4</v>
      </c>
      <c r="C2" s="9" t="s">
        <v>93</v>
      </c>
      <c r="D2" s="9" t="s">
        <v>94</v>
      </c>
      <c r="E2" s="9" t="s">
        <v>95</v>
      </c>
      <c r="F2" s="9"/>
      <c r="G2" s="33" t="s">
        <v>96</v>
      </c>
      <c r="H2" s="47" t="s">
        <v>97</v>
      </c>
      <c r="I2" s="9" t="str">
        <f>_xlfn.XLOOKUP(H2,'Alternative Tool Body Sheet'!A:A,'Alternative Tool Body Sheet'!C:C)</f>
        <v>4 DEF</v>
      </c>
      <c r="J2" s="9">
        <f t="shared" ref="J2:J65" si="0">IF(ISNUMBER(SEARCH("Legacy",D2)),5,
IF(OR(ISNUMBER(SEARCH("MDS",D2)),ISNUMBER(SEARCH("EMAT",D2))),7,""))</f>
        <v>5</v>
      </c>
      <c r="K2" s="9" t="s">
        <v>98</v>
      </c>
      <c r="L2" s="9">
        <v>4.5</v>
      </c>
      <c r="M2" s="9">
        <v>3.5</v>
      </c>
      <c r="N2" s="9">
        <v>100</v>
      </c>
      <c r="P2" s="9">
        <v>3.875</v>
      </c>
      <c r="Q2" s="9" t="s">
        <v>99</v>
      </c>
      <c r="S2" s="9">
        <v>3.88</v>
      </c>
      <c r="U2" s="9" t="s">
        <v>99</v>
      </c>
      <c r="V2" s="9">
        <v>15</v>
      </c>
      <c r="AA2" s="9">
        <v>8</v>
      </c>
      <c r="AN2" s="9">
        <v>500</v>
      </c>
      <c r="AO2" s="9">
        <v>68</v>
      </c>
      <c r="AP2" s="9">
        <v>12</v>
      </c>
      <c r="AQ2" s="9">
        <v>52</v>
      </c>
      <c r="AR2" s="9">
        <v>10</v>
      </c>
      <c r="AT2" s="9">
        <v>10</v>
      </c>
      <c r="AV2" s="9">
        <v>3.1</v>
      </c>
      <c r="AW2" s="9">
        <v>0.26</v>
      </c>
      <c r="AX2" s="9">
        <v>375</v>
      </c>
      <c r="AY2" s="9">
        <v>2000</v>
      </c>
      <c r="AZ2" s="9" t="s">
        <v>100</v>
      </c>
      <c r="BA2" s="9" t="s">
        <v>101</v>
      </c>
      <c r="BB2" s="9" t="s">
        <v>101</v>
      </c>
      <c r="BC2" s="9" t="s">
        <v>101</v>
      </c>
      <c r="BD2" s="9" t="s">
        <v>102</v>
      </c>
      <c r="BE2" s="9" t="s">
        <v>102</v>
      </c>
      <c r="BF2" s="9" t="s">
        <v>103</v>
      </c>
      <c r="BG2" s="9" t="s">
        <v>104</v>
      </c>
      <c r="BH2" s="9" t="s">
        <v>105</v>
      </c>
      <c r="BI2" s="9">
        <v>6</v>
      </c>
      <c r="BJ2" s="9">
        <v>1</v>
      </c>
      <c r="BK2" s="9">
        <v>2</v>
      </c>
      <c r="BL2" s="9">
        <v>6</v>
      </c>
      <c r="BM2" s="9">
        <v>4</v>
      </c>
      <c r="BN2" s="9">
        <v>8</v>
      </c>
      <c r="BO2" s="9">
        <v>6</v>
      </c>
      <c r="BP2" s="9">
        <v>6</v>
      </c>
      <c r="BQ2" s="9">
        <v>2</v>
      </c>
      <c r="BR2" s="9">
        <v>6</v>
      </c>
      <c r="BS2" s="9">
        <v>4</v>
      </c>
      <c r="BT2" s="9">
        <v>8</v>
      </c>
      <c r="BY2" s="8" t="s">
        <v>106</v>
      </c>
      <c r="CI2" s="51"/>
      <c r="CJ2" s="8" t="b">
        <v>0</v>
      </c>
      <c r="CT2" s="8">
        <v>115675</v>
      </c>
      <c r="CV2" s="51" t="s">
        <v>97</v>
      </c>
      <c r="CW2" s="8" t="str">
        <f>TRIM(CV2)</f>
        <v>DEF.04</v>
      </c>
    </row>
    <row r="3" spans="1:101" s="8" customFormat="1" x14ac:dyDescent="0.25">
      <c r="A3" s="13" t="s">
        <v>107</v>
      </c>
      <c r="B3" s="9">
        <v>4</v>
      </c>
      <c r="C3" s="9" t="s">
        <v>108</v>
      </c>
      <c r="D3" s="9" t="s">
        <v>94</v>
      </c>
      <c r="E3" s="9" t="s">
        <v>95</v>
      </c>
      <c r="F3" s="9"/>
      <c r="G3" s="33" t="s">
        <v>109</v>
      </c>
      <c r="H3" s="47" t="s">
        <v>97</v>
      </c>
      <c r="I3" s="9" t="str">
        <f>_xlfn.XLOOKUP(H3,'Alternative Tool Body Sheet'!A:A,'Alternative Tool Body Sheet'!C:C)</f>
        <v>4 DEF</v>
      </c>
      <c r="J3" s="9">
        <f t="shared" si="0"/>
        <v>5</v>
      </c>
      <c r="K3" s="9" t="s">
        <v>98</v>
      </c>
      <c r="L3" s="9">
        <v>4.5</v>
      </c>
      <c r="M3" s="9">
        <v>3.5</v>
      </c>
      <c r="N3" s="9">
        <v>22.22</v>
      </c>
      <c r="P3" s="9">
        <v>3.875</v>
      </c>
      <c r="Q3" s="9" t="s">
        <v>99</v>
      </c>
      <c r="S3" s="9">
        <v>3.9</v>
      </c>
      <c r="T3" s="9">
        <v>3.7</v>
      </c>
      <c r="U3" s="9" t="s">
        <v>99</v>
      </c>
      <c r="V3" s="9">
        <v>15</v>
      </c>
      <c r="AA3" s="9">
        <v>8</v>
      </c>
      <c r="AN3" s="9">
        <v>500</v>
      </c>
      <c r="AO3" s="9">
        <v>61</v>
      </c>
      <c r="AP3" s="9">
        <v>12</v>
      </c>
      <c r="AQ3" s="9">
        <v>38</v>
      </c>
      <c r="AR3" s="9">
        <v>10</v>
      </c>
      <c r="AT3" s="9">
        <v>22</v>
      </c>
      <c r="AV3" s="9">
        <v>3.1</v>
      </c>
      <c r="AW3" s="9">
        <v>0.26</v>
      </c>
      <c r="AX3" s="9">
        <v>375</v>
      </c>
      <c r="AY3" s="9">
        <v>2000</v>
      </c>
      <c r="AZ3" s="9" t="s">
        <v>110</v>
      </c>
      <c r="BA3" s="9" t="s">
        <v>102</v>
      </c>
      <c r="BB3" s="9" t="s">
        <v>101</v>
      </c>
      <c r="BC3" s="9" t="s">
        <v>101</v>
      </c>
      <c r="BD3" s="9" t="s">
        <v>102</v>
      </c>
      <c r="BE3" s="9" t="s">
        <v>102</v>
      </c>
      <c r="BF3" s="9" t="s">
        <v>103</v>
      </c>
      <c r="BG3" s="9" t="s">
        <v>104</v>
      </c>
      <c r="BH3" s="9" t="s">
        <v>105</v>
      </c>
      <c r="BI3" s="9">
        <v>6</v>
      </c>
      <c r="BJ3" s="9">
        <v>1</v>
      </c>
      <c r="BK3" s="9">
        <v>2</v>
      </c>
      <c r="BL3" s="9">
        <v>6</v>
      </c>
      <c r="BM3" s="9">
        <v>4</v>
      </c>
      <c r="BN3" s="9">
        <v>8</v>
      </c>
      <c r="BO3" s="9">
        <v>6</v>
      </c>
      <c r="BP3" s="9">
        <v>6</v>
      </c>
      <c r="BQ3" s="9">
        <v>2</v>
      </c>
      <c r="BR3" s="9">
        <v>6</v>
      </c>
      <c r="BS3" s="9">
        <v>4</v>
      </c>
      <c r="BT3" s="9">
        <v>8</v>
      </c>
      <c r="BY3" s="8" t="s">
        <v>106</v>
      </c>
      <c r="CI3" s="51"/>
      <c r="CJ3" s="8" t="b">
        <v>0</v>
      </c>
      <c r="CT3" s="8" t="s">
        <v>107</v>
      </c>
      <c r="CV3" s="51" t="s">
        <v>97</v>
      </c>
      <c r="CW3" s="8" t="str">
        <f t="shared" ref="CW3:CW66" si="1">TRIM(CV3)</f>
        <v>DEF.04</v>
      </c>
    </row>
    <row r="4" spans="1:101" s="8" customFormat="1" x14ac:dyDescent="0.25">
      <c r="A4" s="21">
        <v>121771</v>
      </c>
      <c r="B4" s="10">
        <v>4</v>
      </c>
      <c r="C4" s="10" t="s">
        <v>111</v>
      </c>
      <c r="D4" s="10" t="s">
        <v>94</v>
      </c>
      <c r="E4" s="10" t="s">
        <v>112</v>
      </c>
      <c r="F4" s="10"/>
      <c r="G4" s="34" t="s">
        <v>113</v>
      </c>
      <c r="H4" s="48" t="s">
        <v>97</v>
      </c>
      <c r="I4" s="9" t="str">
        <f>_xlfn.XLOOKUP(H4,'Alternative Tool Body Sheet'!A:A,'Alternative Tool Body Sheet'!C:C)</f>
        <v>4 DEF</v>
      </c>
      <c r="J4" s="10">
        <f t="shared" si="0"/>
        <v>5</v>
      </c>
      <c r="K4" s="10" t="s">
        <v>114</v>
      </c>
      <c r="L4" s="10">
        <v>4.5</v>
      </c>
      <c r="M4" s="10">
        <v>3.5</v>
      </c>
      <c r="N4" s="10">
        <v>22.22</v>
      </c>
      <c r="O4" s="10">
        <v>4.25</v>
      </c>
      <c r="P4" s="10">
        <v>3.875</v>
      </c>
      <c r="Q4" s="10" t="s">
        <v>115</v>
      </c>
      <c r="R4" s="10">
        <v>3.86</v>
      </c>
      <c r="S4" s="10">
        <v>3.8</v>
      </c>
      <c r="T4" s="10">
        <v>3.75</v>
      </c>
      <c r="U4" s="10" t="s">
        <v>116</v>
      </c>
      <c r="V4" s="10">
        <v>15</v>
      </c>
      <c r="W4" s="10"/>
      <c r="X4" s="10"/>
      <c r="Y4" s="10"/>
      <c r="Z4" s="10"/>
      <c r="AA4" s="10">
        <v>16</v>
      </c>
      <c r="AB4" s="10"/>
      <c r="AC4" s="10"/>
      <c r="AD4" s="10">
        <v>16</v>
      </c>
      <c r="AE4" s="10"/>
      <c r="AF4" s="10"/>
      <c r="AG4" s="10"/>
      <c r="AH4" s="10"/>
      <c r="AI4" s="10"/>
      <c r="AJ4" s="10"/>
      <c r="AK4" s="10"/>
      <c r="AL4" s="10"/>
      <c r="AM4" s="10"/>
      <c r="AN4" s="10">
        <v>750</v>
      </c>
      <c r="AO4" s="10">
        <v>43.9</v>
      </c>
      <c r="AP4" s="10"/>
      <c r="AQ4" s="10">
        <v>33.5</v>
      </c>
      <c r="AR4" s="10"/>
      <c r="AS4" s="10"/>
      <c r="AT4" s="10">
        <v>35</v>
      </c>
      <c r="AU4" s="10">
        <v>180000</v>
      </c>
      <c r="AV4" s="10">
        <v>1.4</v>
      </c>
      <c r="AW4" s="10">
        <v>9.7000000000000003E-2</v>
      </c>
      <c r="AX4" s="10">
        <v>300</v>
      </c>
      <c r="AY4" s="10">
        <v>2000</v>
      </c>
      <c r="AZ4" s="10" t="s">
        <v>117</v>
      </c>
      <c r="BA4" s="10" t="s">
        <v>102</v>
      </c>
      <c r="BB4" s="10" t="s">
        <v>101</v>
      </c>
      <c r="BC4" s="10" t="s">
        <v>101</v>
      </c>
      <c r="BD4" s="10" t="s">
        <v>101</v>
      </c>
      <c r="BE4" s="10" t="s">
        <v>102</v>
      </c>
      <c r="BF4" s="10" t="s">
        <v>118</v>
      </c>
      <c r="BG4" s="10" t="s">
        <v>119</v>
      </c>
      <c r="BH4" s="10" t="s">
        <v>105</v>
      </c>
      <c r="BI4" s="10">
        <v>4</v>
      </c>
      <c r="BJ4" s="10">
        <v>1</v>
      </c>
      <c r="BK4" s="10">
        <v>2</v>
      </c>
      <c r="BL4" s="10">
        <v>6</v>
      </c>
      <c r="BM4" s="10">
        <v>2</v>
      </c>
      <c r="BN4" s="10">
        <v>6</v>
      </c>
      <c r="BO4" s="10">
        <v>4</v>
      </c>
      <c r="BP4" s="10">
        <v>3</v>
      </c>
      <c r="BQ4" s="10">
        <v>2</v>
      </c>
      <c r="BR4" s="10">
        <v>6</v>
      </c>
      <c r="BS4" s="10">
        <v>2</v>
      </c>
      <c r="BT4" s="10">
        <v>6</v>
      </c>
      <c r="BU4" s="10">
        <v>12</v>
      </c>
      <c r="BV4" s="10"/>
      <c r="BY4" s="8" t="s">
        <v>106</v>
      </c>
      <c r="CI4" s="51"/>
      <c r="CJ4" s="8" t="b">
        <v>1</v>
      </c>
      <c r="CT4" s="8">
        <v>121771</v>
      </c>
      <c r="CV4" s="51" t="s">
        <v>97</v>
      </c>
      <c r="CW4" s="8" t="str">
        <f t="shared" si="1"/>
        <v>DEF.04</v>
      </c>
    </row>
    <row r="5" spans="1:101" s="8" customFormat="1" x14ac:dyDescent="0.25">
      <c r="A5" s="21">
        <v>121770</v>
      </c>
      <c r="B5" s="10">
        <v>4</v>
      </c>
      <c r="C5" s="10" t="s">
        <v>120</v>
      </c>
      <c r="D5" s="10" t="s">
        <v>121</v>
      </c>
      <c r="E5" s="10" t="s">
        <v>122</v>
      </c>
      <c r="F5" s="10"/>
      <c r="G5" s="34" t="s">
        <v>123</v>
      </c>
      <c r="H5" s="48" t="s">
        <v>124</v>
      </c>
      <c r="I5" s="9" t="str">
        <f>_xlfn.XLOOKUP(H5,'Alternative Tool Body Sheet'!A:A,'Alternative Tool Body Sheet'!C:C)</f>
        <v>4 MDS</v>
      </c>
      <c r="J5" s="10">
        <f t="shared" si="0"/>
        <v>7</v>
      </c>
      <c r="K5" s="10" t="s">
        <v>114</v>
      </c>
      <c r="L5" s="10">
        <v>4.5</v>
      </c>
      <c r="M5" s="10">
        <v>3.6</v>
      </c>
      <c r="N5" s="10">
        <v>20</v>
      </c>
      <c r="O5" s="10"/>
      <c r="P5" s="10">
        <v>3.875</v>
      </c>
      <c r="Q5" s="10" t="s">
        <v>115</v>
      </c>
      <c r="R5" s="10">
        <v>3.86</v>
      </c>
      <c r="S5" s="10">
        <v>3.75</v>
      </c>
      <c r="T5" s="10">
        <v>3.7</v>
      </c>
      <c r="U5" s="10" t="s">
        <v>116</v>
      </c>
      <c r="V5" s="10">
        <v>10</v>
      </c>
      <c r="W5" s="10">
        <v>10</v>
      </c>
      <c r="X5" s="10">
        <v>0.3</v>
      </c>
      <c r="Y5" s="10">
        <v>1</v>
      </c>
      <c r="Z5" s="10">
        <v>0.313</v>
      </c>
      <c r="AA5" s="10">
        <v>16</v>
      </c>
      <c r="AB5" s="10">
        <v>40</v>
      </c>
      <c r="AC5" s="10"/>
      <c r="AD5" s="10">
        <v>16</v>
      </c>
      <c r="AE5" s="10"/>
      <c r="AF5" s="10"/>
      <c r="AG5" s="10"/>
      <c r="AH5" s="10"/>
      <c r="AI5" s="10"/>
      <c r="AJ5" s="10"/>
      <c r="AK5" s="10"/>
      <c r="AL5" s="10"/>
      <c r="AM5" s="10"/>
      <c r="AN5" s="10">
        <v>750</v>
      </c>
      <c r="AO5" s="10">
        <v>54.2</v>
      </c>
      <c r="AP5" s="10">
        <v>10.5</v>
      </c>
      <c r="AQ5" s="10">
        <v>48</v>
      </c>
      <c r="AR5" s="10">
        <v>8</v>
      </c>
      <c r="AS5" s="10"/>
      <c r="AT5" s="10">
        <v>38</v>
      </c>
      <c r="AU5" s="10">
        <v>180000</v>
      </c>
      <c r="AV5" s="10">
        <v>1.4</v>
      </c>
      <c r="AW5" s="10">
        <v>9.7000000000000003E-2</v>
      </c>
      <c r="AX5" s="10">
        <v>300</v>
      </c>
      <c r="AY5" s="10">
        <v>2000</v>
      </c>
      <c r="AZ5" s="10" t="s">
        <v>125</v>
      </c>
      <c r="BA5" s="10" t="s">
        <v>102</v>
      </c>
      <c r="BB5" s="10" t="s">
        <v>101</v>
      </c>
      <c r="BC5" s="10" t="s">
        <v>101</v>
      </c>
      <c r="BD5" s="10" t="s">
        <v>101</v>
      </c>
      <c r="BE5" s="10" t="s">
        <v>102</v>
      </c>
      <c r="BF5" s="10" t="s">
        <v>126</v>
      </c>
      <c r="BG5" s="10" t="s">
        <v>119</v>
      </c>
      <c r="BH5" s="10" t="s">
        <v>105</v>
      </c>
      <c r="BI5" s="10">
        <v>5</v>
      </c>
      <c r="BJ5" s="10">
        <v>1</v>
      </c>
      <c r="BK5" s="10">
        <v>2</v>
      </c>
      <c r="BL5" s="10">
        <v>6</v>
      </c>
      <c r="BM5" s="10">
        <v>4</v>
      </c>
      <c r="BN5" s="10">
        <v>7</v>
      </c>
      <c r="BO5" s="10">
        <v>5</v>
      </c>
      <c r="BP5" s="10">
        <v>5</v>
      </c>
      <c r="BQ5" s="10">
        <v>2</v>
      </c>
      <c r="BR5" s="10">
        <v>6</v>
      </c>
      <c r="BS5" s="10">
        <v>4</v>
      </c>
      <c r="BT5" s="10">
        <v>7</v>
      </c>
      <c r="BU5" s="10">
        <v>12</v>
      </c>
      <c r="BV5" s="10"/>
      <c r="BX5" s="8">
        <v>118211</v>
      </c>
      <c r="BY5" s="8">
        <v>116490</v>
      </c>
      <c r="CI5" s="51"/>
      <c r="CJ5" s="8" t="b">
        <v>1</v>
      </c>
      <c r="CT5" s="8">
        <v>121770</v>
      </c>
      <c r="CV5" s="51" t="s">
        <v>124</v>
      </c>
      <c r="CW5" s="8" t="str">
        <f t="shared" si="1"/>
        <v>FLEX.DEF.MFL.04</v>
      </c>
    </row>
    <row r="6" spans="1:101" s="8" customFormat="1" x14ac:dyDescent="0.25">
      <c r="A6" s="13">
        <v>115190</v>
      </c>
      <c r="B6" s="9">
        <v>4</v>
      </c>
      <c r="C6" s="9" t="s">
        <v>127</v>
      </c>
      <c r="D6" s="9" t="s">
        <v>94</v>
      </c>
      <c r="E6" s="9" t="s">
        <v>128</v>
      </c>
      <c r="F6" s="9"/>
      <c r="G6" s="33" t="s">
        <v>129</v>
      </c>
      <c r="H6" s="47" t="s">
        <v>130</v>
      </c>
      <c r="I6" s="9" t="str">
        <f>_xlfn.XLOOKUP(H6,'Alternative Tool Body Sheet'!A:A,'Alternative Tool Body Sheet'!C:C)</f>
        <v>4 MFL</v>
      </c>
      <c r="J6" s="9">
        <f t="shared" si="0"/>
        <v>5</v>
      </c>
      <c r="K6" s="9" t="s">
        <v>98</v>
      </c>
      <c r="L6" s="9">
        <v>4.5</v>
      </c>
      <c r="M6" s="9">
        <v>3.6</v>
      </c>
      <c r="N6" s="9">
        <v>20</v>
      </c>
      <c r="P6" s="9">
        <v>3.875</v>
      </c>
      <c r="Q6" s="9" t="s">
        <v>99</v>
      </c>
      <c r="S6" s="9">
        <v>3.88</v>
      </c>
      <c r="T6" s="9">
        <v>3.7</v>
      </c>
      <c r="U6" s="9" t="s">
        <v>99</v>
      </c>
      <c r="V6" s="9">
        <v>10</v>
      </c>
      <c r="W6" s="9">
        <v>10</v>
      </c>
      <c r="X6" s="9">
        <v>0.25</v>
      </c>
      <c r="Y6" s="9">
        <v>1</v>
      </c>
      <c r="Z6" s="9">
        <v>0.34300000000000003</v>
      </c>
      <c r="AH6" s="9">
        <v>24</v>
      </c>
      <c r="AN6" s="9">
        <v>500</v>
      </c>
      <c r="AO6" s="9">
        <v>69</v>
      </c>
      <c r="AP6" s="9">
        <v>12</v>
      </c>
      <c r="AQ6" s="9">
        <v>52</v>
      </c>
      <c r="AR6" s="9">
        <v>10</v>
      </c>
      <c r="AT6" s="9">
        <v>22</v>
      </c>
      <c r="AV6" s="9">
        <v>3.6</v>
      </c>
      <c r="AW6" s="9">
        <v>0.3</v>
      </c>
      <c r="AX6" s="9">
        <v>375</v>
      </c>
      <c r="AY6" s="9">
        <v>2000</v>
      </c>
      <c r="AZ6" s="9" t="s">
        <v>131</v>
      </c>
      <c r="BA6" s="9" t="s">
        <v>101</v>
      </c>
      <c r="BB6" s="9" t="s">
        <v>101</v>
      </c>
      <c r="BC6" s="9" t="s">
        <v>101</v>
      </c>
      <c r="BD6" s="9" t="s">
        <v>102</v>
      </c>
      <c r="BE6" s="9" t="s">
        <v>102</v>
      </c>
      <c r="BF6" s="9" t="s">
        <v>103</v>
      </c>
      <c r="BG6" s="9" t="s">
        <v>104</v>
      </c>
      <c r="BH6" s="9" t="s">
        <v>105</v>
      </c>
      <c r="BI6" s="9">
        <v>6</v>
      </c>
      <c r="BJ6" s="9">
        <v>1</v>
      </c>
      <c r="BK6" s="9">
        <v>2</v>
      </c>
      <c r="BL6" s="9">
        <v>6</v>
      </c>
      <c r="BM6" s="9">
        <v>4</v>
      </c>
      <c r="BN6" s="9">
        <v>8</v>
      </c>
      <c r="BO6" s="9">
        <v>6</v>
      </c>
      <c r="BP6" s="9">
        <v>6</v>
      </c>
      <c r="BQ6" s="9">
        <v>2</v>
      </c>
      <c r="BR6" s="9">
        <v>6</v>
      </c>
      <c r="BS6" s="9">
        <v>4</v>
      </c>
      <c r="BT6" s="9">
        <v>8</v>
      </c>
      <c r="BX6" s="8" t="s">
        <v>132</v>
      </c>
      <c r="CI6" s="51"/>
      <c r="CJ6" s="8" t="b">
        <v>0</v>
      </c>
      <c r="CT6" s="8">
        <v>115190</v>
      </c>
      <c r="CV6" s="51" t="s">
        <v>130</v>
      </c>
      <c r="CW6" s="8" t="str">
        <f t="shared" si="1"/>
        <v>MFL.04</v>
      </c>
    </row>
    <row r="7" spans="1:101" s="8" customFormat="1" x14ac:dyDescent="0.25">
      <c r="A7" s="13" t="s">
        <v>133</v>
      </c>
      <c r="B7" s="9">
        <v>4</v>
      </c>
      <c r="C7" s="9" t="s">
        <v>134</v>
      </c>
      <c r="D7" s="9" t="s">
        <v>94</v>
      </c>
      <c r="E7" s="9" t="s">
        <v>128</v>
      </c>
      <c r="F7" s="9"/>
      <c r="G7" s="33" t="s">
        <v>135</v>
      </c>
      <c r="H7" s="47" t="s">
        <v>130</v>
      </c>
      <c r="I7" s="9" t="str">
        <f>_xlfn.XLOOKUP(H7,'Alternative Tool Body Sheet'!A:A,'Alternative Tool Body Sheet'!C:C)</f>
        <v>4 MFL</v>
      </c>
      <c r="J7" s="9">
        <f t="shared" si="0"/>
        <v>5</v>
      </c>
      <c r="K7" s="9" t="s">
        <v>98</v>
      </c>
      <c r="L7" s="9">
        <v>4.5</v>
      </c>
      <c r="M7" s="9">
        <v>3.6</v>
      </c>
      <c r="N7" s="9">
        <v>20</v>
      </c>
      <c r="P7" s="9">
        <v>3.875</v>
      </c>
      <c r="Q7" s="9" t="s">
        <v>99</v>
      </c>
      <c r="S7" s="9">
        <v>3.88</v>
      </c>
      <c r="T7" s="9">
        <v>3.7</v>
      </c>
      <c r="U7" s="9" t="s">
        <v>99</v>
      </c>
      <c r="V7" s="9">
        <v>10</v>
      </c>
      <c r="W7" s="9">
        <v>10</v>
      </c>
      <c r="X7" s="9">
        <v>0.25</v>
      </c>
      <c r="Y7" s="9">
        <v>1</v>
      </c>
      <c r="Z7" s="9">
        <v>0.34300000000000003</v>
      </c>
      <c r="AH7" s="9">
        <v>24</v>
      </c>
      <c r="AN7" s="9">
        <v>500</v>
      </c>
      <c r="AO7" s="9">
        <v>63</v>
      </c>
      <c r="AP7" s="9">
        <v>12</v>
      </c>
      <c r="AQ7" s="9">
        <v>52</v>
      </c>
      <c r="AR7" s="9">
        <v>10</v>
      </c>
      <c r="AT7" s="9">
        <v>22</v>
      </c>
      <c r="AV7" s="9">
        <v>4.9139999999999997</v>
      </c>
      <c r="AW7" s="9">
        <v>0.252</v>
      </c>
      <c r="AX7" s="9">
        <v>375</v>
      </c>
      <c r="AY7" s="9">
        <v>2000</v>
      </c>
      <c r="AZ7" s="9" t="s">
        <v>136</v>
      </c>
      <c r="BA7" s="9" t="s">
        <v>102</v>
      </c>
      <c r="BB7" s="9" t="s">
        <v>101</v>
      </c>
      <c r="BC7" s="9" t="s">
        <v>101</v>
      </c>
      <c r="BD7" s="9" t="s">
        <v>102</v>
      </c>
      <c r="BE7" s="9" t="s">
        <v>102</v>
      </c>
      <c r="BF7" s="9" t="s">
        <v>103</v>
      </c>
      <c r="BG7" s="9" t="s">
        <v>137</v>
      </c>
      <c r="BH7" s="9" t="s">
        <v>105</v>
      </c>
      <c r="BI7" s="9">
        <v>6</v>
      </c>
      <c r="BJ7" s="9">
        <v>1</v>
      </c>
      <c r="BK7" s="9">
        <v>2</v>
      </c>
      <c r="BL7" s="9">
        <v>6</v>
      </c>
      <c r="BM7" s="9">
        <v>4</v>
      </c>
      <c r="BN7" s="9">
        <v>8</v>
      </c>
      <c r="BO7" s="9">
        <v>6</v>
      </c>
      <c r="BP7" s="9">
        <v>6</v>
      </c>
      <c r="BQ7" s="9">
        <v>2</v>
      </c>
      <c r="BR7" s="9">
        <v>6</v>
      </c>
      <c r="BS7" s="9">
        <v>4</v>
      </c>
      <c r="BT7" s="9">
        <v>8</v>
      </c>
      <c r="BX7" s="8" t="s">
        <v>132</v>
      </c>
      <c r="CI7" s="51"/>
      <c r="CJ7" s="8" t="b">
        <v>0</v>
      </c>
      <c r="CT7" s="8" t="s">
        <v>133</v>
      </c>
      <c r="CV7" s="51" t="s">
        <v>130</v>
      </c>
      <c r="CW7" s="8" t="str">
        <f t="shared" si="1"/>
        <v>MFL.04</v>
      </c>
    </row>
    <row r="8" spans="1:101" s="8" customFormat="1" x14ac:dyDescent="0.25">
      <c r="A8" s="21">
        <v>130095</v>
      </c>
      <c r="B8" s="10">
        <v>6</v>
      </c>
      <c r="C8" s="10" t="s">
        <v>138</v>
      </c>
      <c r="D8" s="10" t="s">
        <v>121</v>
      </c>
      <c r="E8" s="10" t="s">
        <v>139</v>
      </c>
      <c r="F8" s="10"/>
      <c r="G8" s="34" t="s">
        <v>140</v>
      </c>
      <c r="H8" s="48" t="s">
        <v>141</v>
      </c>
      <c r="I8" s="9" t="str">
        <f>_xlfn.XLOOKUP(H8,'Alternative Tool Body Sheet'!A:A,'Alternative Tool Body Sheet'!C:C)</f>
        <v>6 MDS</v>
      </c>
      <c r="J8" s="10">
        <f t="shared" si="0"/>
        <v>7</v>
      </c>
      <c r="K8" s="10" t="s">
        <v>114</v>
      </c>
      <c r="L8" s="10">
        <v>6.625</v>
      </c>
      <c r="M8" s="10">
        <v>5.5</v>
      </c>
      <c r="N8" s="10">
        <v>16.98</v>
      </c>
      <c r="O8" s="10"/>
      <c r="P8" s="10">
        <v>5.75</v>
      </c>
      <c r="Q8" s="10" t="s">
        <v>115</v>
      </c>
      <c r="R8" s="10">
        <v>5.625</v>
      </c>
      <c r="S8" s="10">
        <v>5.56</v>
      </c>
      <c r="T8" s="10">
        <v>5.5</v>
      </c>
      <c r="U8" s="10" t="s">
        <v>99</v>
      </c>
      <c r="V8" s="10">
        <v>10</v>
      </c>
      <c r="W8" s="10">
        <v>10</v>
      </c>
      <c r="X8" s="10">
        <v>0.438</v>
      </c>
      <c r="Y8" s="10">
        <v>1</v>
      </c>
      <c r="Z8" s="10">
        <v>0.46899999999999997</v>
      </c>
      <c r="AA8" s="10">
        <v>24</v>
      </c>
      <c r="AB8" s="10"/>
      <c r="AC8" s="10"/>
      <c r="AD8" s="10">
        <v>24</v>
      </c>
      <c r="AE8" s="10"/>
      <c r="AF8" s="10"/>
      <c r="AG8" s="10"/>
      <c r="AH8" s="10">
        <v>60</v>
      </c>
      <c r="AI8" s="10"/>
      <c r="AJ8" s="10">
        <v>160</v>
      </c>
      <c r="AK8" s="10"/>
      <c r="AL8" s="10"/>
      <c r="AM8" s="10"/>
      <c r="AN8" s="10">
        <v>750</v>
      </c>
      <c r="AO8" s="10">
        <v>101</v>
      </c>
      <c r="AP8" s="10">
        <v>13</v>
      </c>
      <c r="AQ8" s="10">
        <v>190</v>
      </c>
      <c r="AR8" s="10">
        <v>11</v>
      </c>
      <c r="AS8" s="10">
        <v>0</v>
      </c>
      <c r="AT8" s="10">
        <v>23</v>
      </c>
      <c r="AU8" s="10"/>
      <c r="AV8" s="10">
        <v>4</v>
      </c>
      <c r="AW8" s="10"/>
      <c r="AX8" s="10">
        <v>375</v>
      </c>
      <c r="AY8" s="10">
        <v>2000</v>
      </c>
      <c r="AZ8" s="10" t="s">
        <v>142</v>
      </c>
      <c r="BA8" s="10" t="s">
        <v>102</v>
      </c>
      <c r="BB8" s="10" t="s">
        <v>102</v>
      </c>
      <c r="BC8" s="10" t="s">
        <v>102</v>
      </c>
      <c r="BD8" s="10" t="s">
        <v>102</v>
      </c>
      <c r="BE8" s="10" t="s">
        <v>101</v>
      </c>
      <c r="BF8" s="10" t="s">
        <v>118</v>
      </c>
      <c r="BG8" s="10" t="s">
        <v>143</v>
      </c>
      <c r="BH8" s="10" t="s">
        <v>105</v>
      </c>
      <c r="BI8" s="10">
        <v>9</v>
      </c>
      <c r="BJ8" s="10">
        <v>1</v>
      </c>
      <c r="BK8" s="10">
        <v>2</v>
      </c>
      <c r="BL8" s="10">
        <v>8</v>
      </c>
      <c r="BM8" s="10">
        <v>4</v>
      </c>
      <c r="BN8" s="10">
        <v>12</v>
      </c>
      <c r="BO8" s="10">
        <v>9</v>
      </c>
      <c r="BP8" s="10">
        <v>9</v>
      </c>
      <c r="BQ8" s="10">
        <v>2</v>
      </c>
      <c r="BR8" s="10">
        <v>8</v>
      </c>
      <c r="BS8" s="10">
        <v>4</v>
      </c>
      <c r="BT8" s="10">
        <v>12</v>
      </c>
      <c r="BU8" s="10"/>
      <c r="BV8" s="10"/>
      <c r="BX8" s="8">
        <v>112174</v>
      </c>
      <c r="BY8" s="8">
        <v>112707</v>
      </c>
      <c r="CD8" s="8">
        <v>113045</v>
      </c>
      <c r="CI8" s="51"/>
      <c r="CJ8" s="8" t="b">
        <v>1</v>
      </c>
      <c r="CT8" s="8">
        <v>130095</v>
      </c>
      <c r="CV8" s="51" t="s">
        <v>141</v>
      </c>
      <c r="CW8" s="8" t="str">
        <f t="shared" si="1"/>
        <v>DEF.MFL.SMFL.XYZ.06</v>
      </c>
    </row>
    <row r="9" spans="1:101" s="8" customFormat="1" x14ac:dyDescent="0.25">
      <c r="A9" s="13">
        <v>124750</v>
      </c>
      <c r="B9" s="9">
        <v>6</v>
      </c>
      <c r="C9" s="9" t="s">
        <v>144</v>
      </c>
      <c r="D9" s="9" t="s">
        <v>94</v>
      </c>
      <c r="E9" s="9" t="s">
        <v>145</v>
      </c>
      <c r="F9" s="9"/>
      <c r="G9" s="33" t="s">
        <v>146</v>
      </c>
      <c r="H9" s="47" t="s">
        <v>147</v>
      </c>
      <c r="I9" s="9" t="str">
        <f>_xlfn.XLOOKUP(H9,'Alternative Tool Body Sheet'!A:A,'Alternative Tool Body Sheet'!C:C)</f>
        <v>6 DEF</v>
      </c>
      <c r="J9" s="9">
        <f t="shared" si="0"/>
        <v>5</v>
      </c>
      <c r="K9" s="9" t="s">
        <v>114</v>
      </c>
      <c r="L9" s="9">
        <v>6.625</v>
      </c>
      <c r="M9" s="9">
        <v>5.46</v>
      </c>
      <c r="Q9" s="9" t="s">
        <v>99</v>
      </c>
      <c r="S9" s="9">
        <v>5.76</v>
      </c>
      <c r="U9" s="9" t="s">
        <v>99</v>
      </c>
      <c r="V9" s="9">
        <v>10</v>
      </c>
      <c r="W9" s="9">
        <v>10</v>
      </c>
      <c r="X9" s="9">
        <v>0.34399999999999997</v>
      </c>
      <c r="Y9" s="9">
        <v>1</v>
      </c>
      <c r="Z9" s="9">
        <v>0.34399999999999997</v>
      </c>
      <c r="AA9" s="9">
        <v>16</v>
      </c>
      <c r="AD9" s="9">
        <v>20</v>
      </c>
      <c r="AH9" s="9">
        <v>60</v>
      </c>
      <c r="AN9" s="9">
        <v>750</v>
      </c>
      <c r="AO9" s="9">
        <v>107</v>
      </c>
      <c r="AQ9" s="9">
        <v>130</v>
      </c>
      <c r="AT9" s="9">
        <v>132</v>
      </c>
      <c r="AW9" s="9">
        <v>0.88</v>
      </c>
      <c r="AX9" s="9">
        <v>375</v>
      </c>
      <c r="AY9" s="9">
        <v>2000</v>
      </c>
      <c r="AZ9" s="9" t="s">
        <v>148</v>
      </c>
      <c r="BA9" s="9" t="s">
        <v>102</v>
      </c>
      <c r="BB9" s="9" t="s">
        <v>101</v>
      </c>
      <c r="BC9" s="9" t="s">
        <v>101</v>
      </c>
      <c r="BD9" s="9" t="s">
        <v>102</v>
      </c>
      <c r="BE9" s="9" t="s">
        <v>102</v>
      </c>
      <c r="BF9" s="9" t="s">
        <v>118</v>
      </c>
      <c r="BG9" s="9" t="s">
        <v>118</v>
      </c>
      <c r="BH9" s="9" t="s">
        <v>105</v>
      </c>
      <c r="BI9" s="9">
        <v>9</v>
      </c>
      <c r="BJ9" s="9">
        <v>1</v>
      </c>
      <c r="BK9" s="9">
        <v>2</v>
      </c>
      <c r="BL9" s="9">
        <v>8</v>
      </c>
      <c r="BM9" s="9">
        <v>4</v>
      </c>
      <c r="BN9" s="9">
        <v>12</v>
      </c>
      <c r="BO9" s="9">
        <v>9</v>
      </c>
      <c r="BP9" s="9">
        <v>9</v>
      </c>
      <c r="BQ9" s="9">
        <v>2</v>
      </c>
      <c r="BR9" s="9">
        <v>8</v>
      </c>
      <c r="BS9" s="9">
        <v>4</v>
      </c>
      <c r="BT9" s="9">
        <v>12</v>
      </c>
      <c r="BX9" s="8" t="s">
        <v>149</v>
      </c>
      <c r="BY9" s="8" t="s">
        <v>150</v>
      </c>
      <c r="CI9" s="51"/>
      <c r="CJ9" s="8" t="b">
        <v>0</v>
      </c>
      <c r="CT9" s="8">
        <v>124750</v>
      </c>
      <c r="CV9" s="51" t="s">
        <v>147</v>
      </c>
      <c r="CW9" s="8" t="str">
        <f t="shared" si="1"/>
        <v>DEF.MFL.06</v>
      </c>
    </row>
    <row r="10" spans="1:101" s="8" customFormat="1" x14ac:dyDescent="0.25">
      <c r="A10" s="13">
        <v>129713</v>
      </c>
      <c r="B10" s="9">
        <v>6</v>
      </c>
      <c r="C10" s="9" t="s">
        <v>151</v>
      </c>
      <c r="D10" s="9" t="s">
        <v>121</v>
      </c>
      <c r="E10" s="9" t="s">
        <v>152</v>
      </c>
      <c r="F10" s="9"/>
      <c r="G10" s="33" t="s">
        <v>153</v>
      </c>
      <c r="H10" s="47" t="s">
        <v>154</v>
      </c>
      <c r="I10" s="9" t="str">
        <f>_xlfn.XLOOKUP(H10,'Alternative Tool Body Sheet'!A:A,'Alternative Tool Body Sheet'!C:C)</f>
        <v>6 MDS</v>
      </c>
      <c r="J10" s="9">
        <f t="shared" si="0"/>
        <v>7</v>
      </c>
      <c r="K10" s="9" t="s">
        <v>114</v>
      </c>
      <c r="L10" s="9">
        <v>6.625</v>
      </c>
      <c r="M10" s="9">
        <v>5.5</v>
      </c>
      <c r="N10" s="9">
        <v>16.98</v>
      </c>
      <c r="O10" s="9">
        <v>5.75</v>
      </c>
      <c r="P10" s="9">
        <v>5.75</v>
      </c>
      <c r="Q10" s="9" t="s">
        <v>115</v>
      </c>
      <c r="R10" s="9">
        <v>5.625</v>
      </c>
      <c r="S10" s="9">
        <v>5.5</v>
      </c>
      <c r="T10" s="9">
        <v>5.5</v>
      </c>
      <c r="U10" s="9" t="s">
        <v>99</v>
      </c>
      <c r="V10" s="9">
        <v>10</v>
      </c>
      <c r="W10" s="9">
        <v>10</v>
      </c>
      <c r="X10" s="9">
        <v>0.438</v>
      </c>
      <c r="Y10" s="9">
        <v>1</v>
      </c>
      <c r="Z10" s="9">
        <v>0.46899999999999997</v>
      </c>
      <c r="AA10" s="9">
        <v>24</v>
      </c>
      <c r="AB10" s="9">
        <v>60</v>
      </c>
      <c r="AD10" s="9">
        <v>24</v>
      </c>
      <c r="AN10" s="9">
        <v>750</v>
      </c>
      <c r="AO10" s="9">
        <v>74</v>
      </c>
      <c r="AP10" s="9">
        <v>13</v>
      </c>
      <c r="AQ10" s="9">
        <v>115</v>
      </c>
      <c r="AR10" s="9">
        <v>11</v>
      </c>
      <c r="AT10" s="9">
        <v>23</v>
      </c>
      <c r="AX10" s="9">
        <v>200</v>
      </c>
      <c r="AY10" s="9">
        <v>2000</v>
      </c>
      <c r="AZ10" s="9" t="s">
        <v>155</v>
      </c>
      <c r="BA10" s="9" t="s">
        <v>102</v>
      </c>
      <c r="BB10" s="9" t="s">
        <v>102</v>
      </c>
      <c r="BC10" s="9" t="s">
        <v>102</v>
      </c>
      <c r="BD10" s="9" t="s">
        <v>102</v>
      </c>
      <c r="BE10" s="9" t="s">
        <v>101</v>
      </c>
      <c r="BF10" s="9" t="s">
        <v>118</v>
      </c>
      <c r="BG10" s="9" t="s">
        <v>118</v>
      </c>
      <c r="BH10" s="9" t="s">
        <v>105</v>
      </c>
      <c r="BI10" s="9">
        <v>7</v>
      </c>
      <c r="BJ10" s="9">
        <v>1</v>
      </c>
      <c r="BK10" s="9">
        <v>2</v>
      </c>
      <c r="BL10" s="9">
        <v>8</v>
      </c>
      <c r="BM10" s="9">
        <v>4</v>
      </c>
      <c r="BN10" s="9">
        <v>9</v>
      </c>
      <c r="BO10" s="9">
        <v>7</v>
      </c>
      <c r="BP10" s="9">
        <v>7</v>
      </c>
      <c r="BQ10" s="9">
        <v>2</v>
      </c>
      <c r="BR10" s="9">
        <v>8</v>
      </c>
      <c r="BS10" s="9">
        <v>4</v>
      </c>
      <c r="BT10" s="9">
        <v>9</v>
      </c>
      <c r="BX10" s="8">
        <v>112174</v>
      </c>
      <c r="BY10" s="8">
        <v>112707</v>
      </c>
      <c r="CI10" s="51"/>
      <c r="CJ10" s="8" t="b">
        <v>0</v>
      </c>
      <c r="CT10" s="8">
        <v>129713</v>
      </c>
      <c r="CV10" s="51" t="s">
        <v>154</v>
      </c>
      <c r="CW10" s="8" t="str">
        <f t="shared" si="1"/>
        <v>FLEX.DEF.MFL.XYZ.06</v>
      </c>
    </row>
    <row r="11" spans="1:101" s="8" customFormat="1" x14ac:dyDescent="0.25">
      <c r="A11" s="13" t="s">
        <v>156</v>
      </c>
      <c r="B11" s="9">
        <v>6</v>
      </c>
      <c r="C11" s="9" t="s">
        <v>157</v>
      </c>
      <c r="D11" s="9" t="s">
        <v>94</v>
      </c>
      <c r="E11" s="9" t="s">
        <v>95</v>
      </c>
      <c r="F11" s="9"/>
      <c r="G11" s="33" t="s">
        <v>158</v>
      </c>
      <c r="H11" s="47" t="s">
        <v>159</v>
      </c>
      <c r="I11" s="9" t="str">
        <f>_xlfn.XLOOKUP(H11,'Alternative Tool Body Sheet'!A:A,'Alternative Tool Body Sheet'!C:C)</f>
        <v>6 DEF</v>
      </c>
      <c r="J11" s="9">
        <f t="shared" si="0"/>
        <v>5</v>
      </c>
      <c r="K11" s="9" t="s">
        <v>98</v>
      </c>
      <c r="L11" s="9">
        <v>6.625</v>
      </c>
      <c r="M11" s="9">
        <v>5.0999999999999996</v>
      </c>
      <c r="N11" s="9">
        <v>23.02</v>
      </c>
      <c r="P11" s="9">
        <v>5.75</v>
      </c>
      <c r="Q11" s="9" t="s">
        <v>115</v>
      </c>
      <c r="R11" s="9">
        <v>5.76</v>
      </c>
      <c r="S11" s="9">
        <v>5.25</v>
      </c>
      <c r="T11" s="9">
        <v>5.0999999999999996</v>
      </c>
      <c r="U11" s="9" t="s">
        <v>99</v>
      </c>
      <c r="V11" s="9">
        <v>15</v>
      </c>
      <c r="AA11" s="9">
        <v>16</v>
      </c>
      <c r="AN11" s="9">
        <v>500</v>
      </c>
      <c r="AO11" s="9">
        <v>95</v>
      </c>
      <c r="AP11" s="9">
        <v>19</v>
      </c>
      <c r="AQ11" s="9">
        <v>99</v>
      </c>
      <c r="AR11" s="9">
        <v>25</v>
      </c>
      <c r="AT11" s="9">
        <v>74</v>
      </c>
      <c r="AV11" s="9">
        <v>3.22</v>
      </c>
      <c r="AW11" s="9">
        <v>0.27</v>
      </c>
      <c r="AX11" s="9">
        <v>375</v>
      </c>
      <c r="AY11" s="9">
        <v>2000</v>
      </c>
      <c r="AZ11" s="9" t="s">
        <v>160</v>
      </c>
      <c r="BA11" s="9" t="s">
        <v>102</v>
      </c>
      <c r="BB11" s="9" t="s">
        <v>101</v>
      </c>
      <c r="BC11" s="9" t="s">
        <v>101</v>
      </c>
      <c r="BD11" s="9" t="s">
        <v>102</v>
      </c>
      <c r="BE11" s="9" t="s">
        <v>102</v>
      </c>
      <c r="BF11" s="9" t="s">
        <v>161</v>
      </c>
      <c r="BG11" s="9" t="s">
        <v>162</v>
      </c>
      <c r="BH11" s="9" t="s">
        <v>105</v>
      </c>
      <c r="BI11" s="9">
        <v>8</v>
      </c>
      <c r="BJ11" s="9">
        <v>1</v>
      </c>
      <c r="BK11" s="9">
        <v>2</v>
      </c>
      <c r="BL11" s="9">
        <v>8</v>
      </c>
      <c r="BM11" s="9">
        <v>4</v>
      </c>
      <c r="BN11" s="9">
        <v>10</v>
      </c>
      <c r="BO11" s="9">
        <v>8</v>
      </c>
      <c r="BP11" s="9">
        <v>8</v>
      </c>
      <c r="BQ11" s="9">
        <v>2</v>
      </c>
      <c r="BR11" s="9">
        <v>8</v>
      </c>
      <c r="BS11" s="9">
        <v>4</v>
      </c>
      <c r="BT11" s="9">
        <v>10</v>
      </c>
      <c r="BY11" s="8" t="s">
        <v>150</v>
      </c>
      <c r="CI11" s="51"/>
      <c r="CJ11" s="8" t="b">
        <v>0</v>
      </c>
      <c r="CT11" s="8" t="s">
        <v>156</v>
      </c>
      <c r="CV11" s="51" t="s">
        <v>159</v>
      </c>
      <c r="CW11" s="8" t="str">
        <f t="shared" si="1"/>
        <v>DEF.06</v>
      </c>
    </row>
    <row r="12" spans="1:101" s="8" customFormat="1" x14ac:dyDescent="0.25">
      <c r="A12" s="13">
        <v>103829</v>
      </c>
      <c r="B12" s="9">
        <v>6</v>
      </c>
      <c r="C12" s="9" t="s">
        <v>163</v>
      </c>
      <c r="D12" s="9" t="s">
        <v>94</v>
      </c>
      <c r="E12" s="9" t="s">
        <v>164</v>
      </c>
      <c r="F12" s="9"/>
      <c r="G12" s="33" t="s">
        <v>165</v>
      </c>
      <c r="H12" s="47" t="s">
        <v>166</v>
      </c>
      <c r="I12" s="9" t="str">
        <f>_xlfn.XLOOKUP(H12,'Alternative Tool Body Sheet'!A:A,'Alternative Tool Body Sheet'!C:C)</f>
        <v>6 LGT</v>
      </c>
      <c r="J12" s="9">
        <f t="shared" si="0"/>
        <v>5</v>
      </c>
      <c r="K12" s="9" t="s">
        <v>98</v>
      </c>
      <c r="L12" s="9">
        <v>6.625</v>
      </c>
      <c r="M12" s="9">
        <v>4.75</v>
      </c>
      <c r="N12" s="9">
        <v>28.3</v>
      </c>
      <c r="P12" s="9">
        <v>5.75</v>
      </c>
      <c r="Q12" s="9" t="s">
        <v>115</v>
      </c>
      <c r="R12" s="9">
        <v>5</v>
      </c>
      <c r="U12" s="9" t="s">
        <v>116</v>
      </c>
      <c r="V12" s="9">
        <v>15</v>
      </c>
      <c r="AG12" s="9">
        <v>8</v>
      </c>
      <c r="AN12" s="9">
        <v>750</v>
      </c>
      <c r="AO12" s="9">
        <v>87</v>
      </c>
      <c r="AP12" s="9">
        <v>16</v>
      </c>
      <c r="AQ12" s="9">
        <v>53</v>
      </c>
      <c r="AR12" s="9">
        <v>11</v>
      </c>
      <c r="AT12" s="9">
        <v>25</v>
      </c>
      <c r="AV12" s="9">
        <v>3.1</v>
      </c>
      <c r="AW12" s="9">
        <v>0.26</v>
      </c>
      <c r="AX12" s="9">
        <v>375</v>
      </c>
      <c r="AY12" s="9">
        <v>2000</v>
      </c>
      <c r="AZ12" s="9" t="s">
        <v>167</v>
      </c>
      <c r="BA12" s="9" t="s">
        <v>101</v>
      </c>
      <c r="BB12" s="9" t="s">
        <v>102</v>
      </c>
      <c r="BC12" s="9" t="s">
        <v>102</v>
      </c>
      <c r="BD12" s="9" t="s">
        <v>102</v>
      </c>
      <c r="BE12" s="9" t="s">
        <v>102</v>
      </c>
      <c r="BF12" s="9" t="s">
        <v>118</v>
      </c>
      <c r="BG12" s="9" t="s">
        <v>104</v>
      </c>
      <c r="BH12" s="9" t="s">
        <v>105</v>
      </c>
      <c r="BI12" s="9">
        <v>8</v>
      </c>
      <c r="BJ12" s="9">
        <v>1</v>
      </c>
      <c r="BK12" s="9">
        <v>2</v>
      </c>
      <c r="BL12" s="9">
        <v>8</v>
      </c>
      <c r="BM12" s="9">
        <v>4</v>
      </c>
      <c r="BN12" s="9">
        <v>10</v>
      </c>
      <c r="BO12" s="9">
        <v>8</v>
      </c>
      <c r="BP12" s="9">
        <v>8</v>
      </c>
      <c r="BQ12" s="9">
        <v>2</v>
      </c>
      <c r="BR12" s="9">
        <v>8</v>
      </c>
      <c r="BS12" s="9">
        <v>4</v>
      </c>
      <c r="BT12" s="9">
        <v>10</v>
      </c>
      <c r="BY12" s="8">
        <v>105683</v>
      </c>
      <c r="CI12" s="51"/>
      <c r="CJ12" s="8" t="b">
        <v>0</v>
      </c>
      <c r="CT12" s="8">
        <v>103829</v>
      </c>
      <c r="CV12" s="51" t="s">
        <v>166</v>
      </c>
      <c r="CW12" s="8" t="str">
        <f t="shared" si="1"/>
        <v>LGT.06</v>
      </c>
    </row>
    <row r="13" spans="1:101" s="8" customFormat="1" x14ac:dyDescent="0.25">
      <c r="A13" s="13">
        <v>122434</v>
      </c>
      <c r="B13" s="9">
        <v>6</v>
      </c>
      <c r="C13" s="9" t="s">
        <v>168</v>
      </c>
      <c r="D13" s="9" t="s">
        <v>94</v>
      </c>
      <c r="E13" s="9" t="s">
        <v>169</v>
      </c>
      <c r="F13" s="9"/>
      <c r="G13" s="33" t="s">
        <v>170</v>
      </c>
      <c r="H13" s="47" t="s">
        <v>171</v>
      </c>
      <c r="I13" s="9" t="str">
        <f>_xlfn.XLOOKUP(H13,'Alternative Tool Body Sheet'!A:A,'Alternative Tool Body Sheet'!C:C)</f>
        <v>6 MFL</v>
      </c>
      <c r="J13" s="9">
        <f t="shared" si="0"/>
        <v>5</v>
      </c>
      <c r="K13" s="9" t="s">
        <v>172</v>
      </c>
      <c r="L13" s="9">
        <v>6.625</v>
      </c>
      <c r="M13" s="9">
        <v>5.5</v>
      </c>
      <c r="O13" s="9">
        <v>5.75</v>
      </c>
      <c r="Q13" s="9" t="s">
        <v>115</v>
      </c>
      <c r="R13" s="9">
        <v>5.76</v>
      </c>
      <c r="U13" s="9" t="s">
        <v>116</v>
      </c>
      <c r="V13" s="9">
        <v>10</v>
      </c>
      <c r="W13" s="9">
        <v>10</v>
      </c>
      <c r="X13" s="9">
        <v>0.3</v>
      </c>
      <c r="Y13" s="9">
        <v>1</v>
      </c>
      <c r="Z13" s="9">
        <v>0.34399999999999997</v>
      </c>
      <c r="AD13" s="9">
        <v>20</v>
      </c>
      <c r="AH13" s="9">
        <v>60</v>
      </c>
      <c r="AN13" s="9">
        <v>750</v>
      </c>
      <c r="AO13" s="9">
        <v>78</v>
      </c>
      <c r="AQ13" s="9">
        <v>100</v>
      </c>
      <c r="AT13" s="9">
        <v>46</v>
      </c>
      <c r="AX13" s="9">
        <v>375</v>
      </c>
      <c r="AY13" s="9">
        <v>2000</v>
      </c>
      <c r="AZ13" s="9" t="s">
        <v>173</v>
      </c>
      <c r="BA13" s="9" t="s">
        <v>102</v>
      </c>
      <c r="BB13" s="9" t="s">
        <v>102</v>
      </c>
      <c r="BC13" s="9" t="s">
        <v>102</v>
      </c>
      <c r="BD13" s="9" t="s">
        <v>102</v>
      </c>
      <c r="BE13" s="9" t="s">
        <v>102</v>
      </c>
      <c r="BF13" s="9" t="s">
        <v>161</v>
      </c>
      <c r="BG13" s="9" t="s">
        <v>162</v>
      </c>
      <c r="BH13" s="9" t="s">
        <v>105</v>
      </c>
      <c r="BI13" s="9">
        <v>7</v>
      </c>
      <c r="BJ13" s="9">
        <v>1</v>
      </c>
      <c r="BK13" s="9">
        <v>2</v>
      </c>
      <c r="BL13" s="9">
        <v>8</v>
      </c>
      <c r="BM13" s="9">
        <v>4</v>
      </c>
      <c r="BN13" s="9">
        <v>12</v>
      </c>
      <c r="BO13" s="9">
        <v>7</v>
      </c>
      <c r="BP13" s="9">
        <v>9</v>
      </c>
      <c r="BQ13" s="9">
        <v>2</v>
      </c>
      <c r="BR13" s="9">
        <v>8</v>
      </c>
      <c r="BS13" s="9">
        <v>4</v>
      </c>
      <c r="BT13" s="9">
        <v>12</v>
      </c>
      <c r="BX13" s="8" t="s">
        <v>149</v>
      </c>
      <c r="CI13" s="51"/>
      <c r="CJ13" s="8" t="b">
        <v>0</v>
      </c>
      <c r="CT13" s="8">
        <v>122434</v>
      </c>
      <c r="CV13" s="51" t="s">
        <v>171</v>
      </c>
      <c r="CW13" s="8" t="str">
        <f t="shared" si="1"/>
        <v>MFL.06</v>
      </c>
    </row>
    <row r="14" spans="1:101" s="8" customFormat="1" x14ac:dyDescent="0.25">
      <c r="A14" s="21" t="s">
        <v>174</v>
      </c>
      <c r="B14" s="10">
        <v>6</v>
      </c>
      <c r="C14" s="10" t="s">
        <v>175</v>
      </c>
      <c r="D14" s="10" t="s">
        <v>121</v>
      </c>
      <c r="E14" s="10" t="s">
        <v>122</v>
      </c>
      <c r="F14" s="10"/>
      <c r="G14" s="34" t="s">
        <v>176</v>
      </c>
      <c r="H14" s="48" t="s">
        <v>177</v>
      </c>
      <c r="I14" s="9" t="str">
        <f>_xlfn.XLOOKUP(H14,'Alternative Tool Body Sheet'!A:A,'Alternative Tool Body Sheet'!C:C)</f>
        <v>6 MDS</v>
      </c>
      <c r="J14" s="10">
        <f t="shared" si="0"/>
        <v>7</v>
      </c>
      <c r="K14" s="10" t="s">
        <v>114</v>
      </c>
      <c r="L14" s="10">
        <v>6.625</v>
      </c>
      <c r="M14" s="10">
        <v>5.5</v>
      </c>
      <c r="N14" s="10">
        <v>16.98</v>
      </c>
      <c r="O14" s="10">
        <v>5.75</v>
      </c>
      <c r="P14" s="10">
        <v>5.75</v>
      </c>
      <c r="Q14" s="10" t="s">
        <v>115</v>
      </c>
      <c r="R14" s="10">
        <v>5.625</v>
      </c>
      <c r="S14" s="10">
        <v>5.5</v>
      </c>
      <c r="T14" s="10">
        <v>5.5</v>
      </c>
      <c r="U14" s="10" t="s">
        <v>99</v>
      </c>
      <c r="V14" s="10">
        <v>10</v>
      </c>
      <c r="W14" s="10">
        <v>10</v>
      </c>
      <c r="X14" s="10">
        <v>0.438</v>
      </c>
      <c r="Y14" s="10">
        <v>1</v>
      </c>
      <c r="Z14" s="10">
        <v>0.46899999999999997</v>
      </c>
      <c r="AA14" s="10">
        <v>24</v>
      </c>
      <c r="AB14" s="10">
        <v>60</v>
      </c>
      <c r="AC14" s="10"/>
      <c r="AD14" s="10">
        <v>24</v>
      </c>
      <c r="AE14" s="10"/>
      <c r="AF14" s="10"/>
      <c r="AG14" s="10"/>
      <c r="AH14" s="10"/>
      <c r="AI14" s="10"/>
      <c r="AJ14" s="10"/>
      <c r="AK14" s="10"/>
      <c r="AL14" s="10"/>
      <c r="AM14" s="10"/>
      <c r="AN14" s="10">
        <v>750</v>
      </c>
      <c r="AO14" s="10">
        <v>46</v>
      </c>
      <c r="AP14" s="10">
        <v>13</v>
      </c>
      <c r="AQ14" s="10">
        <v>76</v>
      </c>
      <c r="AR14" s="10">
        <v>11</v>
      </c>
      <c r="AS14" s="10"/>
      <c r="AT14" s="10">
        <v>97</v>
      </c>
      <c r="AU14" s="10"/>
      <c r="AV14" s="10"/>
      <c r="AW14" s="10"/>
      <c r="AX14" s="10">
        <v>200</v>
      </c>
      <c r="AY14" s="10">
        <v>2000</v>
      </c>
      <c r="AZ14" s="10" t="s">
        <v>178</v>
      </c>
      <c r="BA14" s="10" t="s">
        <v>102</v>
      </c>
      <c r="BB14" s="10" t="s">
        <v>102</v>
      </c>
      <c r="BC14" s="10" t="s">
        <v>102</v>
      </c>
      <c r="BD14" s="10" t="s">
        <v>102</v>
      </c>
      <c r="BE14" s="10" t="s">
        <v>101</v>
      </c>
      <c r="BF14" s="10" t="s">
        <v>118</v>
      </c>
      <c r="BG14" s="10" t="s">
        <v>118</v>
      </c>
      <c r="BH14" s="10" t="s">
        <v>105</v>
      </c>
      <c r="BI14" s="10">
        <v>4</v>
      </c>
      <c r="BJ14" s="10">
        <v>1</v>
      </c>
      <c r="BK14" s="10">
        <v>2</v>
      </c>
      <c r="BL14" s="10">
        <v>8</v>
      </c>
      <c r="BM14" s="10">
        <v>4</v>
      </c>
      <c r="BN14" s="10">
        <v>6</v>
      </c>
      <c r="BO14" s="10">
        <v>4</v>
      </c>
      <c r="BP14" s="10">
        <v>4</v>
      </c>
      <c r="BQ14" s="10">
        <v>2</v>
      </c>
      <c r="BR14" s="10">
        <v>8</v>
      </c>
      <c r="BS14" s="10">
        <v>4</v>
      </c>
      <c r="BT14" s="10">
        <v>6</v>
      </c>
      <c r="BX14" s="8">
        <v>112174</v>
      </c>
      <c r="BY14" s="8">
        <v>112707</v>
      </c>
      <c r="CI14" s="51"/>
      <c r="CJ14" s="8" t="b">
        <v>1</v>
      </c>
      <c r="CT14" s="8" t="s">
        <v>174</v>
      </c>
      <c r="CV14" s="51" t="s">
        <v>177</v>
      </c>
      <c r="CW14" s="8" t="str">
        <f t="shared" si="1"/>
        <v>FLEX.DEF.MFL.06</v>
      </c>
    </row>
    <row r="15" spans="1:101" s="8" customFormat="1" x14ac:dyDescent="0.25">
      <c r="A15" s="13" t="s">
        <v>179</v>
      </c>
      <c r="B15" s="9">
        <v>6</v>
      </c>
      <c r="C15" s="9" t="s">
        <v>180</v>
      </c>
      <c r="D15" s="9" t="s">
        <v>94</v>
      </c>
      <c r="E15" s="9" t="s">
        <v>128</v>
      </c>
      <c r="F15" s="9"/>
      <c r="G15" s="33" t="s">
        <v>181</v>
      </c>
      <c r="H15" s="47" t="s">
        <v>171</v>
      </c>
      <c r="I15" s="9" t="str">
        <f>_xlfn.XLOOKUP(H15,'Alternative Tool Body Sheet'!A:A,'Alternative Tool Body Sheet'!C:C)</f>
        <v>6 MFL</v>
      </c>
      <c r="J15" s="9">
        <f t="shared" si="0"/>
        <v>5</v>
      </c>
      <c r="K15" s="9" t="s">
        <v>172</v>
      </c>
      <c r="L15" s="9">
        <v>6.625</v>
      </c>
      <c r="M15" s="9">
        <v>5.46</v>
      </c>
      <c r="N15" s="9">
        <v>17.579999999999998</v>
      </c>
      <c r="P15" s="9">
        <v>5.75</v>
      </c>
      <c r="Q15" s="9" t="s">
        <v>99</v>
      </c>
      <c r="S15" s="9">
        <v>5.76</v>
      </c>
      <c r="T15" s="9">
        <v>5.64</v>
      </c>
      <c r="U15" s="9" t="s">
        <v>99</v>
      </c>
      <c r="V15" s="9">
        <v>10</v>
      </c>
      <c r="W15" s="9">
        <v>10</v>
      </c>
      <c r="X15" s="9">
        <v>0.34399999999999997</v>
      </c>
      <c r="Y15" s="9">
        <v>1</v>
      </c>
      <c r="Z15" s="9">
        <v>0.34399999999999997</v>
      </c>
      <c r="AH15" s="9">
        <v>60</v>
      </c>
      <c r="AN15" s="9">
        <v>500</v>
      </c>
      <c r="AO15" s="9">
        <v>97</v>
      </c>
      <c r="AP15" s="9">
        <v>19</v>
      </c>
      <c r="AQ15" s="9">
        <v>155</v>
      </c>
      <c r="AR15" s="9">
        <v>25</v>
      </c>
      <c r="AT15" s="9">
        <v>38</v>
      </c>
      <c r="AV15" s="9">
        <v>9.02</v>
      </c>
      <c r="AW15" s="9">
        <v>0.75</v>
      </c>
      <c r="AX15" s="9">
        <v>375</v>
      </c>
      <c r="AY15" s="9">
        <v>2000</v>
      </c>
      <c r="AZ15" s="9" t="s">
        <v>182</v>
      </c>
      <c r="BA15" s="9" t="s">
        <v>101</v>
      </c>
      <c r="BB15" s="9" t="s">
        <v>101</v>
      </c>
      <c r="BC15" s="9" t="s">
        <v>101</v>
      </c>
      <c r="BD15" s="9" t="s">
        <v>102</v>
      </c>
      <c r="BE15" s="9" t="s">
        <v>102</v>
      </c>
      <c r="BF15" s="9" t="s">
        <v>183</v>
      </c>
      <c r="BG15" s="9" t="s">
        <v>162</v>
      </c>
      <c r="BH15" s="9" t="s">
        <v>105</v>
      </c>
      <c r="BI15" s="9">
        <v>9</v>
      </c>
      <c r="BJ15" s="9">
        <v>1</v>
      </c>
      <c r="BK15" s="9">
        <v>2</v>
      </c>
      <c r="BL15" s="9">
        <v>8</v>
      </c>
      <c r="BM15" s="9">
        <v>4</v>
      </c>
      <c r="BN15" s="9">
        <v>12</v>
      </c>
      <c r="BO15" s="9">
        <v>9</v>
      </c>
      <c r="BP15" s="9">
        <v>9</v>
      </c>
      <c r="BQ15" s="9">
        <v>2</v>
      </c>
      <c r="BR15" s="9">
        <v>8</v>
      </c>
      <c r="BS15" s="9">
        <v>4</v>
      </c>
      <c r="BT15" s="9">
        <v>12</v>
      </c>
      <c r="BX15" s="8" t="s">
        <v>149</v>
      </c>
      <c r="CI15" s="51"/>
      <c r="CJ15" s="8" t="b">
        <v>0</v>
      </c>
      <c r="CT15" s="8" t="s">
        <v>179</v>
      </c>
      <c r="CV15" s="51" t="s">
        <v>171</v>
      </c>
      <c r="CW15" s="8" t="str">
        <f t="shared" si="1"/>
        <v>MFL.06</v>
      </c>
    </row>
    <row r="16" spans="1:101" s="8" customFormat="1" x14ac:dyDescent="0.25">
      <c r="A16" s="13">
        <v>102783</v>
      </c>
      <c r="B16" s="9">
        <v>6</v>
      </c>
      <c r="C16" s="9" t="s">
        <v>184</v>
      </c>
      <c r="D16" s="9" t="s">
        <v>94</v>
      </c>
      <c r="E16" s="9" t="s">
        <v>95</v>
      </c>
      <c r="F16" s="9"/>
      <c r="G16" s="33" t="s">
        <v>185</v>
      </c>
      <c r="H16" s="47" t="s">
        <v>159</v>
      </c>
      <c r="I16" s="9" t="str">
        <f>_xlfn.XLOOKUP(H16,'Alternative Tool Body Sheet'!A:A,'Alternative Tool Body Sheet'!C:C)</f>
        <v>6 DEF</v>
      </c>
      <c r="J16" s="9">
        <f t="shared" si="0"/>
        <v>5</v>
      </c>
      <c r="K16" s="9" t="s">
        <v>98</v>
      </c>
      <c r="L16" s="9">
        <v>6.625</v>
      </c>
      <c r="M16" s="9">
        <v>5.46</v>
      </c>
      <c r="N16" s="9">
        <v>17.579999999999998</v>
      </c>
      <c r="P16" s="9">
        <v>5.75</v>
      </c>
      <c r="Q16" s="9" t="s">
        <v>99</v>
      </c>
      <c r="S16" s="9">
        <v>5.76</v>
      </c>
      <c r="T16" s="9">
        <v>5.5</v>
      </c>
      <c r="U16" s="9" t="s">
        <v>99</v>
      </c>
      <c r="V16" s="9">
        <v>15</v>
      </c>
      <c r="AA16" s="9">
        <v>9</v>
      </c>
      <c r="AN16" s="9">
        <v>500</v>
      </c>
      <c r="AO16" s="9">
        <v>77</v>
      </c>
      <c r="AP16" s="9">
        <v>19</v>
      </c>
      <c r="AQ16" s="9">
        <v>85</v>
      </c>
      <c r="AR16" s="9">
        <v>25</v>
      </c>
      <c r="AT16" s="9">
        <v>107</v>
      </c>
      <c r="AV16" s="9">
        <v>3.22</v>
      </c>
      <c r="AW16" s="9">
        <v>0.27</v>
      </c>
      <c r="AX16" s="9">
        <v>375</v>
      </c>
      <c r="AY16" s="9">
        <v>2000</v>
      </c>
      <c r="AZ16" s="9" t="s">
        <v>186</v>
      </c>
      <c r="BA16" s="9" t="s">
        <v>101</v>
      </c>
      <c r="BB16" s="9" t="s">
        <v>101</v>
      </c>
      <c r="BC16" s="9" t="s">
        <v>101</v>
      </c>
      <c r="BD16" s="9" t="s">
        <v>102</v>
      </c>
      <c r="BE16" s="9" t="s">
        <v>102</v>
      </c>
      <c r="BF16" s="9" t="s">
        <v>161</v>
      </c>
      <c r="BG16" s="9" t="s">
        <v>162</v>
      </c>
      <c r="BH16" s="9" t="s">
        <v>105</v>
      </c>
      <c r="BI16" s="9">
        <v>7</v>
      </c>
      <c r="BJ16" s="9">
        <v>1</v>
      </c>
      <c r="BK16" s="9">
        <v>2</v>
      </c>
      <c r="BL16" s="9">
        <v>8</v>
      </c>
      <c r="BM16" s="9">
        <v>4</v>
      </c>
      <c r="BN16" s="9">
        <v>9</v>
      </c>
      <c r="BO16" s="9">
        <v>7</v>
      </c>
      <c r="BP16" s="9">
        <v>7</v>
      </c>
      <c r="BQ16" s="9">
        <v>2</v>
      </c>
      <c r="BR16" s="9">
        <v>8</v>
      </c>
      <c r="BS16" s="9">
        <v>4</v>
      </c>
      <c r="BT16" s="9">
        <v>9</v>
      </c>
      <c r="BY16" s="8">
        <v>102784</v>
      </c>
      <c r="CI16" s="51"/>
      <c r="CJ16" s="8" t="b">
        <v>0</v>
      </c>
      <c r="CT16" s="8">
        <v>102783</v>
      </c>
      <c r="CV16" s="51" t="s">
        <v>159</v>
      </c>
      <c r="CW16" s="8" t="str">
        <f t="shared" si="1"/>
        <v>DEF.06</v>
      </c>
    </row>
    <row r="17" spans="1:101" s="8" customFormat="1" x14ac:dyDescent="0.25">
      <c r="A17" s="21" t="s">
        <v>187</v>
      </c>
      <c r="B17" s="10">
        <v>6</v>
      </c>
      <c r="C17" s="10" t="s">
        <v>188</v>
      </c>
      <c r="D17" s="10" t="s">
        <v>121</v>
      </c>
      <c r="E17" s="10" t="s">
        <v>189</v>
      </c>
      <c r="F17" s="10"/>
      <c r="G17" s="34" t="s">
        <v>190</v>
      </c>
      <c r="H17" s="48" t="s">
        <v>191</v>
      </c>
      <c r="I17" s="9" t="str">
        <f>_xlfn.XLOOKUP(H17,'Alternative Tool Body Sheet'!A:A,'Alternative Tool Body Sheet'!C:C)</f>
        <v xml:space="preserve">6 MDS </v>
      </c>
      <c r="J17" s="10">
        <f t="shared" si="0"/>
        <v>7</v>
      </c>
      <c r="K17" s="10" t="s">
        <v>114</v>
      </c>
      <c r="L17" s="10">
        <v>6.625</v>
      </c>
      <c r="M17" s="10">
        <v>5.5</v>
      </c>
      <c r="N17" s="10">
        <v>16.98</v>
      </c>
      <c r="O17" s="10"/>
      <c r="P17" s="10">
        <v>5.75</v>
      </c>
      <c r="Q17" s="10" t="s">
        <v>115</v>
      </c>
      <c r="R17" s="10">
        <v>5.625</v>
      </c>
      <c r="S17" s="10">
        <v>5.56</v>
      </c>
      <c r="T17" s="10">
        <v>5.5</v>
      </c>
      <c r="U17" s="10" t="s">
        <v>99</v>
      </c>
      <c r="V17" s="10">
        <v>10</v>
      </c>
      <c r="W17" s="10">
        <v>10</v>
      </c>
      <c r="X17" s="10">
        <v>0.438</v>
      </c>
      <c r="Y17" s="10">
        <v>1</v>
      </c>
      <c r="Z17" s="10">
        <v>0.46899999999999997</v>
      </c>
      <c r="AA17" s="10">
        <v>24</v>
      </c>
      <c r="AB17" s="10"/>
      <c r="AC17" s="10"/>
      <c r="AD17" s="10">
        <v>24</v>
      </c>
      <c r="AE17" s="10"/>
      <c r="AF17" s="10"/>
      <c r="AG17" s="10"/>
      <c r="AH17" s="10">
        <v>60</v>
      </c>
      <c r="AI17" s="10"/>
      <c r="AJ17" s="10">
        <v>160</v>
      </c>
      <c r="AK17" s="10"/>
      <c r="AL17" s="10"/>
      <c r="AM17" s="10"/>
      <c r="AN17" s="10">
        <v>750</v>
      </c>
      <c r="AO17" s="10">
        <v>73</v>
      </c>
      <c r="AP17" s="10">
        <v>13</v>
      </c>
      <c r="AQ17" s="10">
        <v>146</v>
      </c>
      <c r="AR17" s="10">
        <v>11</v>
      </c>
      <c r="AS17" s="10">
        <v>0</v>
      </c>
      <c r="AT17" s="10">
        <v>50</v>
      </c>
      <c r="AU17" s="10"/>
      <c r="AV17" s="10">
        <v>4</v>
      </c>
      <c r="AW17" s="10">
        <v>0.33</v>
      </c>
      <c r="AX17" s="10">
        <v>375</v>
      </c>
      <c r="AY17" s="10">
        <v>2000</v>
      </c>
      <c r="AZ17" s="10" t="s">
        <v>192</v>
      </c>
      <c r="BA17" s="10" t="s">
        <v>102</v>
      </c>
      <c r="BB17" s="10" t="s">
        <v>102</v>
      </c>
      <c r="BC17" s="10" t="s">
        <v>102</v>
      </c>
      <c r="BD17" s="10" t="s">
        <v>102</v>
      </c>
      <c r="BE17" s="10" t="s">
        <v>102</v>
      </c>
      <c r="BF17" s="10" t="s">
        <v>126</v>
      </c>
      <c r="BG17" s="10" t="s">
        <v>143</v>
      </c>
      <c r="BH17" s="10" t="s">
        <v>105</v>
      </c>
      <c r="BI17" s="10">
        <v>7</v>
      </c>
      <c r="BJ17" s="10">
        <v>1</v>
      </c>
      <c r="BK17" s="10">
        <v>2</v>
      </c>
      <c r="BL17" s="10">
        <v>8</v>
      </c>
      <c r="BM17" s="10">
        <v>4</v>
      </c>
      <c r="BN17" s="10">
        <v>9</v>
      </c>
      <c r="BO17" s="10">
        <v>7</v>
      </c>
      <c r="BP17" s="10">
        <v>7</v>
      </c>
      <c r="BQ17" s="10">
        <v>2</v>
      </c>
      <c r="BR17" s="10">
        <v>8</v>
      </c>
      <c r="BS17" s="10">
        <v>4</v>
      </c>
      <c r="BT17" s="10">
        <v>9</v>
      </c>
      <c r="BX17" s="8">
        <v>112174</v>
      </c>
      <c r="BY17" s="8">
        <v>112707</v>
      </c>
      <c r="CD17" s="8">
        <v>113045</v>
      </c>
      <c r="CI17" s="51"/>
      <c r="CJ17" s="8" t="b">
        <v>1</v>
      </c>
      <c r="CT17" s="8" t="s">
        <v>187</v>
      </c>
      <c r="CV17" s="51" t="s">
        <v>191</v>
      </c>
      <c r="CW17" s="8" t="str">
        <f t="shared" si="1"/>
        <v>DEF.MFL.SMFL.06</v>
      </c>
    </row>
    <row r="18" spans="1:101" s="8" customFormat="1" x14ac:dyDescent="0.25">
      <c r="A18" s="13">
        <v>122975</v>
      </c>
      <c r="B18" s="9">
        <v>6</v>
      </c>
      <c r="C18" s="9" t="s">
        <v>193</v>
      </c>
      <c r="D18" s="9" t="s">
        <v>94</v>
      </c>
      <c r="E18" s="9" t="s">
        <v>194</v>
      </c>
      <c r="F18" s="9"/>
      <c r="G18" s="33" t="s">
        <v>195</v>
      </c>
      <c r="H18" s="47" t="s">
        <v>196</v>
      </c>
      <c r="I18" s="9" t="str">
        <f>_xlfn.XLOOKUP(H18,'Alternative Tool Body Sheet'!A:A,'Alternative Tool Body Sheet'!C:C)</f>
        <v>6 DEF</v>
      </c>
      <c r="J18" s="9">
        <f t="shared" si="0"/>
        <v>5</v>
      </c>
      <c r="K18" s="9" t="s">
        <v>98</v>
      </c>
      <c r="L18" s="9">
        <v>6.625</v>
      </c>
      <c r="M18" s="9">
        <v>5.0999999999999996</v>
      </c>
      <c r="N18" s="9">
        <v>23.02</v>
      </c>
      <c r="P18" s="9">
        <v>5.75</v>
      </c>
      <c r="Q18" s="9" t="s">
        <v>115</v>
      </c>
      <c r="R18" s="9">
        <v>5.76</v>
      </c>
      <c r="S18" s="9">
        <v>5.25</v>
      </c>
      <c r="T18" s="9">
        <v>5.0999999999999996</v>
      </c>
      <c r="U18" s="9" t="s">
        <v>99</v>
      </c>
      <c r="V18" s="9">
        <v>15</v>
      </c>
      <c r="AA18" s="9">
        <v>16</v>
      </c>
      <c r="AN18" s="9">
        <v>750</v>
      </c>
      <c r="AO18" s="9">
        <v>114</v>
      </c>
      <c r="AP18" s="9">
        <v>19</v>
      </c>
      <c r="AQ18" s="9">
        <v>108</v>
      </c>
      <c r="AR18" s="9">
        <v>25</v>
      </c>
      <c r="AT18" s="9">
        <v>23</v>
      </c>
      <c r="AV18" s="9">
        <v>12.21</v>
      </c>
      <c r="AW18" s="9">
        <v>0.872</v>
      </c>
      <c r="AX18" s="9">
        <v>375</v>
      </c>
      <c r="AY18" s="9">
        <v>2000</v>
      </c>
      <c r="AZ18" s="9" t="s">
        <v>197</v>
      </c>
      <c r="BA18" s="9" t="s">
        <v>102</v>
      </c>
      <c r="BB18" s="9" t="s">
        <v>101</v>
      </c>
      <c r="BC18" s="9" t="s">
        <v>101</v>
      </c>
      <c r="BD18" s="9" t="s">
        <v>102</v>
      </c>
      <c r="BE18" s="9" t="s">
        <v>102</v>
      </c>
      <c r="BF18" s="9" t="s">
        <v>161</v>
      </c>
      <c r="BG18" s="9" t="s">
        <v>162</v>
      </c>
      <c r="BH18" s="9" t="s">
        <v>105</v>
      </c>
      <c r="BI18" s="9">
        <v>10</v>
      </c>
      <c r="BJ18" s="9">
        <v>1</v>
      </c>
      <c r="BK18" s="9">
        <v>2</v>
      </c>
      <c r="BL18" s="9">
        <v>8</v>
      </c>
      <c r="BM18" s="9">
        <v>4</v>
      </c>
      <c r="BN18" s="9">
        <v>13</v>
      </c>
      <c r="BO18" s="9">
        <v>10</v>
      </c>
      <c r="BP18" s="9">
        <v>10</v>
      </c>
      <c r="BQ18" s="9">
        <v>2</v>
      </c>
      <c r="BR18" s="9">
        <v>8</v>
      </c>
      <c r="BS18" s="9">
        <v>4</v>
      </c>
      <c r="BT18" s="9">
        <v>13</v>
      </c>
      <c r="BY18" s="8" t="s">
        <v>150</v>
      </c>
      <c r="CI18" s="51"/>
      <c r="CJ18" s="8" t="b">
        <v>0</v>
      </c>
      <c r="CT18" s="8">
        <v>122975</v>
      </c>
      <c r="CV18" s="51" t="s">
        <v>196</v>
      </c>
      <c r="CW18" s="8" t="str">
        <f t="shared" si="1"/>
        <v>DEF.XYZ.06</v>
      </c>
    </row>
    <row r="19" spans="1:101" s="8" customFormat="1" x14ac:dyDescent="0.25">
      <c r="A19" s="13">
        <v>106496</v>
      </c>
      <c r="B19" s="9">
        <v>6</v>
      </c>
      <c r="C19" s="9" t="s">
        <v>198</v>
      </c>
      <c r="D19" s="9" t="s">
        <v>94</v>
      </c>
      <c r="E19" s="9" t="s">
        <v>199</v>
      </c>
      <c r="F19" s="9"/>
      <c r="G19" s="33" t="s">
        <v>200</v>
      </c>
      <c r="H19" s="47" t="s">
        <v>201</v>
      </c>
      <c r="I19" s="9" t="str">
        <f>_xlfn.XLOOKUP(H19,'Alternative Tool Body Sheet'!A:A,'Alternative Tool Body Sheet'!C:C)</f>
        <v>6 MFL</v>
      </c>
      <c r="J19" s="9">
        <f t="shared" si="0"/>
        <v>5</v>
      </c>
      <c r="K19" s="9" t="s">
        <v>172</v>
      </c>
      <c r="L19" s="9">
        <v>6.625</v>
      </c>
      <c r="M19" s="9">
        <v>5.46</v>
      </c>
      <c r="N19" s="9">
        <v>17.579999999999998</v>
      </c>
      <c r="P19" s="9">
        <v>5.75</v>
      </c>
      <c r="Q19" s="9" t="s">
        <v>115</v>
      </c>
      <c r="R19" s="9">
        <v>5.76</v>
      </c>
      <c r="T19" s="9">
        <v>5.64</v>
      </c>
      <c r="U19" s="9" t="s">
        <v>116</v>
      </c>
      <c r="V19" s="9">
        <v>10</v>
      </c>
      <c r="W19" s="9">
        <v>10</v>
      </c>
      <c r="X19" s="9">
        <v>0.375</v>
      </c>
      <c r="Y19" s="9">
        <v>1</v>
      </c>
      <c r="Z19" s="9">
        <v>0.375</v>
      </c>
      <c r="AD19" s="9">
        <v>20</v>
      </c>
      <c r="AH19" s="9">
        <v>60</v>
      </c>
      <c r="AN19" s="9">
        <v>750</v>
      </c>
      <c r="AO19" s="9">
        <v>96</v>
      </c>
      <c r="AP19" s="9">
        <v>16</v>
      </c>
      <c r="AQ19" s="9">
        <v>120</v>
      </c>
      <c r="AR19" s="9">
        <v>25</v>
      </c>
      <c r="AT19" s="9">
        <v>17</v>
      </c>
      <c r="AV19" s="9">
        <v>19</v>
      </c>
      <c r="AW19" s="9">
        <v>1.58</v>
      </c>
      <c r="AX19" s="9">
        <v>375</v>
      </c>
      <c r="AY19" s="9">
        <v>2000</v>
      </c>
      <c r="AZ19" s="9" t="s">
        <v>202</v>
      </c>
      <c r="BA19" s="9" t="s">
        <v>102</v>
      </c>
      <c r="BB19" s="9" t="s">
        <v>102</v>
      </c>
      <c r="BC19" s="9" t="s">
        <v>102</v>
      </c>
      <c r="BD19" s="9" t="s">
        <v>102</v>
      </c>
      <c r="BE19" s="9" t="s">
        <v>102</v>
      </c>
      <c r="BF19" s="9" t="s">
        <v>161</v>
      </c>
      <c r="BG19" s="9" t="s">
        <v>162</v>
      </c>
      <c r="BH19" s="9" t="s">
        <v>105</v>
      </c>
      <c r="BI19" s="9">
        <v>8</v>
      </c>
      <c r="BJ19" s="9">
        <v>1</v>
      </c>
      <c r="BK19" s="9">
        <v>2</v>
      </c>
      <c r="BL19" s="9">
        <v>8</v>
      </c>
      <c r="BM19" s="9">
        <v>4</v>
      </c>
      <c r="BN19" s="9">
        <v>10</v>
      </c>
      <c r="BO19" s="9">
        <v>8</v>
      </c>
      <c r="BP19" s="9">
        <v>8</v>
      </c>
      <c r="BQ19" s="9">
        <v>2</v>
      </c>
      <c r="BR19" s="9">
        <v>8</v>
      </c>
      <c r="BS19" s="9">
        <v>4</v>
      </c>
      <c r="BT19" s="9">
        <v>10</v>
      </c>
      <c r="BX19" s="8" t="s">
        <v>149</v>
      </c>
      <c r="CI19" s="51"/>
      <c r="CJ19" s="8" t="b">
        <v>0</v>
      </c>
      <c r="CT19" s="8">
        <v>106496</v>
      </c>
      <c r="CV19" s="51" t="s">
        <v>201</v>
      </c>
      <c r="CW19" s="8" t="str">
        <f t="shared" si="1"/>
        <v>MFL.XYZ.06</v>
      </c>
    </row>
    <row r="20" spans="1:101" s="8" customFormat="1" x14ac:dyDescent="0.25">
      <c r="A20" s="13">
        <v>119785</v>
      </c>
      <c r="B20" s="9">
        <v>6</v>
      </c>
      <c r="C20" s="9" t="s">
        <v>203</v>
      </c>
      <c r="D20" s="9" t="s">
        <v>94</v>
      </c>
      <c r="E20" s="9" t="s">
        <v>145</v>
      </c>
      <c r="F20" s="9"/>
      <c r="G20" s="33" t="s">
        <v>204</v>
      </c>
      <c r="H20" s="47" t="s">
        <v>147</v>
      </c>
      <c r="I20" s="9" t="str">
        <f>_xlfn.XLOOKUP(H20,'Alternative Tool Body Sheet'!A:A,'Alternative Tool Body Sheet'!C:C)</f>
        <v>6 DEF</v>
      </c>
      <c r="J20" s="9">
        <f t="shared" si="0"/>
        <v>5</v>
      </c>
      <c r="K20" s="9" t="s">
        <v>172</v>
      </c>
      <c r="L20" s="9">
        <v>6.625</v>
      </c>
      <c r="M20" s="9">
        <v>5.46</v>
      </c>
      <c r="N20" s="9">
        <v>17.579999999999998</v>
      </c>
      <c r="P20" s="9">
        <v>5.75</v>
      </c>
      <c r="Q20" s="9" t="s">
        <v>99</v>
      </c>
      <c r="S20" s="9">
        <v>5.76</v>
      </c>
      <c r="U20" s="9" t="s">
        <v>99</v>
      </c>
      <c r="V20" s="9">
        <v>10</v>
      </c>
      <c r="W20" s="9">
        <v>10</v>
      </c>
      <c r="X20" s="9">
        <v>0.34399999999999997</v>
      </c>
      <c r="Y20" s="9">
        <v>1</v>
      </c>
      <c r="Z20" s="9">
        <v>0.34399999999999997</v>
      </c>
      <c r="AA20" s="9">
        <v>16</v>
      </c>
      <c r="AD20" s="9">
        <v>20</v>
      </c>
      <c r="AH20" s="9">
        <v>60</v>
      </c>
      <c r="AN20" s="9">
        <v>750</v>
      </c>
      <c r="AO20" s="9">
        <v>128</v>
      </c>
      <c r="AQ20" s="9">
        <v>165</v>
      </c>
      <c r="AT20" s="9">
        <v>47</v>
      </c>
      <c r="AV20" s="9">
        <v>10.5</v>
      </c>
      <c r="AW20" s="9">
        <v>0.88</v>
      </c>
      <c r="AX20" s="9">
        <v>375</v>
      </c>
      <c r="AY20" s="9">
        <v>2000</v>
      </c>
      <c r="AZ20" s="9" t="s">
        <v>205</v>
      </c>
      <c r="BA20" s="9" t="s">
        <v>102</v>
      </c>
      <c r="BB20" s="9" t="s">
        <v>101</v>
      </c>
      <c r="BC20" s="9" t="s">
        <v>101</v>
      </c>
      <c r="BD20" s="9" t="s">
        <v>102</v>
      </c>
      <c r="BE20" s="9" t="s">
        <v>102</v>
      </c>
      <c r="BF20" s="9" t="s">
        <v>118</v>
      </c>
      <c r="BG20" s="9" t="s">
        <v>118</v>
      </c>
      <c r="BH20" s="9" t="s">
        <v>105</v>
      </c>
      <c r="BI20" s="9">
        <v>11</v>
      </c>
      <c r="BJ20" s="9">
        <v>1</v>
      </c>
      <c r="BK20" s="9">
        <v>2</v>
      </c>
      <c r="BL20" s="9">
        <v>8</v>
      </c>
      <c r="BM20" s="9">
        <v>4</v>
      </c>
      <c r="BN20" s="9">
        <v>13</v>
      </c>
      <c r="BO20" s="9">
        <v>11</v>
      </c>
      <c r="BP20" s="9">
        <v>11</v>
      </c>
      <c r="BQ20" s="9">
        <v>2</v>
      </c>
      <c r="BR20" s="9">
        <v>8</v>
      </c>
      <c r="BS20" s="9">
        <v>4</v>
      </c>
      <c r="BT20" s="9">
        <v>13</v>
      </c>
      <c r="BX20" s="8" t="s">
        <v>149</v>
      </c>
      <c r="BY20" s="8" t="s">
        <v>150</v>
      </c>
      <c r="CI20" s="51"/>
      <c r="CJ20" s="8" t="b">
        <v>0</v>
      </c>
      <c r="CT20" s="8">
        <v>119785</v>
      </c>
      <c r="CV20" s="51" t="s">
        <v>147</v>
      </c>
      <c r="CW20" s="8" t="str">
        <f t="shared" si="1"/>
        <v>DEF.MFL.06</v>
      </c>
    </row>
    <row r="21" spans="1:101" s="8" customFormat="1" x14ac:dyDescent="0.25">
      <c r="A21" s="13">
        <v>129655</v>
      </c>
      <c r="B21" s="9">
        <v>6</v>
      </c>
      <c r="C21" s="9" t="s">
        <v>206</v>
      </c>
      <c r="D21" s="9" t="s">
        <v>94</v>
      </c>
      <c r="E21" s="9" t="s">
        <v>194</v>
      </c>
      <c r="F21" s="9"/>
      <c r="G21" s="33" t="s">
        <v>195</v>
      </c>
      <c r="H21" s="47" t="s">
        <v>196</v>
      </c>
      <c r="I21" s="9" t="str">
        <f>_xlfn.XLOOKUP(H21,'Alternative Tool Body Sheet'!A:A,'Alternative Tool Body Sheet'!C:C)</f>
        <v>6 DEF</v>
      </c>
      <c r="J21" s="9">
        <f t="shared" si="0"/>
        <v>5</v>
      </c>
      <c r="K21" s="9" t="s">
        <v>114</v>
      </c>
      <c r="L21" s="9">
        <v>6.625</v>
      </c>
      <c r="M21" s="9">
        <v>5.0999999999999996</v>
      </c>
      <c r="N21" s="9">
        <v>23.02</v>
      </c>
      <c r="P21" s="9">
        <v>5.75</v>
      </c>
      <c r="Q21" s="9" t="s">
        <v>115</v>
      </c>
      <c r="R21" s="9">
        <v>5.76</v>
      </c>
      <c r="S21" s="9">
        <v>5.25</v>
      </c>
      <c r="T21" s="9">
        <v>5.0999999999999996</v>
      </c>
      <c r="U21" s="9" t="s">
        <v>99</v>
      </c>
      <c r="V21" s="9">
        <v>15</v>
      </c>
      <c r="AA21" s="9">
        <v>16</v>
      </c>
      <c r="AN21" s="9">
        <v>750</v>
      </c>
      <c r="AO21" s="9">
        <v>111</v>
      </c>
      <c r="AP21" s="9">
        <v>19</v>
      </c>
      <c r="AQ21" s="9">
        <v>114</v>
      </c>
      <c r="AR21" s="9">
        <v>25</v>
      </c>
      <c r="AT21" s="9">
        <v>30</v>
      </c>
      <c r="AV21" s="9">
        <v>12.21</v>
      </c>
      <c r="AW21" s="9">
        <v>0.872</v>
      </c>
      <c r="AX21" s="9">
        <v>375</v>
      </c>
      <c r="AY21" s="9">
        <v>2000</v>
      </c>
      <c r="AZ21" s="9" t="s">
        <v>207</v>
      </c>
      <c r="BA21" s="9" t="s">
        <v>102</v>
      </c>
      <c r="BB21" s="9" t="s">
        <v>101</v>
      </c>
      <c r="BC21" s="9" t="s">
        <v>101</v>
      </c>
      <c r="BD21" s="9" t="s">
        <v>102</v>
      </c>
      <c r="BE21" s="9" t="s">
        <v>102</v>
      </c>
      <c r="BF21" s="9" t="s">
        <v>118</v>
      </c>
      <c r="BG21" s="9" t="s">
        <v>118</v>
      </c>
      <c r="BH21" s="9" t="s">
        <v>105</v>
      </c>
      <c r="BI21" s="9">
        <v>10</v>
      </c>
      <c r="BJ21" s="9">
        <v>1</v>
      </c>
      <c r="BK21" s="9">
        <v>2</v>
      </c>
      <c r="BL21" s="9">
        <v>8</v>
      </c>
      <c r="BM21" s="9">
        <v>4</v>
      </c>
      <c r="BN21" s="9">
        <v>13</v>
      </c>
      <c r="BO21" s="9">
        <v>10</v>
      </c>
      <c r="BP21" s="9">
        <v>10</v>
      </c>
      <c r="BQ21" s="9">
        <v>2</v>
      </c>
      <c r="BR21" s="9">
        <v>8</v>
      </c>
      <c r="BS21" s="9">
        <v>4</v>
      </c>
      <c r="BT21" s="9">
        <v>13</v>
      </c>
      <c r="BY21" s="8" t="s">
        <v>150</v>
      </c>
      <c r="CI21" s="51"/>
      <c r="CJ21" s="8" t="b">
        <v>0</v>
      </c>
      <c r="CT21" s="8">
        <v>129655</v>
      </c>
      <c r="CV21" s="51" t="s">
        <v>196</v>
      </c>
      <c r="CW21" s="8" t="str">
        <f t="shared" si="1"/>
        <v>DEF.XYZ.06</v>
      </c>
    </row>
    <row r="22" spans="1:101" s="8" customFormat="1" x14ac:dyDescent="0.25">
      <c r="A22" s="13">
        <v>116837</v>
      </c>
      <c r="B22" s="9">
        <v>6</v>
      </c>
      <c r="C22" s="9" t="s">
        <v>208</v>
      </c>
      <c r="D22" s="9" t="s">
        <v>94</v>
      </c>
      <c r="E22" s="9" t="s">
        <v>169</v>
      </c>
      <c r="F22" s="9"/>
      <c r="G22" s="33" t="s">
        <v>209</v>
      </c>
      <c r="H22" s="47" t="s">
        <v>171</v>
      </c>
      <c r="I22" s="9" t="str">
        <f>_xlfn.XLOOKUP(H22,'Alternative Tool Body Sheet'!A:A,'Alternative Tool Body Sheet'!C:C)</f>
        <v>6 MFL</v>
      </c>
      <c r="J22" s="9">
        <f t="shared" si="0"/>
        <v>5</v>
      </c>
      <c r="K22" s="9" t="s">
        <v>114</v>
      </c>
      <c r="L22" s="9">
        <v>6.625</v>
      </c>
      <c r="M22" s="9">
        <v>5.46</v>
      </c>
      <c r="N22" s="9">
        <v>17.579999999999998</v>
      </c>
      <c r="P22" s="9">
        <v>5.75</v>
      </c>
      <c r="Q22" s="9" t="s">
        <v>99</v>
      </c>
      <c r="S22" s="9">
        <v>5.76</v>
      </c>
      <c r="T22" s="9">
        <v>5.64</v>
      </c>
      <c r="U22" s="9" t="s">
        <v>99</v>
      </c>
      <c r="V22" s="9">
        <v>10</v>
      </c>
      <c r="W22" s="9">
        <v>10</v>
      </c>
      <c r="X22" s="9">
        <v>0.34399999999999997</v>
      </c>
      <c r="Y22" s="9">
        <v>1</v>
      </c>
      <c r="Z22" s="9">
        <v>0.34399999999999997</v>
      </c>
      <c r="AD22" s="9">
        <v>20</v>
      </c>
      <c r="AH22" s="9">
        <v>60</v>
      </c>
      <c r="AN22" s="9">
        <v>750</v>
      </c>
      <c r="AO22" s="9">
        <v>92</v>
      </c>
      <c r="AP22" s="9">
        <v>19</v>
      </c>
      <c r="AQ22" s="9">
        <v>140</v>
      </c>
      <c r="AR22" s="9">
        <v>25</v>
      </c>
      <c r="AT22" s="9">
        <v>69</v>
      </c>
      <c r="AX22" s="9">
        <v>375</v>
      </c>
      <c r="AY22" s="9">
        <v>2000</v>
      </c>
      <c r="AZ22" s="9" t="s">
        <v>210</v>
      </c>
      <c r="BA22" s="9" t="s">
        <v>102</v>
      </c>
      <c r="BB22" s="9" t="s">
        <v>101</v>
      </c>
      <c r="BC22" s="9" t="s">
        <v>101</v>
      </c>
      <c r="BD22" s="9" t="s">
        <v>102</v>
      </c>
      <c r="BE22" s="9" t="s">
        <v>102</v>
      </c>
      <c r="BF22" s="9" t="s">
        <v>126</v>
      </c>
      <c r="BG22" s="9" t="s">
        <v>126</v>
      </c>
      <c r="BH22" s="9" t="s">
        <v>105</v>
      </c>
      <c r="BI22" s="9">
        <v>8</v>
      </c>
      <c r="BJ22" s="9">
        <v>1</v>
      </c>
      <c r="BK22" s="9">
        <v>2</v>
      </c>
      <c r="BL22" s="9">
        <v>8</v>
      </c>
      <c r="BM22" s="9">
        <v>4</v>
      </c>
      <c r="BN22" s="9">
        <v>10</v>
      </c>
      <c r="BO22" s="9">
        <v>8</v>
      </c>
      <c r="BP22" s="9">
        <v>8</v>
      </c>
      <c r="BQ22" s="9">
        <v>2</v>
      </c>
      <c r="BR22" s="9">
        <v>8</v>
      </c>
      <c r="BS22" s="9">
        <v>4</v>
      </c>
      <c r="BT22" s="9">
        <v>10</v>
      </c>
      <c r="BX22" s="8" t="s">
        <v>149</v>
      </c>
      <c r="CI22" s="51"/>
      <c r="CJ22" s="8" t="b">
        <v>0</v>
      </c>
      <c r="CT22" s="8">
        <v>116837</v>
      </c>
      <c r="CV22" s="51" t="s">
        <v>171</v>
      </c>
      <c r="CW22" s="8" t="str">
        <f t="shared" si="1"/>
        <v>MFL.06</v>
      </c>
    </row>
    <row r="23" spans="1:101" s="8" customFormat="1" x14ac:dyDescent="0.25">
      <c r="A23" s="13">
        <v>127231</v>
      </c>
      <c r="B23" s="9">
        <v>6</v>
      </c>
      <c r="C23" s="9" t="s">
        <v>211</v>
      </c>
      <c r="D23" s="9" t="s">
        <v>94</v>
      </c>
      <c r="E23" s="9" t="s">
        <v>212</v>
      </c>
      <c r="F23" s="9"/>
      <c r="G23" s="33" t="s">
        <v>213</v>
      </c>
      <c r="H23" s="47" t="s">
        <v>214</v>
      </c>
      <c r="I23" s="9" t="s">
        <v>215</v>
      </c>
      <c r="J23" s="9">
        <f t="shared" si="0"/>
        <v>5</v>
      </c>
      <c r="K23" s="9" t="s">
        <v>114</v>
      </c>
      <c r="L23" s="9">
        <v>6.625</v>
      </c>
      <c r="M23" s="9">
        <v>5.46</v>
      </c>
      <c r="Q23" s="9" t="s">
        <v>99</v>
      </c>
      <c r="S23" s="9">
        <v>5.76</v>
      </c>
      <c r="U23" s="9" t="s">
        <v>99</v>
      </c>
      <c r="V23" s="9">
        <v>10</v>
      </c>
      <c r="W23" s="9">
        <v>10</v>
      </c>
      <c r="X23" s="9">
        <v>0.34399999999999997</v>
      </c>
      <c r="Y23" s="9">
        <v>1</v>
      </c>
      <c r="Z23" s="9">
        <v>0.34399999999999997</v>
      </c>
      <c r="AA23" s="9">
        <v>16</v>
      </c>
      <c r="AD23" s="9">
        <v>20</v>
      </c>
      <c r="AH23" s="9">
        <v>60</v>
      </c>
      <c r="AN23" s="9">
        <v>750</v>
      </c>
      <c r="AO23" s="9">
        <v>127</v>
      </c>
      <c r="AQ23" s="9">
        <v>140</v>
      </c>
      <c r="AT23" s="9">
        <v>20</v>
      </c>
      <c r="AX23" s="9">
        <v>375</v>
      </c>
      <c r="AY23" s="9">
        <v>2000</v>
      </c>
      <c r="AZ23" s="9" t="s">
        <v>216</v>
      </c>
      <c r="BA23" s="9" t="s">
        <v>102</v>
      </c>
      <c r="BB23" s="9" t="s">
        <v>102</v>
      </c>
      <c r="BC23" s="9" t="s">
        <v>102</v>
      </c>
      <c r="BD23" s="9" t="s">
        <v>102</v>
      </c>
      <c r="BE23" s="9" t="s">
        <v>102</v>
      </c>
      <c r="BF23" s="9" t="s">
        <v>118</v>
      </c>
      <c r="BG23" s="9" t="s">
        <v>118</v>
      </c>
      <c r="BH23" s="9" t="s">
        <v>105</v>
      </c>
      <c r="BI23" s="9">
        <v>11</v>
      </c>
      <c r="BJ23" s="9">
        <v>1</v>
      </c>
      <c r="BK23" s="9">
        <v>2</v>
      </c>
      <c r="BL23" s="9">
        <v>8</v>
      </c>
      <c r="BM23" s="9">
        <v>4</v>
      </c>
      <c r="BN23" s="9">
        <v>14</v>
      </c>
      <c r="BO23" s="9">
        <v>11</v>
      </c>
      <c r="BP23" s="9">
        <v>11</v>
      </c>
      <c r="BQ23" s="9">
        <v>2</v>
      </c>
      <c r="BR23" s="9">
        <v>8</v>
      </c>
      <c r="BS23" s="9">
        <v>4</v>
      </c>
      <c r="BT23" s="9">
        <v>14</v>
      </c>
      <c r="BX23" s="8" t="s">
        <v>149</v>
      </c>
      <c r="CI23" s="51"/>
      <c r="CJ23" s="8" t="b">
        <v>0</v>
      </c>
      <c r="CT23" s="8">
        <v>127231</v>
      </c>
      <c r="CV23" s="51" t="s">
        <v>214</v>
      </c>
      <c r="CW23" s="8" t="str">
        <f t="shared" si="1"/>
        <v>DEF.MFL.XYZ.06</v>
      </c>
    </row>
    <row r="24" spans="1:101" s="8" customFormat="1" x14ac:dyDescent="0.25">
      <c r="A24" s="13">
        <v>119403</v>
      </c>
      <c r="B24" s="9">
        <v>6</v>
      </c>
      <c r="C24" s="9" t="s">
        <v>217</v>
      </c>
      <c r="D24" s="9" t="s">
        <v>94</v>
      </c>
      <c r="E24" s="9" t="s">
        <v>199</v>
      </c>
      <c r="F24" s="9"/>
      <c r="G24" s="33" t="s">
        <v>218</v>
      </c>
      <c r="H24" s="47" t="s">
        <v>201</v>
      </c>
      <c r="I24" s="9" t="str">
        <f>_xlfn.XLOOKUP(H24,'Alternative Tool Body Sheet'!A:A,'Alternative Tool Body Sheet'!C:C)</f>
        <v>6 MFL</v>
      </c>
      <c r="J24" s="9">
        <f t="shared" si="0"/>
        <v>5</v>
      </c>
      <c r="K24" s="9" t="s">
        <v>172</v>
      </c>
      <c r="L24" s="9">
        <v>6.625</v>
      </c>
      <c r="M24" s="9">
        <v>5.5</v>
      </c>
      <c r="N24" s="9">
        <v>16.98</v>
      </c>
      <c r="P24" s="9">
        <v>5.75</v>
      </c>
      <c r="Q24" s="9" t="s">
        <v>115</v>
      </c>
      <c r="R24" s="9">
        <v>5.76</v>
      </c>
      <c r="T24" s="9">
        <v>5.64</v>
      </c>
      <c r="U24" s="9" t="s">
        <v>116</v>
      </c>
      <c r="V24" s="9">
        <v>10</v>
      </c>
      <c r="W24" s="9">
        <v>10</v>
      </c>
      <c r="X24" s="9">
        <v>0.3</v>
      </c>
      <c r="Y24" s="9">
        <v>1</v>
      </c>
      <c r="Z24" s="9">
        <v>0.34399999999999997</v>
      </c>
      <c r="AD24" s="9">
        <v>20</v>
      </c>
      <c r="AH24" s="9">
        <v>60</v>
      </c>
      <c r="AN24" s="9">
        <v>750</v>
      </c>
      <c r="AO24" s="9">
        <v>96</v>
      </c>
      <c r="AP24" s="9">
        <v>16</v>
      </c>
      <c r="AQ24" s="9">
        <v>120</v>
      </c>
      <c r="AR24" s="9">
        <v>25</v>
      </c>
      <c r="AT24" s="9">
        <v>16</v>
      </c>
      <c r="AV24" s="9">
        <v>19</v>
      </c>
      <c r="AW24" s="9">
        <v>1.58</v>
      </c>
      <c r="AX24" s="9">
        <v>375</v>
      </c>
      <c r="AY24" s="9">
        <v>2000</v>
      </c>
      <c r="AZ24" s="9" t="s">
        <v>219</v>
      </c>
      <c r="BA24" s="9" t="s">
        <v>102</v>
      </c>
      <c r="BB24" s="9" t="s">
        <v>102</v>
      </c>
      <c r="BC24" s="9" t="s">
        <v>102</v>
      </c>
      <c r="BD24" s="9" t="s">
        <v>102</v>
      </c>
      <c r="BE24" s="9" t="s">
        <v>102</v>
      </c>
      <c r="BF24" s="9" t="s">
        <v>161</v>
      </c>
      <c r="BG24" s="9" t="s">
        <v>162</v>
      </c>
      <c r="BH24" s="9" t="s">
        <v>105</v>
      </c>
      <c r="BI24" s="9">
        <v>9</v>
      </c>
      <c r="BJ24" s="9">
        <v>1</v>
      </c>
      <c r="BK24" s="9">
        <v>2</v>
      </c>
      <c r="BL24" s="9">
        <v>8</v>
      </c>
      <c r="BM24" s="9">
        <v>4</v>
      </c>
      <c r="BN24" s="9">
        <v>12</v>
      </c>
      <c r="BO24" s="9">
        <v>9</v>
      </c>
      <c r="BP24" s="9">
        <v>9</v>
      </c>
      <c r="BQ24" s="9">
        <v>2</v>
      </c>
      <c r="BR24" s="9">
        <v>8</v>
      </c>
      <c r="BS24" s="9">
        <v>4</v>
      </c>
      <c r="BT24" s="9">
        <v>12</v>
      </c>
      <c r="BX24" s="8" t="s">
        <v>149</v>
      </c>
      <c r="CI24" s="51"/>
      <c r="CJ24" s="8" t="b">
        <v>0</v>
      </c>
      <c r="CT24" s="8">
        <v>119403</v>
      </c>
      <c r="CV24" s="51" t="s">
        <v>201</v>
      </c>
      <c r="CW24" s="8" t="str">
        <f t="shared" si="1"/>
        <v>MFL.XYZ.06</v>
      </c>
    </row>
    <row r="25" spans="1:101" s="8" customFormat="1" x14ac:dyDescent="0.25">
      <c r="A25" s="13" t="s">
        <v>220</v>
      </c>
      <c r="B25" s="9">
        <v>6</v>
      </c>
      <c r="C25" s="9" t="s">
        <v>221</v>
      </c>
      <c r="D25" s="9" t="s">
        <v>121</v>
      </c>
      <c r="E25" s="9" t="s">
        <v>189</v>
      </c>
      <c r="F25" s="9"/>
      <c r="G25" s="33" t="s">
        <v>222</v>
      </c>
      <c r="H25" s="47" t="s">
        <v>191</v>
      </c>
      <c r="I25" s="9" t="str">
        <f>_xlfn.XLOOKUP(H25,'Alternative Tool Body Sheet'!A:A,'Alternative Tool Body Sheet'!C:C)</f>
        <v xml:space="preserve">6 MDS </v>
      </c>
      <c r="J25" s="9">
        <f t="shared" si="0"/>
        <v>7</v>
      </c>
      <c r="K25" s="9" t="s">
        <v>114</v>
      </c>
      <c r="L25" s="9">
        <v>6.625</v>
      </c>
      <c r="M25" s="9">
        <v>5.5</v>
      </c>
      <c r="N25" s="9">
        <v>16.98</v>
      </c>
      <c r="P25" s="9">
        <v>5.75</v>
      </c>
      <c r="Q25" s="9" t="s">
        <v>115</v>
      </c>
      <c r="R25" s="9">
        <v>5.625</v>
      </c>
      <c r="S25" s="9">
        <v>5.56</v>
      </c>
      <c r="T25" s="9">
        <v>5.5</v>
      </c>
      <c r="U25" s="9" t="s">
        <v>99</v>
      </c>
      <c r="V25" s="9">
        <v>10</v>
      </c>
      <c r="X25" s="9">
        <v>0.438</v>
      </c>
      <c r="AA25" s="9">
        <v>24</v>
      </c>
      <c r="AD25" s="9">
        <v>24</v>
      </c>
      <c r="AH25" s="9">
        <v>60</v>
      </c>
      <c r="AJ25" s="9">
        <v>160</v>
      </c>
      <c r="AN25" s="9">
        <v>750</v>
      </c>
      <c r="AO25" s="9">
        <v>73</v>
      </c>
      <c r="AP25" s="9">
        <v>13</v>
      </c>
      <c r="AQ25" s="9">
        <v>146</v>
      </c>
      <c r="AR25" s="9">
        <v>11</v>
      </c>
      <c r="AT25" s="9">
        <v>70</v>
      </c>
      <c r="AV25" s="9">
        <v>4</v>
      </c>
      <c r="AW25" s="9">
        <v>0.33</v>
      </c>
      <c r="AX25" s="9">
        <v>375</v>
      </c>
      <c r="AY25" s="9">
        <v>2000</v>
      </c>
      <c r="BA25" s="9" t="s">
        <v>102</v>
      </c>
      <c r="BB25" s="9" t="s">
        <v>102</v>
      </c>
      <c r="BC25" s="9" t="s">
        <v>102</v>
      </c>
      <c r="BD25" s="9" t="s">
        <v>102</v>
      </c>
      <c r="BE25" s="9" t="s">
        <v>102</v>
      </c>
      <c r="BF25" s="9" t="s">
        <v>118</v>
      </c>
      <c r="BG25" s="9" t="s">
        <v>143</v>
      </c>
      <c r="BH25" s="9" t="s">
        <v>105</v>
      </c>
      <c r="BI25" s="9">
        <v>7</v>
      </c>
      <c r="BJ25" s="9">
        <v>1</v>
      </c>
      <c r="BK25" s="9">
        <v>2</v>
      </c>
      <c r="BL25" s="9">
        <v>8</v>
      </c>
      <c r="BM25" s="9">
        <v>4</v>
      </c>
      <c r="BN25" s="9">
        <v>9</v>
      </c>
      <c r="BO25" s="9">
        <v>7</v>
      </c>
      <c r="BP25" s="9">
        <v>7</v>
      </c>
      <c r="BQ25" s="9">
        <v>2</v>
      </c>
      <c r="BR25" s="9">
        <v>8</v>
      </c>
      <c r="BS25" s="9">
        <v>4</v>
      </c>
      <c r="BT25" s="9">
        <v>9</v>
      </c>
      <c r="BX25" s="8">
        <v>112174</v>
      </c>
      <c r="BY25" s="8">
        <v>112707</v>
      </c>
      <c r="CD25" s="8">
        <v>113045</v>
      </c>
      <c r="CI25" s="51"/>
      <c r="CJ25" s="8" t="b">
        <v>0</v>
      </c>
      <c r="CT25" s="8" t="s">
        <v>220</v>
      </c>
      <c r="CV25" s="51" t="s">
        <v>191</v>
      </c>
      <c r="CW25" s="8" t="str">
        <f t="shared" si="1"/>
        <v>DEF.MFL.SMFL.06</v>
      </c>
    </row>
    <row r="26" spans="1:101" s="8" customFormat="1" x14ac:dyDescent="0.25">
      <c r="A26" s="13">
        <v>113403</v>
      </c>
      <c r="B26" s="9">
        <v>6</v>
      </c>
      <c r="C26" s="9" t="s">
        <v>223</v>
      </c>
      <c r="D26" s="9" t="s">
        <v>94</v>
      </c>
      <c r="E26" s="9" t="s">
        <v>224</v>
      </c>
      <c r="F26" s="9"/>
      <c r="G26" s="33" t="s">
        <v>225</v>
      </c>
      <c r="H26" s="47" t="s">
        <v>147</v>
      </c>
      <c r="I26" s="9" t="str">
        <f>_xlfn.XLOOKUP(H26,'Alternative Tool Body Sheet'!A:A,'Alternative Tool Body Sheet'!C:C)</f>
        <v>6 DEF</v>
      </c>
      <c r="J26" s="9">
        <f t="shared" si="0"/>
        <v>5</v>
      </c>
      <c r="K26" s="9" t="s">
        <v>172</v>
      </c>
      <c r="L26" s="9">
        <v>6.625</v>
      </c>
      <c r="M26" s="9">
        <v>5.46</v>
      </c>
      <c r="N26" s="9">
        <v>17.579999999999998</v>
      </c>
      <c r="P26" s="9">
        <v>5.75</v>
      </c>
      <c r="Q26" s="9" t="s">
        <v>99</v>
      </c>
      <c r="S26" s="9">
        <v>5.76</v>
      </c>
      <c r="U26" s="9" t="s">
        <v>99</v>
      </c>
      <c r="V26" s="9">
        <v>10</v>
      </c>
      <c r="W26" s="9">
        <v>10</v>
      </c>
      <c r="X26" s="9">
        <v>0.34399999999999997</v>
      </c>
      <c r="Y26" s="9">
        <v>1</v>
      </c>
      <c r="Z26" s="9">
        <v>0.34399999999999997</v>
      </c>
      <c r="AA26" s="9">
        <v>9</v>
      </c>
      <c r="AH26" s="9">
        <v>60</v>
      </c>
      <c r="AN26" s="9">
        <v>750</v>
      </c>
      <c r="AO26" s="9">
        <v>108</v>
      </c>
      <c r="AP26" s="9">
        <v>16</v>
      </c>
      <c r="AQ26" s="9">
        <v>165</v>
      </c>
      <c r="AR26" s="9">
        <v>25</v>
      </c>
      <c r="AT26" s="9">
        <v>31</v>
      </c>
      <c r="AV26" s="9">
        <v>11.22</v>
      </c>
      <c r="AW26" s="9">
        <v>0.94</v>
      </c>
      <c r="AX26" s="9">
        <v>375</v>
      </c>
      <c r="AY26" s="9">
        <v>2000</v>
      </c>
      <c r="AZ26" s="9" t="s">
        <v>226</v>
      </c>
      <c r="BA26" s="9" t="s">
        <v>101</v>
      </c>
      <c r="BB26" s="9" t="s">
        <v>101</v>
      </c>
      <c r="BC26" s="9" t="s">
        <v>101</v>
      </c>
      <c r="BD26" s="9" t="s">
        <v>102</v>
      </c>
      <c r="BE26" s="9" t="s">
        <v>102</v>
      </c>
      <c r="BF26" s="9" t="s">
        <v>118</v>
      </c>
      <c r="BG26" s="9" t="s">
        <v>162</v>
      </c>
      <c r="BH26" s="9" t="s">
        <v>105</v>
      </c>
      <c r="BI26" s="9">
        <v>9</v>
      </c>
      <c r="BJ26" s="9">
        <v>1</v>
      </c>
      <c r="BK26" s="9">
        <v>2</v>
      </c>
      <c r="BL26" s="9">
        <v>8</v>
      </c>
      <c r="BM26" s="9">
        <v>4</v>
      </c>
      <c r="BN26" s="9">
        <v>12</v>
      </c>
      <c r="BO26" s="9">
        <v>9</v>
      </c>
      <c r="BP26" s="9">
        <v>9</v>
      </c>
      <c r="BQ26" s="9">
        <v>2</v>
      </c>
      <c r="BR26" s="9">
        <v>8</v>
      </c>
      <c r="BS26" s="9">
        <v>4</v>
      </c>
      <c r="BT26" s="9">
        <v>12</v>
      </c>
      <c r="BX26" s="8" t="s">
        <v>149</v>
      </c>
      <c r="BY26" s="8">
        <v>102784</v>
      </c>
      <c r="CI26" s="51"/>
      <c r="CJ26" s="8" t="b">
        <v>0</v>
      </c>
      <c r="CT26" s="8">
        <v>113403</v>
      </c>
      <c r="CV26" s="51" t="s">
        <v>147</v>
      </c>
      <c r="CW26" s="8" t="str">
        <f t="shared" si="1"/>
        <v>DEF.MFL.06</v>
      </c>
    </row>
    <row r="27" spans="1:101" s="8" customFormat="1" x14ac:dyDescent="0.25">
      <c r="A27" s="13">
        <v>105681</v>
      </c>
      <c r="B27" s="9">
        <v>6</v>
      </c>
      <c r="C27" s="9" t="s">
        <v>227</v>
      </c>
      <c r="D27" s="9" t="s">
        <v>94</v>
      </c>
      <c r="E27" s="9" t="s">
        <v>164</v>
      </c>
      <c r="F27" s="9"/>
      <c r="G27" s="33" t="s">
        <v>228</v>
      </c>
      <c r="H27" s="47" t="s">
        <v>166</v>
      </c>
      <c r="I27" s="9" t="str">
        <f>_xlfn.XLOOKUP(H27,'Alternative Tool Body Sheet'!A:A,'Alternative Tool Body Sheet'!C:C)</f>
        <v>6 LGT</v>
      </c>
      <c r="J27" s="9">
        <f t="shared" si="0"/>
        <v>5</v>
      </c>
      <c r="K27" s="9" t="s">
        <v>98</v>
      </c>
      <c r="L27" s="9">
        <v>6.625</v>
      </c>
      <c r="M27" s="9">
        <v>4.75</v>
      </c>
      <c r="N27" s="9">
        <v>28.3</v>
      </c>
      <c r="P27" s="9">
        <v>5.75</v>
      </c>
      <c r="Q27" s="9" t="s">
        <v>115</v>
      </c>
      <c r="R27" s="9">
        <v>5</v>
      </c>
      <c r="U27" s="9" t="s">
        <v>116</v>
      </c>
      <c r="V27" s="9">
        <v>15</v>
      </c>
      <c r="AG27" s="9">
        <v>8</v>
      </c>
      <c r="AN27" s="9">
        <v>500</v>
      </c>
      <c r="AO27" s="9">
        <v>88</v>
      </c>
      <c r="AP27" s="9">
        <v>16</v>
      </c>
      <c r="AQ27" s="9">
        <v>53</v>
      </c>
      <c r="AR27" s="9">
        <v>11</v>
      </c>
      <c r="AT27" s="9">
        <v>23</v>
      </c>
      <c r="AV27" s="9">
        <v>3.1</v>
      </c>
      <c r="AW27" s="9">
        <v>0.26</v>
      </c>
      <c r="AX27" s="9">
        <v>375</v>
      </c>
      <c r="AY27" s="9">
        <v>2000</v>
      </c>
      <c r="AZ27" s="9" t="s">
        <v>229</v>
      </c>
      <c r="BA27" s="9" t="s">
        <v>102</v>
      </c>
      <c r="BB27" s="9" t="s">
        <v>102</v>
      </c>
      <c r="BC27" s="9" t="s">
        <v>102</v>
      </c>
      <c r="BD27" s="9" t="s">
        <v>102</v>
      </c>
      <c r="BE27" s="9" t="s">
        <v>102</v>
      </c>
      <c r="BF27" s="9" t="s">
        <v>118</v>
      </c>
      <c r="BG27" s="9" t="s">
        <v>104</v>
      </c>
      <c r="BH27" s="9" t="s">
        <v>105</v>
      </c>
      <c r="BI27" s="9">
        <v>8</v>
      </c>
      <c r="BJ27" s="9">
        <v>1</v>
      </c>
      <c r="BK27" s="9">
        <v>2</v>
      </c>
      <c r="BL27" s="9">
        <v>8</v>
      </c>
      <c r="BM27" s="9">
        <v>4</v>
      </c>
      <c r="BN27" s="9">
        <v>10</v>
      </c>
      <c r="BO27" s="9">
        <v>8</v>
      </c>
      <c r="BP27" s="9">
        <v>8</v>
      </c>
      <c r="BQ27" s="9">
        <v>2</v>
      </c>
      <c r="BR27" s="9">
        <v>8</v>
      </c>
      <c r="BS27" s="9">
        <v>4</v>
      </c>
      <c r="BT27" s="9">
        <v>10</v>
      </c>
      <c r="BY27" s="8">
        <v>105683</v>
      </c>
      <c r="CI27" s="51"/>
      <c r="CJ27" s="8" t="b">
        <v>0</v>
      </c>
      <c r="CT27" s="8">
        <v>105681</v>
      </c>
      <c r="CV27" s="51" t="s">
        <v>166</v>
      </c>
      <c r="CW27" s="8" t="str">
        <f t="shared" si="1"/>
        <v>LGT.06</v>
      </c>
    </row>
    <row r="28" spans="1:101" s="8" customFormat="1" x14ac:dyDescent="0.25">
      <c r="A28" s="21" t="s">
        <v>230</v>
      </c>
      <c r="B28" s="10">
        <v>6</v>
      </c>
      <c r="C28" s="10" t="s">
        <v>231</v>
      </c>
      <c r="D28" s="10" t="s">
        <v>121</v>
      </c>
      <c r="E28" s="10" t="s">
        <v>189</v>
      </c>
      <c r="F28" s="10"/>
      <c r="G28" s="34" t="s">
        <v>232</v>
      </c>
      <c r="H28" s="48" t="s">
        <v>191</v>
      </c>
      <c r="I28" s="9" t="str">
        <f>_xlfn.XLOOKUP(H28,'Alternative Tool Body Sheet'!A:A,'Alternative Tool Body Sheet'!C:C)</f>
        <v xml:space="preserve">6 MDS </v>
      </c>
      <c r="J28" s="10">
        <f t="shared" si="0"/>
        <v>7</v>
      </c>
      <c r="K28" s="10" t="s">
        <v>114</v>
      </c>
      <c r="L28" s="10">
        <v>6.625</v>
      </c>
      <c r="M28" s="10">
        <v>5.5</v>
      </c>
      <c r="N28" s="10">
        <v>16.98</v>
      </c>
      <c r="O28" s="10"/>
      <c r="P28" s="10">
        <v>5.75</v>
      </c>
      <c r="Q28" s="10" t="s">
        <v>115</v>
      </c>
      <c r="R28" s="10">
        <v>5.625</v>
      </c>
      <c r="S28" s="10">
        <v>5.56</v>
      </c>
      <c r="T28" s="10">
        <v>5.5</v>
      </c>
      <c r="U28" s="10" t="s">
        <v>99</v>
      </c>
      <c r="V28" s="10">
        <v>10</v>
      </c>
      <c r="W28" s="10">
        <v>10</v>
      </c>
      <c r="X28" s="10">
        <v>0.438</v>
      </c>
      <c r="Y28" s="10">
        <v>1</v>
      </c>
      <c r="Z28" s="10">
        <v>0.46899999999999997</v>
      </c>
      <c r="AA28" s="10">
        <v>24</v>
      </c>
      <c r="AB28" s="10"/>
      <c r="AC28" s="10"/>
      <c r="AD28" s="10">
        <v>24</v>
      </c>
      <c r="AE28" s="10"/>
      <c r="AF28" s="10"/>
      <c r="AG28" s="10"/>
      <c r="AH28" s="10">
        <v>60</v>
      </c>
      <c r="AI28" s="10"/>
      <c r="AJ28" s="10">
        <v>160</v>
      </c>
      <c r="AK28" s="10"/>
      <c r="AL28" s="10"/>
      <c r="AM28" s="10"/>
      <c r="AN28" s="10">
        <v>750</v>
      </c>
      <c r="AO28" s="10">
        <v>73</v>
      </c>
      <c r="AP28" s="10">
        <v>13</v>
      </c>
      <c r="AQ28" s="10">
        <v>146</v>
      </c>
      <c r="AR28" s="10">
        <v>11</v>
      </c>
      <c r="AS28" s="10"/>
      <c r="AT28" s="10">
        <v>70</v>
      </c>
      <c r="AU28" s="10"/>
      <c r="AV28" s="10">
        <v>4</v>
      </c>
      <c r="AW28" s="10">
        <v>0.33</v>
      </c>
      <c r="AX28" s="10">
        <v>375</v>
      </c>
      <c r="AY28" s="10">
        <v>2000</v>
      </c>
      <c r="AZ28" s="10"/>
      <c r="BA28" s="10" t="s">
        <v>102</v>
      </c>
      <c r="BB28" s="10" t="s">
        <v>102</v>
      </c>
      <c r="BC28" s="10" t="s">
        <v>102</v>
      </c>
      <c r="BD28" s="10" t="s">
        <v>102</v>
      </c>
      <c r="BE28" s="10" t="s">
        <v>102</v>
      </c>
      <c r="BF28" s="10" t="s">
        <v>118</v>
      </c>
      <c r="BG28" s="10" t="s">
        <v>143</v>
      </c>
      <c r="BH28" s="10" t="s">
        <v>105</v>
      </c>
      <c r="BI28" s="10">
        <v>7</v>
      </c>
      <c r="BJ28" s="10">
        <v>1</v>
      </c>
      <c r="BK28" s="10">
        <v>2</v>
      </c>
      <c r="BL28" s="10">
        <v>8</v>
      </c>
      <c r="BM28" s="10">
        <v>4</v>
      </c>
      <c r="BN28" s="10">
        <v>9</v>
      </c>
      <c r="BO28" s="10">
        <v>7</v>
      </c>
      <c r="BP28" s="10">
        <v>7</v>
      </c>
      <c r="BQ28" s="10">
        <v>2</v>
      </c>
      <c r="BR28" s="10">
        <v>8</v>
      </c>
      <c r="BS28" s="10">
        <v>4</v>
      </c>
      <c r="BT28" s="10">
        <v>9</v>
      </c>
      <c r="BX28" s="8">
        <v>112174</v>
      </c>
      <c r="BY28" s="8">
        <v>112707</v>
      </c>
      <c r="CD28" s="8">
        <v>113045</v>
      </c>
      <c r="CI28" s="51"/>
      <c r="CJ28" s="8" t="b">
        <v>1</v>
      </c>
      <c r="CT28" s="8" t="s">
        <v>230</v>
      </c>
      <c r="CV28" s="51" t="s">
        <v>191</v>
      </c>
      <c r="CW28" s="8" t="str">
        <f t="shared" si="1"/>
        <v>DEF.MFL.SMFL.06</v>
      </c>
    </row>
    <row r="29" spans="1:101" s="8" customFormat="1" x14ac:dyDescent="0.25">
      <c r="A29" s="13">
        <v>126981</v>
      </c>
      <c r="B29" s="9">
        <v>6</v>
      </c>
      <c r="C29" s="9" t="s">
        <v>233</v>
      </c>
      <c r="D29" s="9" t="s">
        <v>94</v>
      </c>
      <c r="E29" s="9" t="s">
        <v>95</v>
      </c>
      <c r="F29" s="9"/>
      <c r="G29" s="33" t="s">
        <v>234</v>
      </c>
      <c r="H29" s="47" t="s">
        <v>159</v>
      </c>
      <c r="I29" s="9" t="str">
        <f>_xlfn.XLOOKUP(H29,'Alternative Tool Body Sheet'!A:A,'Alternative Tool Body Sheet'!C:C)</f>
        <v>6 DEF</v>
      </c>
      <c r="J29" s="9">
        <f t="shared" si="0"/>
        <v>5</v>
      </c>
      <c r="K29" s="9" t="s">
        <v>114</v>
      </c>
      <c r="L29" s="9">
        <v>6.625</v>
      </c>
      <c r="M29" s="9">
        <v>5.0999999999999996</v>
      </c>
      <c r="Q29" s="9" t="s">
        <v>115</v>
      </c>
      <c r="R29" s="9">
        <v>5.76</v>
      </c>
      <c r="U29" s="9" t="s">
        <v>99</v>
      </c>
      <c r="V29" s="9">
        <v>15</v>
      </c>
      <c r="AA29" s="9">
        <v>16</v>
      </c>
      <c r="AN29" s="9">
        <v>750</v>
      </c>
      <c r="AO29" s="9">
        <v>89</v>
      </c>
      <c r="AQ29" s="9">
        <v>90</v>
      </c>
      <c r="AS29" s="9">
        <v>100</v>
      </c>
      <c r="AX29" s="9">
        <v>375</v>
      </c>
      <c r="AY29" s="9">
        <v>2000</v>
      </c>
      <c r="AZ29" s="9" t="s">
        <v>235</v>
      </c>
      <c r="BA29" s="9" t="s">
        <v>102</v>
      </c>
      <c r="BB29" s="9" t="s">
        <v>102</v>
      </c>
      <c r="BC29" s="9" t="s">
        <v>102</v>
      </c>
      <c r="BD29" s="9" t="s">
        <v>102</v>
      </c>
      <c r="BE29" s="9" t="s">
        <v>102</v>
      </c>
      <c r="BF29" s="9" t="s">
        <v>118</v>
      </c>
      <c r="BG29" s="9" t="s">
        <v>118</v>
      </c>
      <c r="BH29" s="9" t="s">
        <v>105</v>
      </c>
      <c r="BI29" s="9">
        <v>8</v>
      </c>
      <c r="BJ29" s="9">
        <v>1</v>
      </c>
      <c r="BK29" s="9">
        <v>2</v>
      </c>
      <c r="BL29" s="9">
        <v>8</v>
      </c>
      <c r="BM29" s="9">
        <v>4</v>
      </c>
      <c r="BN29" s="9">
        <v>10</v>
      </c>
      <c r="BO29" s="9">
        <v>8</v>
      </c>
      <c r="BP29" s="9">
        <v>8</v>
      </c>
      <c r="BQ29" s="9">
        <v>2</v>
      </c>
      <c r="BR29" s="9">
        <v>8</v>
      </c>
      <c r="BS29" s="9">
        <v>4</v>
      </c>
      <c r="BT29" s="9">
        <v>10</v>
      </c>
      <c r="BY29" s="8" t="s">
        <v>150</v>
      </c>
      <c r="CI29" s="51"/>
      <c r="CJ29" s="8" t="b">
        <v>0</v>
      </c>
      <c r="CT29" s="8">
        <v>126981</v>
      </c>
      <c r="CV29" s="51" t="s">
        <v>159</v>
      </c>
      <c r="CW29" s="8" t="str">
        <f t="shared" si="1"/>
        <v>DEF.06</v>
      </c>
    </row>
    <row r="30" spans="1:101" s="8" customFormat="1" x14ac:dyDescent="0.25">
      <c r="A30" s="13">
        <v>123925</v>
      </c>
      <c r="B30" s="9">
        <v>8</v>
      </c>
      <c r="C30" s="9" t="s">
        <v>236</v>
      </c>
      <c r="D30" s="9" t="s">
        <v>121</v>
      </c>
      <c r="E30" s="9" t="s">
        <v>237</v>
      </c>
      <c r="F30" s="9"/>
      <c r="G30" s="33" t="s">
        <v>238</v>
      </c>
      <c r="H30" s="47" t="s">
        <v>239</v>
      </c>
      <c r="I30" s="9" t="str">
        <f>_xlfn.XLOOKUP(H30,'Alternative Tool Body Sheet'!A:A,'Alternative Tool Body Sheet'!C:C)</f>
        <v>8 MDS V1</v>
      </c>
      <c r="J30" s="9">
        <f t="shared" si="0"/>
        <v>7</v>
      </c>
      <c r="K30" s="9" t="s">
        <v>114</v>
      </c>
      <c r="L30" s="9">
        <v>8.625</v>
      </c>
      <c r="M30" s="9">
        <v>7.15</v>
      </c>
      <c r="P30" s="9">
        <v>7.625</v>
      </c>
      <c r="Q30" s="9" t="s">
        <v>115</v>
      </c>
      <c r="R30" s="9">
        <v>7.63</v>
      </c>
      <c r="S30" s="9">
        <v>7.4</v>
      </c>
      <c r="U30" s="9" t="s">
        <v>99</v>
      </c>
      <c r="V30" s="9">
        <v>10</v>
      </c>
      <c r="W30" s="9">
        <v>10</v>
      </c>
      <c r="X30" s="9">
        <v>0.4</v>
      </c>
      <c r="Y30" s="9">
        <v>1</v>
      </c>
      <c r="Z30" s="9">
        <v>0.41199999999999998</v>
      </c>
      <c r="AA30" s="9">
        <v>36</v>
      </c>
      <c r="AB30" s="9">
        <v>72</v>
      </c>
      <c r="AD30" s="9">
        <v>36</v>
      </c>
      <c r="AI30" s="9">
        <v>72</v>
      </c>
      <c r="AN30" s="9">
        <v>750</v>
      </c>
      <c r="AO30" s="9">
        <v>70</v>
      </c>
      <c r="AQ30" s="9">
        <v>189</v>
      </c>
      <c r="AT30" s="9">
        <v>67</v>
      </c>
      <c r="AX30" s="9">
        <v>375</v>
      </c>
      <c r="AY30" s="9">
        <v>2000</v>
      </c>
      <c r="AZ30" s="9" t="s">
        <v>240</v>
      </c>
      <c r="BA30" s="9" t="s">
        <v>102</v>
      </c>
      <c r="BB30" s="9" t="s">
        <v>102</v>
      </c>
      <c r="BC30" s="9" t="s">
        <v>102</v>
      </c>
      <c r="BD30" s="9" t="s">
        <v>102</v>
      </c>
      <c r="BE30" s="9" t="s">
        <v>102</v>
      </c>
      <c r="BF30" s="9" t="s">
        <v>118</v>
      </c>
      <c r="BG30" s="9" t="s">
        <v>118</v>
      </c>
      <c r="BH30" s="9" t="s">
        <v>105</v>
      </c>
      <c r="BI30" s="9">
        <v>6</v>
      </c>
      <c r="BJ30" s="9">
        <v>1</v>
      </c>
      <c r="BK30" s="9">
        <v>2</v>
      </c>
      <c r="BL30" s="9">
        <v>10</v>
      </c>
      <c r="BM30" s="9">
        <v>4</v>
      </c>
      <c r="BN30" s="9">
        <v>8</v>
      </c>
      <c r="BO30" s="9">
        <v>6</v>
      </c>
      <c r="BP30" s="9">
        <v>6</v>
      </c>
      <c r="BQ30" s="9">
        <v>2</v>
      </c>
      <c r="BR30" s="9">
        <v>10</v>
      </c>
      <c r="BS30" s="9">
        <v>4</v>
      </c>
      <c r="BT30" s="9">
        <v>8</v>
      </c>
      <c r="BX30" s="8">
        <v>114560</v>
      </c>
      <c r="BY30" s="8">
        <v>110255</v>
      </c>
      <c r="CD30" s="8">
        <v>122013</v>
      </c>
      <c r="CI30" s="51"/>
      <c r="CJ30" s="8" t="b">
        <v>0</v>
      </c>
      <c r="CT30" s="8">
        <v>123925</v>
      </c>
      <c r="CV30" s="51" t="s">
        <v>239</v>
      </c>
      <c r="CW30" s="8" t="str">
        <f t="shared" si="1"/>
        <v>FLEX.DEF.MFL.RES.08</v>
      </c>
    </row>
    <row r="31" spans="1:101" s="8" customFormat="1" x14ac:dyDescent="0.25">
      <c r="A31" s="13">
        <v>130593</v>
      </c>
      <c r="B31" s="9">
        <v>8</v>
      </c>
      <c r="C31" s="9" t="s">
        <v>241</v>
      </c>
      <c r="D31" s="9" t="s">
        <v>121</v>
      </c>
      <c r="E31" s="9" t="s">
        <v>242</v>
      </c>
      <c r="F31" s="9"/>
      <c r="G31" s="33" t="s">
        <v>243</v>
      </c>
      <c r="H31" s="47" t="s">
        <v>244</v>
      </c>
      <c r="I31" s="9" t="s">
        <v>245</v>
      </c>
      <c r="J31" s="9">
        <f t="shared" si="0"/>
        <v>7</v>
      </c>
      <c r="K31" s="9" t="s">
        <v>114</v>
      </c>
      <c r="L31" s="9">
        <v>8.625</v>
      </c>
      <c r="M31" s="9">
        <v>7.15</v>
      </c>
      <c r="Q31" s="9" t="s">
        <v>99</v>
      </c>
      <c r="S31" s="9">
        <v>7.4</v>
      </c>
      <c r="U31" s="9" t="s">
        <v>99</v>
      </c>
      <c r="V31" s="9">
        <v>10</v>
      </c>
      <c r="W31" s="9">
        <v>10</v>
      </c>
      <c r="X31" s="9">
        <v>0.4</v>
      </c>
      <c r="Y31" s="9">
        <v>1</v>
      </c>
      <c r="Z31" s="9">
        <v>0.41199999999999998</v>
      </c>
      <c r="AA31" s="9">
        <v>36</v>
      </c>
      <c r="AD31" s="9">
        <v>36</v>
      </c>
      <c r="AH31" s="9">
        <v>148</v>
      </c>
      <c r="AI31" s="9">
        <v>72</v>
      </c>
      <c r="AJ31" s="9">
        <v>180</v>
      </c>
      <c r="AN31" s="9">
        <v>750</v>
      </c>
      <c r="AO31" s="9">
        <v>128</v>
      </c>
      <c r="AQ31" s="9">
        <v>366</v>
      </c>
      <c r="AT31" s="9">
        <v>32</v>
      </c>
      <c r="AX31" s="9">
        <v>375</v>
      </c>
      <c r="AY31" s="9">
        <v>2000</v>
      </c>
      <c r="AZ31" s="9" t="s">
        <v>246</v>
      </c>
      <c r="BA31" s="9" t="s">
        <v>102</v>
      </c>
      <c r="BB31" s="9" t="s">
        <v>101</v>
      </c>
      <c r="BC31" s="9" t="s">
        <v>101</v>
      </c>
      <c r="BD31" s="9" t="s">
        <v>102</v>
      </c>
      <c r="BE31" s="9" t="s">
        <v>101</v>
      </c>
      <c r="BF31" s="9" t="s">
        <v>118</v>
      </c>
      <c r="BG31" s="9" t="s">
        <v>118</v>
      </c>
      <c r="BH31" s="9" t="s">
        <v>105</v>
      </c>
      <c r="BI31" s="9">
        <v>11</v>
      </c>
      <c r="BJ31" s="9">
        <v>1</v>
      </c>
      <c r="BK31" s="9">
        <v>2</v>
      </c>
      <c r="BL31" s="9">
        <v>10</v>
      </c>
      <c r="BM31" s="9">
        <v>4</v>
      </c>
      <c r="BN31" s="9">
        <v>14</v>
      </c>
      <c r="BO31" s="9">
        <v>11</v>
      </c>
      <c r="BP31" s="9">
        <v>11</v>
      </c>
      <c r="BQ31" s="9">
        <v>2</v>
      </c>
      <c r="BR31" s="9">
        <v>10</v>
      </c>
      <c r="BS31" s="9">
        <v>4</v>
      </c>
      <c r="BT31" s="9">
        <v>14</v>
      </c>
      <c r="BX31" s="8">
        <v>114560</v>
      </c>
      <c r="BY31" s="8">
        <v>110255</v>
      </c>
      <c r="CD31" s="8">
        <v>122013</v>
      </c>
      <c r="CI31" s="51"/>
      <c r="CJ31" s="8" t="b">
        <v>0</v>
      </c>
      <c r="CT31" s="8">
        <v>130593</v>
      </c>
      <c r="CV31" s="51" t="s">
        <v>244</v>
      </c>
      <c r="CW31" s="8" t="str">
        <f t="shared" si="1"/>
        <v>DEF.RES.SMFL.UMFL.XYZ.V1.08</v>
      </c>
    </row>
    <row r="32" spans="1:101" s="8" customFormat="1" x14ac:dyDescent="0.25">
      <c r="A32" s="13">
        <v>108563</v>
      </c>
      <c r="B32" s="9">
        <v>8</v>
      </c>
      <c r="C32" s="9" t="s">
        <v>247</v>
      </c>
      <c r="D32" s="9" t="s">
        <v>94</v>
      </c>
      <c r="E32" s="9" t="s">
        <v>95</v>
      </c>
      <c r="F32" s="9"/>
      <c r="G32" s="33" t="s">
        <v>248</v>
      </c>
      <c r="H32" s="47" t="s">
        <v>249</v>
      </c>
      <c r="I32" s="9" t="str">
        <f>_xlfn.XLOOKUP(H32,'Alternative Tool Body Sheet'!A:A,'Alternative Tool Body Sheet'!C:C)</f>
        <v>8 DEF</v>
      </c>
      <c r="J32" s="9">
        <f t="shared" si="0"/>
        <v>5</v>
      </c>
      <c r="K32" s="9" t="s">
        <v>114</v>
      </c>
      <c r="L32" s="9">
        <v>8.625</v>
      </c>
      <c r="M32" s="9">
        <v>6.5</v>
      </c>
      <c r="N32" s="9">
        <v>24.64</v>
      </c>
      <c r="P32" s="9">
        <v>7.625</v>
      </c>
      <c r="Q32" s="9" t="s">
        <v>115</v>
      </c>
      <c r="R32" s="9">
        <v>7.125</v>
      </c>
      <c r="T32" s="9">
        <v>6.5</v>
      </c>
      <c r="U32" s="9" t="s">
        <v>99</v>
      </c>
      <c r="V32" s="9">
        <v>15</v>
      </c>
      <c r="AA32" s="9">
        <v>25</v>
      </c>
      <c r="AN32" s="9">
        <v>750</v>
      </c>
      <c r="AO32" s="9">
        <v>100</v>
      </c>
      <c r="AP32" s="9">
        <v>17</v>
      </c>
      <c r="AQ32" s="9">
        <v>200</v>
      </c>
      <c r="AR32" s="9">
        <v>35</v>
      </c>
      <c r="AT32" s="9">
        <v>77</v>
      </c>
      <c r="AX32" s="9">
        <v>375</v>
      </c>
      <c r="AY32" s="9">
        <v>2000</v>
      </c>
      <c r="AZ32" s="9" t="s">
        <v>250</v>
      </c>
      <c r="BA32" s="9" t="s">
        <v>102</v>
      </c>
      <c r="BB32" s="9" t="s">
        <v>101</v>
      </c>
      <c r="BC32" s="9" t="s">
        <v>101</v>
      </c>
      <c r="BD32" s="9" t="s">
        <v>102</v>
      </c>
      <c r="BE32" s="9" t="s">
        <v>102</v>
      </c>
      <c r="BF32" s="9" t="s">
        <v>251</v>
      </c>
      <c r="BG32" s="9" t="s">
        <v>104</v>
      </c>
      <c r="BH32" s="9" t="s">
        <v>105</v>
      </c>
      <c r="BI32" s="9">
        <v>9</v>
      </c>
      <c r="BJ32" s="9">
        <v>1</v>
      </c>
      <c r="BK32" s="9">
        <v>2</v>
      </c>
      <c r="BL32" s="9">
        <v>10</v>
      </c>
      <c r="BM32" s="9">
        <v>4</v>
      </c>
      <c r="BN32" s="9">
        <v>12</v>
      </c>
      <c r="BO32" s="9">
        <v>9</v>
      </c>
      <c r="BP32" s="9">
        <v>9</v>
      </c>
      <c r="BQ32" s="9">
        <v>2</v>
      </c>
      <c r="BR32" s="9">
        <v>10</v>
      </c>
      <c r="BS32" s="9">
        <v>4</v>
      </c>
      <c r="BT32" s="9">
        <v>12</v>
      </c>
      <c r="BY32" s="8">
        <v>108564</v>
      </c>
      <c r="CI32" s="51"/>
      <c r="CJ32" s="8" t="b">
        <v>0</v>
      </c>
      <c r="CT32" s="8">
        <v>108563</v>
      </c>
      <c r="CV32" s="51" t="s">
        <v>249</v>
      </c>
      <c r="CW32" s="8" t="str">
        <f t="shared" si="1"/>
        <v>DEF.08</v>
      </c>
    </row>
    <row r="33" spans="1:101" s="8" customFormat="1" x14ac:dyDescent="0.25">
      <c r="A33" s="13">
        <v>123924</v>
      </c>
      <c r="B33" s="9">
        <v>8</v>
      </c>
      <c r="C33" s="9" t="s">
        <v>252</v>
      </c>
      <c r="D33" s="9" t="s">
        <v>121</v>
      </c>
      <c r="E33" s="9" t="s">
        <v>253</v>
      </c>
      <c r="F33" s="9"/>
      <c r="G33" s="33" t="s">
        <v>254</v>
      </c>
      <c r="H33" s="47" t="s">
        <v>255</v>
      </c>
      <c r="I33" s="9" t="str">
        <f>_xlfn.XLOOKUP(H33,'Alternative Tool Body Sheet'!A:A,'Alternative Tool Body Sheet'!C:C)</f>
        <v>8 MDS V1</v>
      </c>
      <c r="J33" s="9">
        <f t="shared" si="0"/>
        <v>7</v>
      </c>
      <c r="K33" s="9" t="s">
        <v>114</v>
      </c>
      <c r="L33" s="9">
        <v>8.625</v>
      </c>
      <c r="M33" s="9">
        <v>7.15</v>
      </c>
      <c r="Q33" s="9" t="s">
        <v>99</v>
      </c>
      <c r="S33" s="9">
        <v>7.4</v>
      </c>
      <c r="U33" s="9" t="s">
        <v>99</v>
      </c>
      <c r="V33" s="9">
        <v>10</v>
      </c>
      <c r="W33" s="9">
        <v>10</v>
      </c>
      <c r="X33" s="9">
        <v>0.4</v>
      </c>
      <c r="Y33" s="9">
        <v>1</v>
      </c>
      <c r="Z33" s="9">
        <v>0.41199999999999998</v>
      </c>
      <c r="AA33" s="9">
        <v>36</v>
      </c>
      <c r="AD33" s="9">
        <v>36</v>
      </c>
      <c r="AH33" s="9">
        <v>72</v>
      </c>
      <c r="AI33" s="9">
        <v>72</v>
      </c>
      <c r="AJ33" s="9">
        <v>180</v>
      </c>
      <c r="AN33" s="9">
        <v>750</v>
      </c>
      <c r="AO33" s="9">
        <v>90</v>
      </c>
      <c r="AQ33" s="9">
        <v>255</v>
      </c>
      <c r="AT33" s="9">
        <v>50</v>
      </c>
      <c r="AX33" s="9">
        <v>375</v>
      </c>
      <c r="AY33" s="9">
        <v>2000</v>
      </c>
      <c r="AZ33" s="9" t="s">
        <v>256</v>
      </c>
      <c r="BA33" s="9" t="s">
        <v>102</v>
      </c>
      <c r="BB33" s="9" t="s">
        <v>102</v>
      </c>
      <c r="BC33" s="9" t="s">
        <v>102</v>
      </c>
      <c r="BD33" s="9" t="s">
        <v>102</v>
      </c>
      <c r="BE33" s="9" t="s">
        <v>102</v>
      </c>
      <c r="BF33" s="9" t="s">
        <v>118</v>
      </c>
      <c r="BG33" s="9" t="s">
        <v>118</v>
      </c>
      <c r="BH33" s="9" t="s">
        <v>105</v>
      </c>
      <c r="BI33" s="9">
        <v>8</v>
      </c>
      <c r="BJ33" s="9">
        <v>1</v>
      </c>
      <c r="BK33" s="9">
        <v>2</v>
      </c>
      <c r="BL33" s="9">
        <v>10</v>
      </c>
      <c r="BM33" s="9">
        <v>4</v>
      </c>
      <c r="BN33" s="9">
        <v>10</v>
      </c>
      <c r="BO33" s="9">
        <v>8</v>
      </c>
      <c r="BP33" s="9">
        <v>8</v>
      </c>
      <c r="BQ33" s="9">
        <v>2</v>
      </c>
      <c r="BR33" s="9">
        <v>10</v>
      </c>
      <c r="BS33" s="9">
        <v>4</v>
      </c>
      <c r="BT33" s="9">
        <v>10</v>
      </c>
      <c r="BX33" s="8">
        <v>114560</v>
      </c>
      <c r="BY33" s="8">
        <v>110255</v>
      </c>
      <c r="CD33" s="8">
        <v>122013</v>
      </c>
      <c r="CI33" s="51"/>
      <c r="CJ33" s="8" t="b">
        <v>0</v>
      </c>
      <c r="CT33" s="8">
        <v>123924</v>
      </c>
      <c r="CV33" s="51" t="s">
        <v>255</v>
      </c>
      <c r="CW33" s="8" t="str">
        <f t="shared" si="1"/>
        <v>DEF.MFL.RES.SMFL.08</v>
      </c>
    </row>
    <row r="34" spans="1:101" s="8" customFormat="1" x14ac:dyDescent="0.25">
      <c r="A34" s="13">
        <v>112056</v>
      </c>
      <c r="B34" s="9">
        <v>8</v>
      </c>
      <c r="C34" s="9" t="s">
        <v>257</v>
      </c>
      <c r="D34" s="9" t="s">
        <v>94</v>
      </c>
      <c r="E34" s="9" t="s">
        <v>258</v>
      </c>
      <c r="F34" s="9"/>
      <c r="G34" s="33" t="s">
        <v>259</v>
      </c>
      <c r="H34" s="47" t="s">
        <v>260</v>
      </c>
      <c r="I34" s="9" t="str">
        <f>_xlfn.XLOOKUP(H34,'Alternative Tool Body Sheet'!A:A,'Alternative Tool Body Sheet'!C:C)</f>
        <v>8 GMFL</v>
      </c>
      <c r="J34" s="9">
        <f t="shared" si="0"/>
        <v>5</v>
      </c>
      <c r="K34" s="9" t="s">
        <v>114</v>
      </c>
      <c r="L34" s="9">
        <v>8.625</v>
      </c>
      <c r="M34" s="9">
        <v>6.9</v>
      </c>
      <c r="P34" s="9">
        <v>7.625</v>
      </c>
      <c r="Q34" s="9" t="s">
        <v>115</v>
      </c>
      <c r="R34" s="9">
        <v>7.5</v>
      </c>
      <c r="S34" s="9">
        <v>7</v>
      </c>
      <c r="T34" s="9">
        <v>7</v>
      </c>
      <c r="U34" s="9" t="s">
        <v>116</v>
      </c>
      <c r="V34" s="9">
        <v>10</v>
      </c>
      <c r="W34" s="9">
        <v>10</v>
      </c>
      <c r="X34" s="9">
        <v>0.47099999999999997</v>
      </c>
      <c r="Y34" s="9">
        <v>1</v>
      </c>
      <c r="Z34" s="9">
        <v>0.53</v>
      </c>
      <c r="AC34" s="9">
        <v>72</v>
      </c>
      <c r="AD34" s="9">
        <v>24</v>
      </c>
      <c r="AN34" s="9">
        <v>750</v>
      </c>
      <c r="AO34" s="9">
        <v>89</v>
      </c>
      <c r="AP34" s="9">
        <v>17</v>
      </c>
      <c r="AQ34" s="9">
        <v>190</v>
      </c>
      <c r="AR34" s="9">
        <v>23</v>
      </c>
      <c r="AT34" s="9">
        <v>46</v>
      </c>
      <c r="AX34" s="9">
        <v>375</v>
      </c>
      <c r="AY34" s="9">
        <v>2000</v>
      </c>
      <c r="AZ34" s="9" t="s">
        <v>261</v>
      </c>
      <c r="BA34" s="9" t="s">
        <v>102</v>
      </c>
      <c r="BB34" s="9" t="s">
        <v>102</v>
      </c>
      <c r="BC34" s="9" t="s">
        <v>102</v>
      </c>
      <c r="BD34" s="9" t="s">
        <v>102</v>
      </c>
      <c r="BE34" s="9" t="s">
        <v>102</v>
      </c>
      <c r="BF34" s="9" t="s">
        <v>251</v>
      </c>
      <c r="BG34" s="9" t="s">
        <v>104</v>
      </c>
      <c r="BH34" s="9" t="s">
        <v>105</v>
      </c>
      <c r="BI34" s="9">
        <v>8</v>
      </c>
      <c r="BJ34" s="9">
        <v>1</v>
      </c>
      <c r="BK34" s="9">
        <v>2</v>
      </c>
      <c r="BL34" s="9">
        <v>10</v>
      </c>
      <c r="BM34" s="9">
        <v>4</v>
      </c>
      <c r="BN34" s="9">
        <v>10</v>
      </c>
      <c r="BO34" s="9">
        <v>8</v>
      </c>
      <c r="BP34" s="9">
        <v>8</v>
      </c>
      <c r="BQ34" s="9">
        <v>2</v>
      </c>
      <c r="BR34" s="9">
        <v>10</v>
      </c>
      <c r="BS34" s="9">
        <v>4</v>
      </c>
      <c r="BT34" s="9">
        <v>10</v>
      </c>
      <c r="CI34" s="51">
        <v>109401</v>
      </c>
      <c r="CJ34" s="8" t="b">
        <v>0</v>
      </c>
      <c r="CT34" s="8">
        <v>112056</v>
      </c>
      <c r="CV34" s="51" t="s">
        <v>260</v>
      </c>
      <c r="CW34" s="8" t="str">
        <f t="shared" si="1"/>
        <v>GMFL.08</v>
      </c>
    </row>
    <row r="35" spans="1:101" s="8" customFormat="1" x14ac:dyDescent="0.25">
      <c r="A35" s="13">
        <v>114353</v>
      </c>
      <c r="B35" s="9">
        <v>8</v>
      </c>
      <c r="C35" s="9" t="s">
        <v>262</v>
      </c>
      <c r="D35" s="9" t="s">
        <v>94</v>
      </c>
      <c r="E35" s="9" t="s">
        <v>194</v>
      </c>
      <c r="F35" s="9"/>
      <c r="G35" s="33" t="s">
        <v>263</v>
      </c>
      <c r="H35" s="47" t="s">
        <v>264</v>
      </c>
      <c r="I35" s="9" t="str">
        <f>_xlfn.XLOOKUP(H35,'Alternative Tool Body Sheet'!A:A,'Alternative Tool Body Sheet'!C:C)</f>
        <v>8 DEF</v>
      </c>
      <c r="J35" s="9">
        <f t="shared" si="0"/>
        <v>5</v>
      </c>
      <c r="K35" s="9" t="s">
        <v>114</v>
      </c>
      <c r="L35" s="9">
        <v>8.625</v>
      </c>
      <c r="M35" s="9">
        <v>6.5</v>
      </c>
      <c r="N35" s="9">
        <v>24.64</v>
      </c>
      <c r="P35" s="9">
        <v>7.625</v>
      </c>
      <c r="Q35" s="9" t="s">
        <v>115</v>
      </c>
      <c r="R35" s="9">
        <v>7.13</v>
      </c>
      <c r="T35" s="9">
        <v>6.5</v>
      </c>
      <c r="U35" s="9" t="s">
        <v>99</v>
      </c>
      <c r="V35" s="9">
        <v>15</v>
      </c>
      <c r="AA35" s="9">
        <v>25</v>
      </c>
      <c r="AN35" s="9">
        <v>750</v>
      </c>
      <c r="AO35" s="9">
        <v>119</v>
      </c>
      <c r="AP35" s="9">
        <v>17</v>
      </c>
      <c r="AQ35" s="9">
        <v>235</v>
      </c>
      <c r="AR35" s="9">
        <v>23</v>
      </c>
      <c r="AT35" s="9">
        <v>18</v>
      </c>
      <c r="AX35" s="9">
        <v>375</v>
      </c>
      <c r="AY35" s="9">
        <v>2000</v>
      </c>
      <c r="AZ35" s="9" t="s">
        <v>265</v>
      </c>
      <c r="BA35" s="9" t="s">
        <v>102</v>
      </c>
      <c r="BB35" s="9" t="s">
        <v>101</v>
      </c>
      <c r="BC35" s="9" t="s">
        <v>101</v>
      </c>
      <c r="BD35" s="9" t="s">
        <v>102</v>
      </c>
      <c r="BE35" s="9" t="s">
        <v>102</v>
      </c>
      <c r="BF35" s="9" t="s">
        <v>126</v>
      </c>
      <c r="BG35" s="9" t="s">
        <v>126</v>
      </c>
      <c r="BH35" s="9" t="s">
        <v>105</v>
      </c>
      <c r="BI35" s="9">
        <v>10</v>
      </c>
      <c r="BJ35" s="9">
        <v>1</v>
      </c>
      <c r="BK35" s="9">
        <v>2</v>
      </c>
      <c r="BL35" s="9">
        <v>10</v>
      </c>
      <c r="BM35" s="9">
        <v>4</v>
      </c>
      <c r="BN35" s="9">
        <v>13</v>
      </c>
      <c r="BO35" s="9">
        <v>10</v>
      </c>
      <c r="BP35" s="9">
        <v>10</v>
      </c>
      <c r="BQ35" s="9">
        <v>2</v>
      </c>
      <c r="BR35" s="9">
        <v>10</v>
      </c>
      <c r="BS35" s="9">
        <v>4</v>
      </c>
      <c r="BT35" s="9">
        <v>13</v>
      </c>
      <c r="BY35" s="8">
        <v>108564</v>
      </c>
      <c r="CI35" s="51"/>
      <c r="CJ35" s="8" t="b">
        <v>0</v>
      </c>
      <c r="CT35" s="8">
        <v>114353</v>
      </c>
      <c r="CV35" s="51" t="s">
        <v>264</v>
      </c>
      <c r="CW35" s="8" t="str">
        <f t="shared" si="1"/>
        <v>DEF.XYZ.08</v>
      </c>
    </row>
    <row r="36" spans="1:101" s="8" customFormat="1" x14ac:dyDescent="0.25">
      <c r="A36" s="13">
        <v>106998</v>
      </c>
      <c r="B36" s="9">
        <v>8</v>
      </c>
      <c r="C36" s="9" t="s">
        <v>266</v>
      </c>
      <c r="D36" s="9" t="s">
        <v>94</v>
      </c>
      <c r="E36" s="9" t="s">
        <v>267</v>
      </c>
      <c r="F36" s="9"/>
      <c r="G36" s="33" t="s">
        <v>268</v>
      </c>
      <c r="H36" s="47" t="s">
        <v>269</v>
      </c>
      <c r="I36" s="9" t="str">
        <f>_xlfn.XLOOKUP(H36,'Alternative Tool Body Sheet'!A:A,'Alternative Tool Body Sheet'!C:C)</f>
        <v>8/10 LGT</v>
      </c>
      <c r="J36" s="9">
        <f t="shared" si="0"/>
        <v>5</v>
      </c>
      <c r="K36" s="9" t="s">
        <v>98</v>
      </c>
      <c r="L36" s="9">
        <v>8.625</v>
      </c>
      <c r="M36" s="9">
        <v>6</v>
      </c>
      <c r="N36" s="9">
        <v>44.93</v>
      </c>
      <c r="P36" s="9">
        <v>7.625</v>
      </c>
      <c r="Q36" s="9" t="s">
        <v>115</v>
      </c>
      <c r="R36" s="9">
        <v>7.13</v>
      </c>
      <c r="U36" s="9" t="s">
        <v>116</v>
      </c>
      <c r="V36" s="9">
        <v>15</v>
      </c>
      <c r="AG36" s="9">
        <v>19</v>
      </c>
      <c r="AN36" s="9">
        <v>750</v>
      </c>
      <c r="AO36" s="9">
        <v>81</v>
      </c>
      <c r="AP36" s="9">
        <v>19</v>
      </c>
      <c r="AQ36" s="9">
        <v>63</v>
      </c>
      <c r="AR36" s="9">
        <v>25</v>
      </c>
      <c r="AS36" s="9">
        <v>56</v>
      </c>
      <c r="AT36" s="9">
        <v>116</v>
      </c>
      <c r="AV36" s="9">
        <v>3.4</v>
      </c>
      <c r="AW36" s="9">
        <v>0.28000000000000003</v>
      </c>
      <c r="AX36" s="9">
        <v>375</v>
      </c>
      <c r="AY36" s="9">
        <v>2000</v>
      </c>
      <c r="AZ36" s="9" t="s">
        <v>270</v>
      </c>
      <c r="BA36" s="9" t="s">
        <v>102</v>
      </c>
      <c r="BB36" s="9" t="s">
        <v>101</v>
      </c>
      <c r="BC36" s="9" t="s">
        <v>101</v>
      </c>
      <c r="BD36" s="9" t="s">
        <v>102</v>
      </c>
      <c r="BE36" s="9" t="s">
        <v>102</v>
      </c>
      <c r="BF36" s="9" t="s">
        <v>183</v>
      </c>
      <c r="BG36" s="9" t="s">
        <v>162</v>
      </c>
      <c r="BH36" s="9" t="s">
        <v>105</v>
      </c>
      <c r="BI36" s="9">
        <v>7</v>
      </c>
      <c r="BJ36" s="9">
        <v>1</v>
      </c>
      <c r="BK36" s="9">
        <v>2</v>
      </c>
      <c r="BL36" s="9">
        <v>10</v>
      </c>
      <c r="BM36" s="9">
        <v>4</v>
      </c>
      <c r="BN36" s="9">
        <v>9</v>
      </c>
      <c r="BO36" s="9">
        <v>7</v>
      </c>
      <c r="BP36" s="9">
        <v>7</v>
      </c>
      <c r="BQ36" s="9">
        <v>2</v>
      </c>
      <c r="BR36" s="9">
        <v>10</v>
      </c>
      <c r="BS36" s="9">
        <v>4</v>
      </c>
      <c r="BT36" s="9">
        <v>9</v>
      </c>
      <c r="BY36" s="8">
        <v>108564</v>
      </c>
      <c r="CI36" s="51"/>
      <c r="CJ36" s="8" t="b">
        <v>0</v>
      </c>
      <c r="CT36" s="8">
        <v>106998</v>
      </c>
      <c r="CV36" s="51" t="s">
        <v>269</v>
      </c>
      <c r="CW36" s="8" t="str">
        <f t="shared" si="1"/>
        <v>LGT.XYZ.08</v>
      </c>
    </row>
    <row r="37" spans="1:101" s="8" customFormat="1" x14ac:dyDescent="0.25">
      <c r="A37" s="21">
        <v>122503</v>
      </c>
      <c r="B37" s="10">
        <v>8</v>
      </c>
      <c r="C37" s="10" t="s">
        <v>271</v>
      </c>
      <c r="D37" s="9" t="s">
        <v>121</v>
      </c>
      <c r="E37" s="10" t="s">
        <v>272</v>
      </c>
      <c r="F37" s="10"/>
      <c r="G37" s="34" t="s">
        <v>273</v>
      </c>
      <c r="H37" s="48" t="s">
        <v>274</v>
      </c>
      <c r="I37" s="9" t="str">
        <f>_xlfn.XLOOKUP(H37,'Alternative Tool Body Sheet'!A:A,'Alternative Tool Body Sheet'!C:C)</f>
        <v>8 MDS V2</v>
      </c>
      <c r="J37" s="10">
        <f t="shared" si="0"/>
        <v>7</v>
      </c>
      <c r="K37" s="10" t="s">
        <v>114</v>
      </c>
      <c r="L37" s="10">
        <v>8.625</v>
      </c>
      <c r="M37" s="10">
        <v>7.0449999999999999</v>
      </c>
      <c r="N37" s="10">
        <v>17.100000000000001</v>
      </c>
      <c r="O37" s="10"/>
      <c r="P37" s="10">
        <v>7.625</v>
      </c>
      <c r="Q37" s="10" t="s">
        <v>115</v>
      </c>
      <c r="R37" s="10">
        <v>7.63</v>
      </c>
      <c r="S37" s="10"/>
      <c r="T37" s="10"/>
      <c r="U37" s="10" t="s">
        <v>99</v>
      </c>
      <c r="V37" s="10">
        <v>10</v>
      </c>
      <c r="W37" s="10">
        <v>10</v>
      </c>
      <c r="X37" s="10">
        <v>0.4</v>
      </c>
      <c r="Y37" s="10">
        <v>1</v>
      </c>
      <c r="Z37" s="10">
        <v>0.41199999999999998</v>
      </c>
      <c r="AA37" s="10">
        <v>36</v>
      </c>
      <c r="AB37" s="10">
        <v>72</v>
      </c>
      <c r="AC37" s="10"/>
      <c r="AD37" s="10">
        <v>36</v>
      </c>
      <c r="AE37" s="10"/>
      <c r="AF37" s="10">
        <v>72</v>
      </c>
      <c r="AG37" s="10"/>
      <c r="AH37" s="10"/>
      <c r="AI37" s="10"/>
      <c r="AJ37" s="10"/>
      <c r="AK37" s="10"/>
      <c r="AL37" s="10"/>
      <c r="AM37" s="10"/>
      <c r="AN37" s="10">
        <v>750</v>
      </c>
      <c r="AO37" s="10">
        <v>69.5</v>
      </c>
      <c r="AP37" s="10"/>
      <c r="AQ37" s="10">
        <v>201</v>
      </c>
      <c r="AR37" s="10"/>
      <c r="AS37" s="10"/>
      <c r="AT37" s="10">
        <v>67</v>
      </c>
      <c r="AU37" s="10"/>
      <c r="AV37" s="10"/>
      <c r="AW37" s="10"/>
      <c r="AX37" s="10">
        <v>375</v>
      </c>
      <c r="AY37" s="10">
        <v>2000</v>
      </c>
      <c r="AZ37" s="10" t="s">
        <v>275</v>
      </c>
      <c r="BA37" s="10" t="s">
        <v>102</v>
      </c>
      <c r="BB37" s="10" t="s">
        <v>101</v>
      </c>
      <c r="BC37" s="10" t="s">
        <v>101</v>
      </c>
      <c r="BD37" s="10" t="s">
        <v>102</v>
      </c>
      <c r="BE37" s="10" t="s">
        <v>101</v>
      </c>
      <c r="BF37" s="10" t="s">
        <v>118</v>
      </c>
      <c r="BG37" s="10" t="s">
        <v>118</v>
      </c>
      <c r="BH37" s="10" t="s">
        <v>105</v>
      </c>
      <c r="BI37" s="10">
        <v>7</v>
      </c>
      <c r="BJ37" s="10">
        <v>1</v>
      </c>
      <c r="BK37" s="10">
        <v>2</v>
      </c>
      <c r="BL37" s="10">
        <v>10</v>
      </c>
      <c r="BM37" s="10">
        <v>4</v>
      </c>
      <c r="BN37" s="10">
        <v>8</v>
      </c>
      <c r="BO37" s="10">
        <v>7</v>
      </c>
      <c r="BP37" s="10">
        <v>7</v>
      </c>
      <c r="BQ37" s="10">
        <v>2</v>
      </c>
      <c r="BR37" s="10">
        <v>10</v>
      </c>
      <c r="BS37" s="10">
        <v>4</v>
      </c>
      <c r="BT37" s="10">
        <v>8</v>
      </c>
      <c r="BX37" s="8">
        <v>121003</v>
      </c>
      <c r="BY37" s="8">
        <v>120927</v>
      </c>
      <c r="CD37" s="8">
        <v>121111</v>
      </c>
      <c r="CI37" s="51"/>
      <c r="CJ37" s="8" t="b">
        <v>1</v>
      </c>
      <c r="CT37" s="8">
        <v>122503</v>
      </c>
      <c r="CV37" s="51" t="s">
        <v>274</v>
      </c>
      <c r="CW37" s="8" t="str">
        <f t="shared" si="1"/>
        <v>FLEX.DEF.LFM.MFL.08</v>
      </c>
    </row>
    <row r="38" spans="1:101" s="8" customFormat="1" x14ac:dyDescent="0.25">
      <c r="A38" s="13">
        <v>130595</v>
      </c>
      <c r="B38" s="9">
        <v>8</v>
      </c>
      <c r="C38" s="9" t="s">
        <v>276</v>
      </c>
      <c r="D38" s="9" t="s">
        <v>121</v>
      </c>
      <c r="E38" s="9" t="s">
        <v>277</v>
      </c>
      <c r="F38" s="9"/>
      <c r="G38" s="33" t="s">
        <v>278</v>
      </c>
      <c r="H38" s="47" t="s">
        <v>279</v>
      </c>
      <c r="I38" s="9" t="s">
        <v>245</v>
      </c>
      <c r="J38" s="9">
        <f t="shared" si="0"/>
        <v>7</v>
      </c>
      <c r="K38" s="9" t="s">
        <v>114</v>
      </c>
      <c r="L38" s="9">
        <v>8.625</v>
      </c>
      <c r="M38" s="9">
        <v>7.15</v>
      </c>
      <c r="Q38" s="9" t="s">
        <v>99</v>
      </c>
      <c r="S38" s="9">
        <v>7.4</v>
      </c>
      <c r="U38" s="9" t="s">
        <v>99</v>
      </c>
      <c r="V38" s="9">
        <v>10</v>
      </c>
      <c r="W38" s="9">
        <v>10</v>
      </c>
      <c r="X38" s="9">
        <v>0.4</v>
      </c>
      <c r="Y38" s="9">
        <v>1</v>
      </c>
      <c r="Z38" s="9">
        <v>0.41199999999999998</v>
      </c>
      <c r="AA38" s="9">
        <v>36</v>
      </c>
      <c r="AD38" s="9">
        <v>36</v>
      </c>
      <c r="AH38" s="9">
        <v>148</v>
      </c>
      <c r="AI38" s="9">
        <v>72</v>
      </c>
      <c r="AN38" s="9">
        <v>750</v>
      </c>
      <c r="AO38" s="9">
        <v>106</v>
      </c>
      <c r="AQ38" s="9">
        <v>260</v>
      </c>
      <c r="AT38" s="9">
        <v>35</v>
      </c>
      <c r="AX38" s="9">
        <v>375</v>
      </c>
      <c r="AY38" s="9">
        <v>2000</v>
      </c>
      <c r="AZ38" s="9" t="s">
        <v>280</v>
      </c>
      <c r="BA38" s="9" t="s">
        <v>102</v>
      </c>
      <c r="BB38" s="9" t="s">
        <v>101</v>
      </c>
      <c r="BC38" s="9" t="s">
        <v>101</v>
      </c>
      <c r="BD38" s="9" t="s">
        <v>102</v>
      </c>
      <c r="BE38" s="9" t="s">
        <v>101</v>
      </c>
      <c r="BF38" s="9" t="s">
        <v>118</v>
      </c>
      <c r="BG38" s="9" t="s">
        <v>118</v>
      </c>
      <c r="BH38" s="9" t="s">
        <v>105</v>
      </c>
      <c r="BI38" s="9">
        <v>9</v>
      </c>
      <c r="BJ38" s="9">
        <v>1</v>
      </c>
      <c r="BK38" s="9">
        <v>2</v>
      </c>
      <c r="BL38" s="9">
        <v>10</v>
      </c>
      <c r="BM38" s="9">
        <v>4</v>
      </c>
      <c r="BN38" s="9">
        <v>12</v>
      </c>
      <c r="BO38" s="9">
        <v>9</v>
      </c>
      <c r="BP38" s="9">
        <v>9</v>
      </c>
      <c r="BQ38" s="9">
        <v>2</v>
      </c>
      <c r="BR38" s="9">
        <v>10</v>
      </c>
      <c r="BS38" s="9">
        <v>4</v>
      </c>
      <c r="BT38" s="9">
        <v>12</v>
      </c>
      <c r="BX38" s="8">
        <v>130501</v>
      </c>
      <c r="BY38" s="8">
        <v>110255</v>
      </c>
      <c r="CD38" s="8">
        <v>122013</v>
      </c>
      <c r="CI38" s="51"/>
      <c r="CJ38" s="8" t="b">
        <v>0</v>
      </c>
      <c r="CT38" s="8">
        <v>130595</v>
      </c>
      <c r="CV38" s="51" t="s">
        <v>279</v>
      </c>
      <c r="CW38" s="8" t="str">
        <f t="shared" si="1"/>
        <v>DEF.RES.UMFL.XYZ.V1.08</v>
      </c>
    </row>
    <row r="39" spans="1:101" s="8" customFormat="1" x14ac:dyDescent="0.25">
      <c r="A39" s="13">
        <v>114418</v>
      </c>
      <c r="B39" s="9">
        <v>8</v>
      </c>
      <c r="C39" s="9" t="s">
        <v>281</v>
      </c>
      <c r="D39" s="9" t="s">
        <v>94</v>
      </c>
      <c r="E39" s="9" t="s">
        <v>169</v>
      </c>
      <c r="F39" s="9"/>
      <c r="G39" s="33" t="s">
        <v>282</v>
      </c>
      <c r="H39" s="47" t="s">
        <v>283</v>
      </c>
      <c r="I39" s="9" t="str">
        <f>_xlfn.XLOOKUP(H39,'Alternative Tool Body Sheet'!A:A,'Alternative Tool Body Sheet'!C:C)</f>
        <v>8 MFL</v>
      </c>
      <c r="J39" s="9">
        <f t="shared" si="0"/>
        <v>5</v>
      </c>
      <c r="K39" s="9" t="s">
        <v>114</v>
      </c>
      <c r="L39" s="9">
        <v>8.625</v>
      </c>
      <c r="M39" s="9">
        <v>7.15</v>
      </c>
      <c r="P39" s="9">
        <v>7.625</v>
      </c>
      <c r="Q39" s="9" t="s">
        <v>115</v>
      </c>
      <c r="R39" s="9">
        <v>7.63</v>
      </c>
      <c r="T39" s="9">
        <v>7.38</v>
      </c>
      <c r="U39" s="9" t="s">
        <v>99</v>
      </c>
      <c r="V39" s="9">
        <v>10</v>
      </c>
      <c r="X39" s="9">
        <v>0.438</v>
      </c>
      <c r="AD39" s="9">
        <v>24</v>
      </c>
      <c r="AH39" s="9">
        <v>72</v>
      </c>
      <c r="AN39" s="9">
        <v>750</v>
      </c>
      <c r="AO39" s="9">
        <v>101</v>
      </c>
      <c r="AQ39" s="9">
        <v>246</v>
      </c>
      <c r="AS39" s="9">
        <v>0</v>
      </c>
      <c r="AT39" s="9">
        <v>0</v>
      </c>
      <c r="AY39" s="9">
        <v>2000</v>
      </c>
      <c r="BA39" s="9" t="s">
        <v>102</v>
      </c>
      <c r="BB39" s="9" t="s">
        <v>101</v>
      </c>
      <c r="BC39" s="9" t="s">
        <v>101</v>
      </c>
      <c r="BD39" s="9" t="s">
        <v>102</v>
      </c>
      <c r="BE39" s="9" t="s">
        <v>102</v>
      </c>
      <c r="BF39" s="9" t="s">
        <v>126</v>
      </c>
      <c r="BG39" s="9" t="s">
        <v>126</v>
      </c>
      <c r="BH39" s="9" t="s">
        <v>105</v>
      </c>
      <c r="BI39" s="9">
        <v>9</v>
      </c>
      <c r="BJ39" s="9">
        <v>1</v>
      </c>
      <c r="BK39" s="9">
        <v>2</v>
      </c>
      <c r="BL39" s="9">
        <v>10</v>
      </c>
      <c r="BM39" s="9">
        <v>4</v>
      </c>
      <c r="BN39" s="9">
        <v>12</v>
      </c>
      <c r="BO39" s="9">
        <v>9</v>
      </c>
      <c r="BP39" s="9">
        <v>9</v>
      </c>
      <c r="BQ39" s="9">
        <v>2</v>
      </c>
      <c r="BR39" s="9">
        <v>10</v>
      </c>
      <c r="BS39" s="9">
        <v>4</v>
      </c>
      <c r="BT39" s="9">
        <v>12</v>
      </c>
      <c r="BX39" s="8" t="s">
        <v>284</v>
      </c>
      <c r="CI39" s="51"/>
      <c r="CJ39" s="8" t="b">
        <v>0</v>
      </c>
      <c r="CT39" s="8">
        <v>114418</v>
      </c>
      <c r="CV39" s="51" t="s">
        <v>283</v>
      </c>
      <c r="CW39" s="8" t="str">
        <f t="shared" si="1"/>
        <v>MFL.08</v>
      </c>
    </row>
    <row r="40" spans="1:101" s="8" customFormat="1" x14ac:dyDescent="0.25">
      <c r="A40" s="23">
        <v>130602</v>
      </c>
      <c r="B40" s="11">
        <v>8</v>
      </c>
      <c r="C40" s="11" t="s">
        <v>285</v>
      </c>
      <c r="D40" s="9" t="s">
        <v>121</v>
      </c>
      <c r="E40" s="11" t="s">
        <v>286</v>
      </c>
      <c r="F40" s="11"/>
      <c r="G40" s="36" t="s">
        <v>287</v>
      </c>
      <c r="H40" s="49" t="s">
        <v>288</v>
      </c>
      <c r="I40" s="9" t="s">
        <v>289</v>
      </c>
      <c r="J40" s="11">
        <f t="shared" si="0"/>
        <v>7</v>
      </c>
      <c r="K40" s="11" t="s">
        <v>114</v>
      </c>
      <c r="L40" s="11">
        <v>8.625</v>
      </c>
      <c r="M40" s="11">
        <v>7.0449999999999999</v>
      </c>
      <c r="N40" s="11">
        <v>17.100000000000001</v>
      </c>
      <c r="O40" s="11"/>
      <c r="P40" s="11">
        <v>7.625</v>
      </c>
      <c r="Q40" s="11" t="s">
        <v>115</v>
      </c>
      <c r="R40" s="11">
        <v>7.63</v>
      </c>
      <c r="S40" s="11"/>
      <c r="T40" s="11"/>
      <c r="U40" s="11" t="s">
        <v>99</v>
      </c>
      <c r="V40" s="11">
        <v>10</v>
      </c>
      <c r="W40" s="11">
        <v>10</v>
      </c>
      <c r="X40" s="11">
        <v>0.4</v>
      </c>
      <c r="Y40" s="11">
        <v>1</v>
      </c>
      <c r="Z40" s="11">
        <v>0.41199999999999998</v>
      </c>
      <c r="AA40" s="11">
        <v>36</v>
      </c>
      <c r="AB40" s="11"/>
      <c r="AC40" s="11"/>
      <c r="AD40" s="11">
        <v>36</v>
      </c>
      <c r="AE40" s="11"/>
      <c r="AF40" s="11">
        <v>72</v>
      </c>
      <c r="AG40" s="11"/>
      <c r="AH40" s="11">
        <v>148</v>
      </c>
      <c r="AI40" s="11"/>
      <c r="AJ40" s="11"/>
      <c r="AK40" s="11"/>
      <c r="AL40" s="11"/>
      <c r="AM40" s="11"/>
      <c r="AN40" s="11">
        <v>750</v>
      </c>
      <c r="AO40" s="11">
        <v>104</v>
      </c>
      <c r="AP40" s="11"/>
      <c r="AQ40" s="11">
        <v>301</v>
      </c>
      <c r="AR40" s="11"/>
      <c r="AS40" s="11"/>
      <c r="AT40" s="11">
        <v>35</v>
      </c>
      <c r="AU40" s="11"/>
      <c r="AV40" s="11"/>
      <c r="AW40" s="11"/>
      <c r="AX40" s="11">
        <v>375</v>
      </c>
      <c r="AY40" s="11">
        <v>2000</v>
      </c>
      <c r="AZ40" s="11" t="s">
        <v>290</v>
      </c>
      <c r="BA40" s="11" t="s">
        <v>102</v>
      </c>
      <c r="BB40" s="11" t="s">
        <v>101</v>
      </c>
      <c r="BC40" s="11" t="s">
        <v>101</v>
      </c>
      <c r="BD40" s="11" t="s">
        <v>102</v>
      </c>
      <c r="BE40" s="11" t="s">
        <v>101</v>
      </c>
      <c r="BF40" s="11" t="s">
        <v>118</v>
      </c>
      <c r="BG40" s="11" t="s">
        <v>118</v>
      </c>
      <c r="BH40" s="11" t="s">
        <v>105</v>
      </c>
      <c r="BI40" s="11">
        <v>9</v>
      </c>
      <c r="BJ40" s="11">
        <v>1</v>
      </c>
      <c r="BK40" s="11">
        <v>2</v>
      </c>
      <c r="BL40" s="11">
        <v>10</v>
      </c>
      <c r="BM40" s="11">
        <v>4</v>
      </c>
      <c r="BN40" s="11">
        <v>12</v>
      </c>
      <c r="BO40" s="11">
        <v>9</v>
      </c>
      <c r="BP40" s="11">
        <v>9</v>
      </c>
      <c r="BQ40" s="11">
        <v>2</v>
      </c>
      <c r="BR40" s="11">
        <v>10</v>
      </c>
      <c r="BS40" s="11">
        <v>4</v>
      </c>
      <c r="BT40" s="11">
        <v>12</v>
      </c>
      <c r="BX40" s="8">
        <v>130501</v>
      </c>
      <c r="BY40" s="8">
        <v>120927</v>
      </c>
      <c r="CD40" s="8">
        <v>121111</v>
      </c>
      <c r="CI40" s="51"/>
      <c r="CJ40" s="8" t="b">
        <v>0</v>
      </c>
      <c r="CT40" s="8">
        <v>130602</v>
      </c>
      <c r="CV40" s="51" t="s">
        <v>288</v>
      </c>
      <c r="CW40" s="8" t="str">
        <f t="shared" si="1"/>
        <v>DEF.LFM.UMFL.XYZ.V2.08</v>
      </c>
    </row>
    <row r="41" spans="1:101" s="8" customFormat="1" x14ac:dyDescent="0.25">
      <c r="A41" s="24">
        <v>130597</v>
      </c>
      <c r="B41" s="12">
        <v>8</v>
      </c>
      <c r="C41" s="12" t="s">
        <v>291</v>
      </c>
      <c r="D41" s="9" t="s">
        <v>121</v>
      </c>
      <c r="E41" s="12" t="s">
        <v>212</v>
      </c>
      <c r="F41" s="12"/>
      <c r="G41" s="37" t="s">
        <v>292</v>
      </c>
      <c r="H41" s="50" t="s">
        <v>293</v>
      </c>
      <c r="I41" s="9" t="str">
        <f>_xlfn.XLOOKUP(H41,'Alternative Tool Body Sheet'!A:A,'Alternative Tool Body Sheet'!C:C)</f>
        <v>8 MDS V2</v>
      </c>
      <c r="J41" s="12">
        <f t="shared" si="0"/>
        <v>7</v>
      </c>
      <c r="K41" s="12" t="s">
        <v>114</v>
      </c>
      <c r="L41" s="12">
        <v>8.625</v>
      </c>
      <c r="M41" s="12">
        <v>7.15</v>
      </c>
      <c r="N41" s="12"/>
      <c r="O41" s="12"/>
      <c r="P41" s="12"/>
      <c r="Q41" s="12" t="s">
        <v>99</v>
      </c>
      <c r="R41" s="12"/>
      <c r="S41" s="12">
        <v>7.4</v>
      </c>
      <c r="T41" s="12"/>
      <c r="U41" s="12" t="s">
        <v>99</v>
      </c>
      <c r="V41" s="12">
        <v>10</v>
      </c>
      <c r="W41" s="12">
        <v>10</v>
      </c>
      <c r="X41" s="12">
        <v>0.4</v>
      </c>
      <c r="Y41" s="12">
        <v>1</v>
      </c>
      <c r="Z41" s="12">
        <v>0.41199999999999998</v>
      </c>
      <c r="AA41" s="12">
        <v>36</v>
      </c>
      <c r="AB41" s="12"/>
      <c r="AC41" s="12"/>
      <c r="AD41" s="12">
        <v>36</v>
      </c>
      <c r="AE41" s="12"/>
      <c r="AF41" s="12"/>
      <c r="AG41" s="12"/>
      <c r="AH41" s="12">
        <v>148</v>
      </c>
      <c r="AI41" s="12"/>
      <c r="AJ41" s="12"/>
      <c r="AK41" s="12"/>
      <c r="AL41" s="12"/>
      <c r="AM41" s="12"/>
      <c r="AN41" s="12">
        <v>750</v>
      </c>
      <c r="AO41" s="12">
        <v>109</v>
      </c>
      <c r="AP41" s="12"/>
      <c r="AQ41" s="12">
        <v>291</v>
      </c>
      <c r="AR41" s="12"/>
      <c r="AS41" s="12"/>
      <c r="AT41" s="12">
        <v>36</v>
      </c>
      <c r="AU41" s="12"/>
      <c r="AV41" s="12"/>
      <c r="AW41" s="12"/>
      <c r="AX41" s="12">
        <v>375</v>
      </c>
      <c r="AY41" s="12">
        <v>2000</v>
      </c>
      <c r="AZ41" s="12" t="s">
        <v>294</v>
      </c>
      <c r="BA41" s="12" t="s">
        <v>102</v>
      </c>
      <c r="BB41" s="12" t="s">
        <v>101</v>
      </c>
      <c r="BC41" s="12" t="s">
        <v>101</v>
      </c>
      <c r="BD41" s="12" t="s">
        <v>102</v>
      </c>
      <c r="BE41" s="12" t="s">
        <v>101</v>
      </c>
      <c r="BF41" s="12" t="s">
        <v>118</v>
      </c>
      <c r="BG41" s="12" t="s">
        <v>118</v>
      </c>
      <c r="BH41" s="12" t="s">
        <v>105</v>
      </c>
      <c r="BI41" s="12">
        <v>10</v>
      </c>
      <c r="BJ41" s="12">
        <v>1</v>
      </c>
      <c r="BK41" s="12">
        <v>2</v>
      </c>
      <c r="BL41" s="12">
        <v>10</v>
      </c>
      <c r="BM41" s="12">
        <v>4</v>
      </c>
      <c r="BN41" s="12">
        <v>13</v>
      </c>
      <c r="BO41" s="12">
        <v>10</v>
      </c>
      <c r="BP41" s="12">
        <v>10</v>
      </c>
      <c r="BQ41" s="12">
        <v>2</v>
      </c>
      <c r="BR41" s="12">
        <v>10</v>
      </c>
      <c r="BS41" s="12">
        <v>4</v>
      </c>
      <c r="BT41" s="12">
        <v>13</v>
      </c>
      <c r="BX41" s="8">
        <v>130501</v>
      </c>
      <c r="BY41" s="8">
        <v>120927</v>
      </c>
      <c r="CD41" s="8">
        <v>121111</v>
      </c>
      <c r="CI41" s="51"/>
      <c r="CJ41" s="8" t="b">
        <v>0</v>
      </c>
      <c r="CT41" s="8">
        <v>130597</v>
      </c>
      <c r="CV41" s="51" t="s">
        <v>293</v>
      </c>
      <c r="CW41" s="8" t="str">
        <f t="shared" si="1"/>
        <v>DEF.UMFL.XYZ.V2.08</v>
      </c>
    </row>
    <row r="42" spans="1:101" s="8" customFormat="1" x14ac:dyDescent="0.25">
      <c r="A42" s="13">
        <v>113622</v>
      </c>
      <c r="B42" s="9">
        <v>8</v>
      </c>
      <c r="C42" s="9" t="s">
        <v>295</v>
      </c>
      <c r="D42" s="9" t="s">
        <v>94</v>
      </c>
      <c r="E42" s="9" t="s">
        <v>296</v>
      </c>
      <c r="F42" s="9"/>
      <c r="G42" s="33" t="s">
        <v>297</v>
      </c>
      <c r="H42" s="47" t="s">
        <v>298</v>
      </c>
      <c r="I42" s="9" t="str">
        <f>_xlfn.XLOOKUP(H42,'Alternative Tool Body Sheet'!A:A,'Alternative Tool Body Sheet'!C:C)</f>
        <v>8 GMFL</v>
      </c>
      <c r="J42" s="9">
        <f t="shared" si="0"/>
        <v>5</v>
      </c>
      <c r="K42" s="9" t="s">
        <v>114</v>
      </c>
      <c r="L42" s="9">
        <v>8.625</v>
      </c>
      <c r="M42" s="9">
        <v>6.9</v>
      </c>
      <c r="P42" s="9">
        <v>7.625</v>
      </c>
      <c r="Q42" s="9" t="s">
        <v>115</v>
      </c>
      <c r="R42" s="9">
        <v>7.5</v>
      </c>
      <c r="T42" s="9">
        <v>7</v>
      </c>
      <c r="U42" s="9" t="s">
        <v>116</v>
      </c>
      <c r="V42" s="9">
        <v>10</v>
      </c>
      <c r="W42" s="9">
        <v>10</v>
      </c>
      <c r="X42" s="9">
        <v>0.47099999999999997</v>
      </c>
      <c r="Y42" s="9">
        <v>1</v>
      </c>
      <c r="Z42" s="9">
        <v>0.53</v>
      </c>
      <c r="AC42" s="9">
        <v>72</v>
      </c>
      <c r="AD42" s="9">
        <v>24</v>
      </c>
      <c r="AN42" s="9">
        <v>750</v>
      </c>
      <c r="AO42" s="9">
        <v>105</v>
      </c>
      <c r="AP42" s="9">
        <v>17</v>
      </c>
      <c r="AQ42" s="9">
        <v>215</v>
      </c>
      <c r="AR42" s="9">
        <v>23</v>
      </c>
      <c r="AT42" s="9">
        <v>27</v>
      </c>
      <c r="AX42" s="9">
        <v>375</v>
      </c>
      <c r="AY42" s="9">
        <v>2000</v>
      </c>
      <c r="AZ42" s="9" t="s">
        <v>299</v>
      </c>
      <c r="BA42" s="9" t="s">
        <v>102</v>
      </c>
      <c r="BB42" s="9" t="s">
        <v>101</v>
      </c>
      <c r="BC42" s="9" t="s">
        <v>101</v>
      </c>
      <c r="BD42" s="9" t="s">
        <v>102</v>
      </c>
      <c r="BE42" s="9" t="s">
        <v>102</v>
      </c>
      <c r="BF42" s="9" t="s">
        <v>126</v>
      </c>
      <c r="BG42" s="9" t="s">
        <v>126</v>
      </c>
      <c r="BH42" s="9" t="s">
        <v>105</v>
      </c>
      <c r="BI42" s="9">
        <v>9</v>
      </c>
      <c r="BJ42" s="9">
        <v>1</v>
      </c>
      <c r="BK42" s="9">
        <v>2</v>
      </c>
      <c r="BL42" s="9">
        <v>10</v>
      </c>
      <c r="BM42" s="9">
        <v>4</v>
      </c>
      <c r="BN42" s="9">
        <v>12</v>
      </c>
      <c r="BO42" s="9">
        <v>9</v>
      </c>
      <c r="BP42" s="9">
        <v>9</v>
      </c>
      <c r="BQ42" s="9">
        <v>2</v>
      </c>
      <c r="BR42" s="9">
        <v>10</v>
      </c>
      <c r="BS42" s="9">
        <v>4</v>
      </c>
      <c r="BT42" s="9">
        <v>12</v>
      </c>
      <c r="CI42" s="51">
        <v>109401</v>
      </c>
      <c r="CJ42" s="8" t="b">
        <v>0</v>
      </c>
      <c r="CT42" s="8">
        <v>113622</v>
      </c>
      <c r="CV42" s="51" t="s">
        <v>298</v>
      </c>
      <c r="CW42" s="8" t="str">
        <f t="shared" si="1"/>
        <v>GMFL.XYZ.08</v>
      </c>
    </row>
    <row r="43" spans="1:101" s="8" customFormat="1" x14ac:dyDescent="0.25">
      <c r="A43" s="23">
        <v>130601</v>
      </c>
      <c r="B43" s="11">
        <v>8</v>
      </c>
      <c r="C43" s="11" t="s">
        <v>300</v>
      </c>
      <c r="D43" s="9" t="s">
        <v>121</v>
      </c>
      <c r="E43" s="11" t="s">
        <v>301</v>
      </c>
      <c r="F43" s="11"/>
      <c r="G43" s="36" t="s">
        <v>302</v>
      </c>
      <c r="H43" s="49" t="s">
        <v>303</v>
      </c>
      <c r="I43" s="9" t="s">
        <v>289</v>
      </c>
      <c r="J43" s="11">
        <f t="shared" si="0"/>
        <v>7</v>
      </c>
      <c r="K43" s="11" t="s">
        <v>114</v>
      </c>
      <c r="L43" s="11">
        <v>8.625</v>
      </c>
      <c r="M43" s="11">
        <v>7.15</v>
      </c>
      <c r="N43" s="11">
        <v>17.100000000000001</v>
      </c>
      <c r="O43" s="11"/>
      <c r="P43" s="11">
        <v>7.625</v>
      </c>
      <c r="Q43" s="11" t="s">
        <v>115</v>
      </c>
      <c r="R43" s="11">
        <v>7.63</v>
      </c>
      <c r="S43" s="11"/>
      <c r="T43" s="11"/>
      <c r="U43" s="11" t="s">
        <v>99</v>
      </c>
      <c r="V43" s="11">
        <v>10</v>
      </c>
      <c r="W43" s="11">
        <v>10</v>
      </c>
      <c r="X43" s="11">
        <v>0.4</v>
      </c>
      <c r="Y43" s="11">
        <v>1</v>
      </c>
      <c r="Z43" s="11">
        <v>0.41199999999999998</v>
      </c>
      <c r="AA43" s="11">
        <v>36</v>
      </c>
      <c r="AB43" s="11"/>
      <c r="AC43" s="11"/>
      <c r="AD43" s="11">
        <v>36</v>
      </c>
      <c r="AE43" s="11"/>
      <c r="AF43" s="11">
        <v>72</v>
      </c>
      <c r="AG43" s="11"/>
      <c r="AH43" s="11">
        <v>148</v>
      </c>
      <c r="AI43" s="11"/>
      <c r="AJ43" s="11">
        <v>200</v>
      </c>
      <c r="AK43" s="11"/>
      <c r="AL43" s="11"/>
      <c r="AM43" s="11"/>
      <c r="AN43" s="11">
        <v>750</v>
      </c>
      <c r="AO43" s="11">
        <v>103</v>
      </c>
      <c r="AP43" s="11"/>
      <c r="AQ43" s="11">
        <v>375</v>
      </c>
      <c r="AR43" s="11"/>
      <c r="AS43" s="11"/>
      <c r="AT43" s="11">
        <v>41</v>
      </c>
      <c r="AU43" s="11"/>
      <c r="AV43" s="11"/>
      <c r="AW43" s="11"/>
      <c r="AX43" s="11">
        <v>375</v>
      </c>
      <c r="AY43" s="11">
        <v>2000</v>
      </c>
      <c r="AZ43" s="11" t="s">
        <v>304</v>
      </c>
      <c r="BA43" s="11" t="s">
        <v>102</v>
      </c>
      <c r="BB43" s="11" t="s">
        <v>101</v>
      </c>
      <c r="BC43" s="11" t="s">
        <v>101</v>
      </c>
      <c r="BD43" s="11" t="s">
        <v>102</v>
      </c>
      <c r="BE43" s="11" t="s">
        <v>101</v>
      </c>
      <c r="BF43" s="11" t="s">
        <v>118</v>
      </c>
      <c r="BG43" s="11" t="s">
        <v>118</v>
      </c>
      <c r="BH43" s="11" t="s">
        <v>105</v>
      </c>
      <c r="BI43" s="11">
        <v>9</v>
      </c>
      <c r="BJ43" s="11">
        <v>1</v>
      </c>
      <c r="BK43" s="11">
        <v>2</v>
      </c>
      <c r="BL43" s="11">
        <v>10</v>
      </c>
      <c r="BM43" s="11">
        <v>4</v>
      </c>
      <c r="BN43" s="11">
        <v>12</v>
      </c>
      <c r="BO43" s="11">
        <v>9</v>
      </c>
      <c r="BP43" s="11">
        <v>9</v>
      </c>
      <c r="BQ43" s="11">
        <v>2</v>
      </c>
      <c r="BR43" s="11">
        <v>10</v>
      </c>
      <c r="BS43" s="11">
        <v>4</v>
      </c>
      <c r="BT43" s="11">
        <v>12</v>
      </c>
      <c r="BX43" s="8">
        <v>130501</v>
      </c>
      <c r="BY43" s="8">
        <v>120927</v>
      </c>
      <c r="CD43" s="8">
        <v>121111</v>
      </c>
      <c r="CI43" s="51"/>
      <c r="CJ43" s="8" t="b">
        <v>0</v>
      </c>
      <c r="CT43" s="8">
        <v>130601</v>
      </c>
      <c r="CV43" s="51" t="s">
        <v>303</v>
      </c>
      <c r="CW43" s="8" t="str">
        <f t="shared" si="1"/>
        <v>DEF.LFM.SMFL.UMFL.V2.08</v>
      </c>
    </row>
    <row r="44" spans="1:101" s="8" customFormat="1" x14ac:dyDescent="0.25">
      <c r="A44" s="13">
        <v>108561</v>
      </c>
      <c r="B44" s="9">
        <v>8</v>
      </c>
      <c r="C44" s="9" t="s">
        <v>305</v>
      </c>
      <c r="D44" s="9" t="s">
        <v>94</v>
      </c>
      <c r="E44" s="9" t="s">
        <v>169</v>
      </c>
      <c r="F44" s="9"/>
      <c r="G44" s="33" t="s">
        <v>306</v>
      </c>
      <c r="H44" s="47" t="s">
        <v>283</v>
      </c>
      <c r="I44" s="9" t="str">
        <f>_xlfn.XLOOKUP(H44,'Alternative Tool Body Sheet'!A:A,'Alternative Tool Body Sheet'!C:C)</f>
        <v>8 MFL</v>
      </c>
      <c r="J44" s="9">
        <f t="shared" si="0"/>
        <v>5</v>
      </c>
      <c r="K44" s="9" t="s">
        <v>114</v>
      </c>
      <c r="L44" s="9">
        <v>8.625</v>
      </c>
      <c r="M44" s="9">
        <v>7.15</v>
      </c>
      <c r="P44" s="9">
        <v>7.625</v>
      </c>
      <c r="Q44" s="9" t="s">
        <v>115</v>
      </c>
      <c r="R44" s="9">
        <v>7.63</v>
      </c>
      <c r="T44" s="9">
        <v>7.38</v>
      </c>
      <c r="U44" s="9" t="s">
        <v>99</v>
      </c>
      <c r="V44" s="9">
        <v>10</v>
      </c>
      <c r="W44" s="9">
        <v>10</v>
      </c>
      <c r="X44" s="9">
        <v>0.438</v>
      </c>
      <c r="Y44" s="9">
        <v>1</v>
      </c>
      <c r="Z44" s="9">
        <v>0.438</v>
      </c>
      <c r="AD44" s="9">
        <v>24</v>
      </c>
      <c r="AH44" s="9">
        <v>72</v>
      </c>
      <c r="AN44" s="9">
        <v>750</v>
      </c>
      <c r="AO44" s="9">
        <v>102</v>
      </c>
      <c r="AP44" s="9">
        <v>17</v>
      </c>
      <c r="AQ44" s="9">
        <v>235</v>
      </c>
      <c r="AR44" s="9">
        <v>35</v>
      </c>
      <c r="AT44" s="9">
        <v>46</v>
      </c>
      <c r="AV44" s="9">
        <v>3.92</v>
      </c>
      <c r="AW44" s="9">
        <v>0.33</v>
      </c>
      <c r="AX44" s="9">
        <v>375</v>
      </c>
      <c r="AY44" s="9">
        <v>2000</v>
      </c>
      <c r="AZ44" s="9" t="s">
        <v>307</v>
      </c>
      <c r="BA44" s="9" t="s">
        <v>102</v>
      </c>
      <c r="BB44" s="9" t="s">
        <v>102</v>
      </c>
      <c r="BC44" s="9" t="s">
        <v>102</v>
      </c>
      <c r="BD44" s="9" t="s">
        <v>102</v>
      </c>
      <c r="BE44" s="9" t="s">
        <v>102</v>
      </c>
      <c r="BF44" s="9" t="s">
        <v>251</v>
      </c>
      <c r="BG44" s="9" t="s">
        <v>104</v>
      </c>
      <c r="BH44" s="9" t="s">
        <v>105</v>
      </c>
      <c r="BI44" s="9">
        <v>9</v>
      </c>
      <c r="BJ44" s="9">
        <v>1</v>
      </c>
      <c r="BK44" s="9">
        <v>2</v>
      </c>
      <c r="BL44" s="9">
        <v>10</v>
      </c>
      <c r="BM44" s="9">
        <v>4</v>
      </c>
      <c r="BN44" s="9">
        <v>12</v>
      </c>
      <c r="BO44" s="9">
        <v>9</v>
      </c>
      <c r="BP44" s="9">
        <v>9</v>
      </c>
      <c r="BQ44" s="9">
        <v>2</v>
      </c>
      <c r="BR44" s="9">
        <v>10</v>
      </c>
      <c r="BS44" s="9">
        <v>4</v>
      </c>
      <c r="BT44" s="9">
        <v>12</v>
      </c>
      <c r="BX44" s="8" t="s">
        <v>284</v>
      </c>
      <c r="CI44" s="51"/>
      <c r="CJ44" s="8" t="b">
        <v>0</v>
      </c>
      <c r="CT44" s="8">
        <v>108561</v>
      </c>
      <c r="CV44" s="51" t="s">
        <v>283</v>
      </c>
      <c r="CW44" s="8" t="str">
        <f t="shared" si="1"/>
        <v>MFL.08</v>
      </c>
    </row>
    <row r="45" spans="1:101" s="8" customFormat="1" x14ac:dyDescent="0.25">
      <c r="A45" s="13" t="s">
        <v>308</v>
      </c>
      <c r="B45" s="9">
        <v>8</v>
      </c>
      <c r="C45" s="9" t="s">
        <v>309</v>
      </c>
      <c r="D45" s="9" t="s">
        <v>94</v>
      </c>
      <c r="E45" s="9" t="s">
        <v>145</v>
      </c>
      <c r="F45" s="9"/>
      <c r="G45" s="33" t="s">
        <v>310</v>
      </c>
      <c r="H45" s="47" t="s">
        <v>311</v>
      </c>
      <c r="I45" s="9" t="str">
        <f>_xlfn.XLOOKUP(H45,'Alternative Tool Body Sheet'!A:A,'Alternative Tool Body Sheet'!C:C)</f>
        <v>8 DEF</v>
      </c>
      <c r="J45" s="9">
        <f t="shared" si="0"/>
        <v>5</v>
      </c>
      <c r="K45" s="9" t="s">
        <v>114</v>
      </c>
      <c r="L45" s="9">
        <v>8.625</v>
      </c>
      <c r="M45" s="9">
        <v>7.15</v>
      </c>
      <c r="N45" s="9">
        <v>17.100000000000001</v>
      </c>
      <c r="P45" s="9">
        <v>7.625</v>
      </c>
      <c r="Q45" s="9" t="s">
        <v>115</v>
      </c>
      <c r="R45" s="9">
        <v>7.63</v>
      </c>
      <c r="T45" s="9">
        <v>7.38</v>
      </c>
      <c r="U45" s="9" t="s">
        <v>99</v>
      </c>
      <c r="V45" s="9">
        <v>10</v>
      </c>
      <c r="W45" s="9">
        <v>10</v>
      </c>
      <c r="X45" s="9">
        <v>0.438</v>
      </c>
      <c r="Y45" s="9">
        <v>1</v>
      </c>
      <c r="Z45" s="9">
        <v>0.438</v>
      </c>
      <c r="AA45" s="9">
        <v>25</v>
      </c>
      <c r="AD45" s="9">
        <v>24</v>
      </c>
      <c r="AH45" s="9">
        <v>72</v>
      </c>
      <c r="AN45" s="9">
        <v>750</v>
      </c>
      <c r="AO45" s="9">
        <v>120.3</v>
      </c>
      <c r="AP45" s="9">
        <v>17</v>
      </c>
      <c r="AQ45" s="9">
        <v>284</v>
      </c>
      <c r="AR45" s="9">
        <v>35</v>
      </c>
      <c r="AT45" s="9">
        <v>27</v>
      </c>
      <c r="AV45" s="9">
        <v>12.3</v>
      </c>
      <c r="AW45" s="9">
        <v>1.03</v>
      </c>
      <c r="AX45" s="9">
        <v>375</v>
      </c>
      <c r="AY45" s="9">
        <v>2000</v>
      </c>
      <c r="AZ45" s="9" t="s">
        <v>312</v>
      </c>
      <c r="BA45" s="9" t="s">
        <v>102</v>
      </c>
      <c r="BB45" s="9" t="s">
        <v>102</v>
      </c>
      <c r="BC45" s="9" t="s">
        <v>102</v>
      </c>
      <c r="BD45" s="9" t="s">
        <v>102</v>
      </c>
      <c r="BE45" s="9" t="s">
        <v>102</v>
      </c>
      <c r="BF45" s="9" t="s">
        <v>251</v>
      </c>
      <c r="BG45" s="9" t="s">
        <v>104</v>
      </c>
      <c r="BH45" s="9" t="s">
        <v>105</v>
      </c>
      <c r="BI45" s="9">
        <v>11</v>
      </c>
      <c r="BJ45" s="9">
        <v>1</v>
      </c>
      <c r="BK45" s="9">
        <v>2</v>
      </c>
      <c r="BL45" s="9">
        <v>10</v>
      </c>
      <c r="BM45" s="9">
        <v>4</v>
      </c>
      <c r="BN45" s="9">
        <v>14</v>
      </c>
      <c r="BO45" s="9">
        <v>11</v>
      </c>
      <c r="BP45" s="9">
        <v>11</v>
      </c>
      <c r="BQ45" s="9">
        <v>2</v>
      </c>
      <c r="BR45" s="9">
        <v>10</v>
      </c>
      <c r="BS45" s="9">
        <v>4</v>
      </c>
      <c r="BT45" s="9">
        <v>14</v>
      </c>
      <c r="BX45" s="8" t="s">
        <v>284</v>
      </c>
      <c r="BY45" s="8">
        <v>108564</v>
      </c>
      <c r="CI45" s="51"/>
      <c r="CJ45" s="8" t="b">
        <v>0</v>
      </c>
      <c r="CT45" s="8" t="s">
        <v>308</v>
      </c>
      <c r="CV45" s="51" t="s">
        <v>311</v>
      </c>
      <c r="CW45" s="8" t="str">
        <f t="shared" si="1"/>
        <v>DEF.MFL.08</v>
      </c>
    </row>
    <row r="46" spans="1:101" s="8" customFormat="1" x14ac:dyDescent="0.25">
      <c r="A46" s="24">
        <v>130596</v>
      </c>
      <c r="B46" s="12">
        <v>8</v>
      </c>
      <c r="C46" s="12" t="s">
        <v>313</v>
      </c>
      <c r="D46" s="9" t="s">
        <v>121</v>
      </c>
      <c r="E46" s="12" t="s">
        <v>314</v>
      </c>
      <c r="F46" s="12"/>
      <c r="G46" s="37" t="s">
        <v>315</v>
      </c>
      <c r="H46" s="50" t="s">
        <v>316</v>
      </c>
      <c r="I46" s="9" t="s">
        <v>245</v>
      </c>
      <c r="J46" s="12">
        <f t="shared" si="0"/>
        <v>7</v>
      </c>
      <c r="K46" s="12" t="s">
        <v>114</v>
      </c>
      <c r="L46" s="12">
        <v>8.625</v>
      </c>
      <c r="M46" s="12">
        <v>7.15</v>
      </c>
      <c r="N46" s="12">
        <v>17.100000000000001</v>
      </c>
      <c r="O46" s="12"/>
      <c r="P46" s="12">
        <v>7.625</v>
      </c>
      <c r="Q46" s="12" t="s">
        <v>99</v>
      </c>
      <c r="R46" s="12"/>
      <c r="S46" s="12">
        <v>7.4</v>
      </c>
      <c r="T46" s="12"/>
      <c r="U46" s="12" t="s">
        <v>99</v>
      </c>
      <c r="V46" s="12">
        <v>10</v>
      </c>
      <c r="W46" s="12">
        <v>10</v>
      </c>
      <c r="X46" s="12">
        <v>0.4</v>
      </c>
      <c r="Y46" s="12">
        <v>1</v>
      </c>
      <c r="Z46" s="12">
        <v>0.41199999999999998</v>
      </c>
      <c r="AA46" s="12">
        <v>36</v>
      </c>
      <c r="AB46" s="12"/>
      <c r="AC46" s="12"/>
      <c r="AD46" s="12">
        <v>36</v>
      </c>
      <c r="AE46" s="12"/>
      <c r="AF46" s="12"/>
      <c r="AG46" s="12"/>
      <c r="AH46" s="12">
        <v>148</v>
      </c>
      <c r="AI46" s="12">
        <v>72</v>
      </c>
      <c r="AJ46" s="12"/>
      <c r="AK46" s="12"/>
      <c r="AL46" s="12"/>
      <c r="AM46" s="12"/>
      <c r="AN46" s="12">
        <v>750</v>
      </c>
      <c r="AO46" s="12">
        <v>72</v>
      </c>
      <c r="AP46" s="12"/>
      <c r="AQ46" s="12">
        <v>201</v>
      </c>
      <c r="AR46" s="12"/>
      <c r="AS46" s="12"/>
      <c r="AT46" s="12">
        <v>54</v>
      </c>
      <c r="AU46" s="12"/>
      <c r="AV46" s="12"/>
      <c r="AW46" s="12"/>
      <c r="AX46" s="12">
        <v>375</v>
      </c>
      <c r="AY46" s="12">
        <v>2000</v>
      </c>
      <c r="AZ46" s="12" t="s">
        <v>317</v>
      </c>
      <c r="BA46" s="12" t="s">
        <v>102</v>
      </c>
      <c r="BB46" s="12" t="s">
        <v>101</v>
      </c>
      <c r="BC46" s="12" t="s">
        <v>101</v>
      </c>
      <c r="BD46" s="12" t="s">
        <v>102</v>
      </c>
      <c r="BE46" s="12" t="s">
        <v>101</v>
      </c>
      <c r="BF46" s="12" t="s">
        <v>118</v>
      </c>
      <c r="BG46" s="12" t="s">
        <v>118</v>
      </c>
      <c r="BH46" s="12" t="s">
        <v>105</v>
      </c>
      <c r="BI46" s="12">
        <v>6</v>
      </c>
      <c r="BJ46" s="12">
        <v>1</v>
      </c>
      <c r="BK46" s="12">
        <v>2</v>
      </c>
      <c r="BL46" s="12">
        <v>10</v>
      </c>
      <c r="BM46" s="12">
        <v>4</v>
      </c>
      <c r="BN46" s="12">
        <v>8</v>
      </c>
      <c r="BO46" s="12">
        <v>6</v>
      </c>
      <c r="BP46" s="12">
        <v>6</v>
      </c>
      <c r="BQ46" s="12">
        <v>2</v>
      </c>
      <c r="BR46" s="12">
        <v>10</v>
      </c>
      <c r="BS46" s="12">
        <v>4</v>
      </c>
      <c r="BT46" s="12">
        <v>8</v>
      </c>
      <c r="BX46" s="8">
        <v>130501</v>
      </c>
      <c r="BY46" s="8">
        <v>110255</v>
      </c>
      <c r="CD46" s="8">
        <v>122013</v>
      </c>
      <c r="CI46" s="51"/>
      <c r="CJ46" s="8" t="b">
        <v>0</v>
      </c>
      <c r="CT46" s="8">
        <v>130596</v>
      </c>
      <c r="CV46" s="51" t="s">
        <v>316</v>
      </c>
      <c r="CW46" s="8" t="str">
        <f t="shared" si="1"/>
        <v>DEF.RES.UMFL.V1.08</v>
      </c>
    </row>
    <row r="47" spans="1:101" s="8" customFormat="1" x14ac:dyDescent="0.25">
      <c r="A47" s="13">
        <v>106625</v>
      </c>
      <c r="B47" s="9">
        <v>8</v>
      </c>
      <c r="C47" s="9" t="s">
        <v>318</v>
      </c>
      <c r="D47" s="9" t="s">
        <v>94</v>
      </c>
      <c r="E47" s="9" t="s">
        <v>128</v>
      </c>
      <c r="F47" s="9"/>
      <c r="G47" s="33" t="s">
        <v>319</v>
      </c>
      <c r="H47" s="47" t="s">
        <v>283</v>
      </c>
      <c r="I47" s="9" t="str">
        <f>_xlfn.XLOOKUP(H47,'Alternative Tool Body Sheet'!A:A,'Alternative Tool Body Sheet'!C:C)</f>
        <v>8 MFL</v>
      </c>
      <c r="J47" s="9">
        <f t="shared" si="0"/>
        <v>5</v>
      </c>
      <c r="K47" s="9" t="s">
        <v>172</v>
      </c>
      <c r="L47" s="9">
        <v>8.625</v>
      </c>
      <c r="M47" s="9">
        <v>7.15</v>
      </c>
      <c r="P47" s="9">
        <v>7.625</v>
      </c>
      <c r="Q47" s="9" t="s">
        <v>99</v>
      </c>
      <c r="S47" s="9">
        <v>7.63</v>
      </c>
      <c r="T47" s="9">
        <v>7.38</v>
      </c>
      <c r="U47" s="9" t="s">
        <v>99</v>
      </c>
      <c r="V47" s="9">
        <v>10</v>
      </c>
      <c r="W47" s="9">
        <v>10</v>
      </c>
      <c r="X47" s="9">
        <v>0.438</v>
      </c>
      <c r="Y47" s="9">
        <v>1</v>
      </c>
      <c r="Z47" s="9">
        <v>0.438</v>
      </c>
      <c r="AH47" s="9">
        <v>72</v>
      </c>
      <c r="AN47" s="9">
        <v>750</v>
      </c>
      <c r="AO47" s="9">
        <v>103</v>
      </c>
      <c r="AP47" s="9">
        <v>22</v>
      </c>
      <c r="AQ47" s="9">
        <v>270</v>
      </c>
      <c r="AR47" s="9">
        <v>55</v>
      </c>
      <c r="AT47" s="9">
        <v>35</v>
      </c>
      <c r="AV47" s="9">
        <v>8</v>
      </c>
      <c r="AW47" s="9">
        <v>0.67</v>
      </c>
      <c r="AX47" s="9">
        <v>375</v>
      </c>
      <c r="AY47" s="9">
        <v>2000</v>
      </c>
      <c r="AZ47" s="9" t="s">
        <v>320</v>
      </c>
      <c r="BA47" s="9" t="s">
        <v>101</v>
      </c>
      <c r="BB47" s="9" t="s">
        <v>101</v>
      </c>
      <c r="BC47" s="9" t="s">
        <v>101</v>
      </c>
      <c r="BD47" s="9" t="s">
        <v>102</v>
      </c>
      <c r="BE47" s="9" t="s">
        <v>102</v>
      </c>
      <c r="BF47" s="9" t="s">
        <v>321</v>
      </c>
      <c r="BG47" s="9" t="s">
        <v>322</v>
      </c>
      <c r="BH47" s="9" t="s">
        <v>105</v>
      </c>
      <c r="BI47" s="9">
        <v>9</v>
      </c>
      <c r="BJ47" s="9">
        <v>1</v>
      </c>
      <c r="BK47" s="9">
        <v>2</v>
      </c>
      <c r="BL47" s="9">
        <v>10</v>
      </c>
      <c r="BM47" s="9">
        <v>4</v>
      </c>
      <c r="BN47" s="9">
        <v>12</v>
      </c>
      <c r="BO47" s="9">
        <v>9</v>
      </c>
      <c r="BP47" s="9">
        <v>9</v>
      </c>
      <c r="BQ47" s="9">
        <v>2</v>
      </c>
      <c r="BR47" s="9">
        <v>10</v>
      </c>
      <c r="BS47" s="9">
        <v>4</v>
      </c>
      <c r="BT47" s="9">
        <v>12</v>
      </c>
      <c r="BX47" s="8" t="s">
        <v>284</v>
      </c>
      <c r="CI47" s="51"/>
      <c r="CJ47" s="8" t="b">
        <v>0</v>
      </c>
      <c r="CT47" s="8">
        <v>106625</v>
      </c>
      <c r="CV47" s="51" t="s">
        <v>283</v>
      </c>
      <c r="CW47" s="8" t="str">
        <f t="shared" si="1"/>
        <v>MFL.08</v>
      </c>
    </row>
    <row r="48" spans="1:101" s="8" customFormat="1" x14ac:dyDescent="0.25">
      <c r="A48" s="13">
        <v>108206</v>
      </c>
      <c r="B48" s="9">
        <v>8</v>
      </c>
      <c r="C48" s="9" t="s">
        <v>323</v>
      </c>
      <c r="D48" s="9" t="s">
        <v>94</v>
      </c>
      <c r="E48" s="9" t="s">
        <v>224</v>
      </c>
      <c r="F48" s="9"/>
      <c r="G48" s="33" t="s">
        <v>324</v>
      </c>
      <c r="H48" s="47" t="s">
        <v>311</v>
      </c>
      <c r="I48" s="9" t="str">
        <f>_xlfn.XLOOKUP(H48,'Alternative Tool Body Sheet'!A:A,'Alternative Tool Body Sheet'!C:C)</f>
        <v>8 DEF</v>
      </c>
      <c r="J48" s="9">
        <f t="shared" si="0"/>
        <v>5</v>
      </c>
      <c r="K48" s="9" t="s">
        <v>172</v>
      </c>
      <c r="L48" s="9">
        <v>8.625</v>
      </c>
      <c r="M48" s="9">
        <v>7.15</v>
      </c>
      <c r="N48" s="9">
        <v>17.100000000000001</v>
      </c>
      <c r="P48" s="9">
        <v>7.625</v>
      </c>
      <c r="Q48" s="9" t="s">
        <v>99</v>
      </c>
      <c r="S48" s="9">
        <v>7.63</v>
      </c>
      <c r="U48" s="9" t="s">
        <v>99</v>
      </c>
      <c r="V48" s="9">
        <v>10</v>
      </c>
      <c r="W48" s="9">
        <v>10</v>
      </c>
      <c r="X48" s="9">
        <v>0.438</v>
      </c>
      <c r="Y48" s="9">
        <v>1</v>
      </c>
      <c r="Z48" s="9">
        <v>0.438</v>
      </c>
      <c r="AA48" s="9">
        <v>12</v>
      </c>
      <c r="AH48" s="9">
        <v>72</v>
      </c>
      <c r="AN48" s="9">
        <v>750</v>
      </c>
      <c r="AO48" s="9">
        <v>138</v>
      </c>
      <c r="AP48" s="9">
        <v>22</v>
      </c>
      <c r="AQ48" s="9">
        <v>314</v>
      </c>
      <c r="AR48" s="9">
        <v>55</v>
      </c>
      <c r="AT48" s="9">
        <v>24</v>
      </c>
      <c r="AV48" s="9">
        <v>13.2</v>
      </c>
      <c r="AW48" s="9">
        <v>1.1000000000000001</v>
      </c>
      <c r="AX48" s="9">
        <v>375</v>
      </c>
      <c r="AY48" s="9">
        <v>2000</v>
      </c>
      <c r="AZ48" s="9" t="s">
        <v>325</v>
      </c>
      <c r="BA48" s="9" t="s">
        <v>102</v>
      </c>
      <c r="BB48" s="9" t="s">
        <v>101</v>
      </c>
      <c r="BC48" s="9" t="s">
        <v>101</v>
      </c>
      <c r="BD48" s="9" t="s">
        <v>102</v>
      </c>
      <c r="BE48" s="9" t="s">
        <v>102</v>
      </c>
      <c r="BF48" s="9" t="s">
        <v>118</v>
      </c>
      <c r="BG48" s="9" t="s">
        <v>322</v>
      </c>
      <c r="BH48" s="9" t="s">
        <v>105</v>
      </c>
      <c r="BI48" s="9">
        <v>12</v>
      </c>
      <c r="BJ48" s="9">
        <v>1</v>
      </c>
      <c r="BK48" s="9">
        <v>2</v>
      </c>
      <c r="BL48" s="9">
        <v>10</v>
      </c>
      <c r="BM48" s="9">
        <v>4</v>
      </c>
      <c r="BN48" s="9">
        <v>15</v>
      </c>
      <c r="BO48" s="9">
        <v>12</v>
      </c>
      <c r="BP48" s="9">
        <v>12</v>
      </c>
      <c r="BQ48" s="9">
        <v>2</v>
      </c>
      <c r="BR48" s="9">
        <v>10</v>
      </c>
      <c r="BS48" s="9">
        <v>4</v>
      </c>
      <c r="BT48" s="9">
        <v>15</v>
      </c>
      <c r="BX48" s="8" t="s">
        <v>284</v>
      </c>
      <c r="BY48" s="8">
        <v>108564</v>
      </c>
      <c r="CI48" s="51"/>
      <c r="CJ48" s="8" t="b">
        <v>0</v>
      </c>
      <c r="CT48" s="8">
        <v>108206</v>
      </c>
      <c r="CV48" s="51" t="s">
        <v>311</v>
      </c>
      <c r="CW48" s="8" t="str">
        <f t="shared" si="1"/>
        <v>DEF.MFL.08</v>
      </c>
    </row>
    <row r="49" spans="1:101" s="8" customFormat="1" x14ac:dyDescent="0.25">
      <c r="A49" s="13">
        <v>113610</v>
      </c>
      <c r="B49" s="9">
        <v>8</v>
      </c>
      <c r="C49" s="9" t="s">
        <v>326</v>
      </c>
      <c r="D49" s="9" t="s">
        <v>94</v>
      </c>
      <c r="E49" s="9" t="s">
        <v>199</v>
      </c>
      <c r="F49" s="9"/>
      <c r="G49" s="33" t="s">
        <v>327</v>
      </c>
      <c r="H49" s="47" t="s">
        <v>328</v>
      </c>
      <c r="I49" s="9" t="str">
        <f>_xlfn.XLOOKUP(H49,'Alternative Tool Body Sheet'!A:A,'Alternative Tool Body Sheet'!C:C)</f>
        <v>8 MFL</v>
      </c>
      <c r="J49" s="9">
        <f t="shared" si="0"/>
        <v>5</v>
      </c>
      <c r="K49" s="9" t="s">
        <v>114</v>
      </c>
      <c r="L49" s="9">
        <v>8.625</v>
      </c>
      <c r="M49" s="9">
        <v>7.15</v>
      </c>
      <c r="P49" s="9">
        <v>7.625</v>
      </c>
      <c r="Q49" s="9" t="s">
        <v>115</v>
      </c>
      <c r="R49" s="9">
        <v>7.63</v>
      </c>
      <c r="U49" s="9" t="s">
        <v>99</v>
      </c>
      <c r="V49" s="9">
        <v>10</v>
      </c>
      <c r="W49" s="9">
        <v>10</v>
      </c>
      <c r="X49" s="9">
        <v>0.438</v>
      </c>
      <c r="Y49" s="9">
        <v>1</v>
      </c>
      <c r="Z49" s="9">
        <v>0.438</v>
      </c>
      <c r="AD49" s="9">
        <v>24</v>
      </c>
      <c r="AH49" s="9">
        <v>72</v>
      </c>
      <c r="AN49" s="9">
        <v>750</v>
      </c>
      <c r="AO49" s="9">
        <v>118</v>
      </c>
      <c r="AP49" s="9">
        <v>22</v>
      </c>
      <c r="AQ49" s="9">
        <v>280</v>
      </c>
      <c r="AR49" s="9">
        <v>55</v>
      </c>
      <c r="AT49" s="9">
        <v>21</v>
      </c>
      <c r="AV49" s="9">
        <v>15.68</v>
      </c>
      <c r="AW49" s="9">
        <v>1.31</v>
      </c>
      <c r="AX49" s="9">
        <v>375</v>
      </c>
      <c r="AY49" s="9">
        <v>2000</v>
      </c>
      <c r="AZ49" s="9" t="s">
        <v>329</v>
      </c>
      <c r="BA49" s="9" t="s">
        <v>102</v>
      </c>
      <c r="BB49" s="9" t="s">
        <v>102</v>
      </c>
      <c r="BC49" s="9" t="s">
        <v>102</v>
      </c>
      <c r="BD49" s="9" t="s">
        <v>102</v>
      </c>
      <c r="BE49" s="9" t="s">
        <v>102</v>
      </c>
      <c r="BF49" s="9" t="s">
        <v>321</v>
      </c>
      <c r="BG49" s="9" t="s">
        <v>322</v>
      </c>
      <c r="BH49" s="9" t="s">
        <v>105</v>
      </c>
      <c r="BI49" s="9">
        <v>10</v>
      </c>
      <c r="BJ49" s="9">
        <v>2</v>
      </c>
      <c r="BK49" s="9">
        <v>2</v>
      </c>
      <c r="BL49" s="9">
        <v>10</v>
      </c>
      <c r="BM49" s="9">
        <v>4</v>
      </c>
      <c r="BN49" s="9">
        <v>13</v>
      </c>
      <c r="BO49" s="9">
        <v>10</v>
      </c>
      <c r="BP49" s="9">
        <v>10</v>
      </c>
      <c r="BQ49" s="9">
        <v>2</v>
      </c>
      <c r="BR49" s="9">
        <v>10</v>
      </c>
      <c r="BS49" s="9">
        <v>4</v>
      </c>
      <c r="BT49" s="9">
        <v>13</v>
      </c>
      <c r="BX49" s="8" t="s">
        <v>284</v>
      </c>
      <c r="BY49" s="8">
        <v>108564</v>
      </c>
      <c r="CI49" s="51"/>
      <c r="CJ49" s="8" t="b">
        <v>0</v>
      </c>
      <c r="CT49" s="8">
        <v>113610</v>
      </c>
      <c r="CV49" s="51" t="s">
        <v>328</v>
      </c>
      <c r="CW49" s="8" t="str">
        <f t="shared" si="1"/>
        <v>MFL.XYZ.08</v>
      </c>
    </row>
    <row r="50" spans="1:101" s="8" customFormat="1" x14ac:dyDescent="0.25">
      <c r="A50" s="23">
        <v>130600</v>
      </c>
      <c r="B50" s="11">
        <v>8</v>
      </c>
      <c r="C50" s="11" t="s">
        <v>330</v>
      </c>
      <c r="D50" s="9" t="s">
        <v>121</v>
      </c>
      <c r="E50" s="11" t="s">
        <v>331</v>
      </c>
      <c r="F50" s="11"/>
      <c r="G50" s="33" t="s">
        <v>330</v>
      </c>
      <c r="H50" s="49" t="s">
        <v>332</v>
      </c>
      <c r="I50" s="9" t="s">
        <v>289</v>
      </c>
      <c r="J50" s="11">
        <f t="shared" si="0"/>
        <v>7</v>
      </c>
      <c r="K50" s="11" t="s">
        <v>114</v>
      </c>
      <c r="L50" s="11">
        <v>8.625</v>
      </c>
      <c r="M50" s="11">
        <v>7.15</v>
      </c>
      <c r="N50" s="11"/>
      <c r="O50" s="11"/>
      <c r="P50" s="11"/>
      <c r="Q50" s="11" t="s">
        <v>115</v>
      </c>
      <c r="R50" s="11">
        <v>7.63</v>
      </c>
      <c r="S50" s="11"/>
      <c r="T50" s="11"/>
      <c r="U50" s="11" t="s">
        <v>99</v>
      </c>
      <c r="V50" s="11">
        <v>10</v>
      </c>
      <c r="W50" s="11">
        <v>10</v>
      </c>
      <c r="X50" s="11">
        <v>0.4</v>
      </c>
      <c r="Y50" s="11">
        <v>1</v>
      </c>
      <c r="Z50" s="11">
        <v>0.41199999999999998</v>
      </c>
      <c r="AA50" s="11">
        <v>36</v>
      </c>
      <c r="AB50" s="11"/>
      <c r="AC50" s="11"/>
      <c r="AD50" s="11">
        <v>36</v>
      </c>
      <c r="AE50" s="11"/>
      <c r="AF50" s="11">
        <v>72</v>
      </c>
      <c r="AG50" s="11"/>
      <c r="AH50" s="11">
        <v>148</v>
      </c>
      <c r="AI50" s="11"/>
      <c r="AJ50" s="11">
        <v>200</v>
      </c>
      <c r="AK50" s="11"/>
      <c r="AL50" s="11"/>
      <c r="AM50" s="11"/>
      <c r="AN50" s="11">
        <v>750</v>
      </c>
      <c r="AO50" s="11">
        <v>143</v>
      </c>
      <c r="AP50" s="11"/>
      <c r="AQ50" s="11">
        <v>475</v>
      </c>
      <c r="AR50" s="11"/>
      <c r="AS50" s="11"/>
      <c r="AT50" s="11">
        <v>32</v>
      </c>
      <c r="AU50" s="11"/>
      <c r="AV50" s="11"/>
      <c r="AW50" s="11"/>
      <c r="AX50" s="11">
        <v>375</v>
      </c>
      <c r="AY50" s="11">
        <v>2000</v>
      </c>
      <c r="AZ50" s="11" t="s">
        <v>333</v>
      </c>
      <c r="BA50" s="11" t="s">
        <v>102</v>
      </c>
      <c r="BB50" s="11" t="s">
        <v>102</v>
      </c>
      <c r="BC50" s="11" t="s">
        <v>102</v>
      </c>
      <c r="BD50" s="11" t="s">
        <v>102</v>
      </c>
      <c r="BE50" s="11" t="s">
        <v>102</v>
      </c>
      <c r="BF50" s="11" t="s">
        <v>118</v>
      </c>
      <c r="BG50" s="11" t="s">
        <v>118</v>
      </c>
      <c r="BH50" s="11" t="s">
        <v>105</v>
      </c>
      <c r="BI50" s="11">
        <v>12</v>
      </c>
      <c r="BJ50" s="11">
        <v>1</v>
      </c>
      <c r="BK50" s="11">
        <v>2</v>
      </c>
      <c r="BL50" s="11">
        <v>10</v>
      </c>
      <c r="BM50" s="11">
        <v>4</v>
      </c>
      <c r="BN50" s="11">
        <v>15</v>
      </c>
      <c r="BO50" s="11">
        <v>12</v>
      </c>
      <c r="BP50" s="11">
        <v>12</v>
      </c>
      <c r="BQ50" s="11">
        <v>2</v>
      </c>
      <c r="BR50" s="11">
        <v>10</v>
      </c>
      <c r="BS50" s="11">
        <v>4</v>
      </c>
      <c r="BT50" s="11">
        <v>15</v>
      </c>
      <c r="BX50" s="8">
        <v>130501</v>
      </c>
      <c r="BY50" s="8">
        <v>120927</v>
      </c>
      <c r="CD50" s="8">
        <v>121111</v>
      </c>
      <c r="CI50" s="51"/>
      <c r="CJ50" s="8" t="b">
        <v>0</v>
      </c>
      <c r="CT50" s="8">
        <v>130600</v>
      </c>
      <c r="CV50" s="51" t="s">
        <v>332</v>
      </c>
      <c r="CW50" s="8" t="str">
        <f t="shared" si="1"/>
        <v>DEF.LFM.SMFL.UMFL.XYZ.V2.08</v>
      </c>
    </row>
    <row r="51" spans="1:101" s="8" customFormat="1" x14ac:dyDescent="0.25">
      <c r="A51" s="13">
        <v>106626</v>
      </c>
      <c r="B51" s="9">
        <v>8</v>
      </c>
      <c r="C51" s="9" t="s">
        <v>334</v>
      </c>
      <c r="D51" s="9" t="s">
        <v>94</v>
      </c>
      <c r="E51" s="9" t="s">
        <v>95</v>
      </c>
      <c r="F51" s="9"/>
      <c r="G51" s="33" t="s">
        <v>335</v>
      </c>
      <c r="H51" s="47" t="s">
        <v>249</v>
      </c>
      <c r="I51" s="9" t="str">
        <f>_xlfn.XLOOKUP(H51,'Alternative Tool Body Sheet'!A:A,'Alternative Tool Body Sheet'!C:C)</f>
        <v>8 DEF</v>
      </c>
      <c r="J51" s="9">
        <f t="shared" si="0"/>
        <v>5</v>
      </c>
      <c r="K51" s="9" t="s">
        <v>98</v>
      </c>
      <c r="L51" s="9">
        <v>8.625</v>
      </c>
      <c r="M51" s="9">
        <v>6.5</v>
      </c>
      <c r="N51" s="9">
        <v>24.64</v>
      </c>
      <c r="P51" s="9">
        <v>7.625</v>
      </c>
      <c r="Q51" s="9" t="s">
        <v>115</v>
      </c>
      <c r="R51" s="9">
        <v>7.13</v>
      </c>
      <c r="T51" s="9">
        <v>6.5</v>
      </c>
      <c r="U51" s="9" t="s">
        <v>99</v>
      </c>
      <c r="V51" s="9">
        <v>15</v>
      </c>
      <c r="AA51" s="9">
        <v>12</v>
      </c>
      <c r="AN51" s="9">
        <v>750</v>
      </c>
      <c r="AO51" s="9">
        <v>96</v>
      </c>
      <c r="AP51" s="9">
        <v>17</v>
      </c>
      <c r="AQ51" s="9">
        <v>210</v>
      </c>
      <c r="AR51" s="9">
        <v>50</v>
      </c>
      <c r="AT51" s="9">
        <v>59</v>
      </c>
      <c r="AV51" s="9">
        <v>5.2</v>
      </c>
      <c r="AW51" s="9">
        <v>0.43</v>
      </c>
      <c r="AX51" s="9">
        <v>375</v>
      </c>
      <c r="AY51" s="9">
        <v>2000</v>
      </c>
      <c r="AZ51" s="9" t="s">
        <v>336</v>
      </c>
      <c r="BA51" s="9" t="s">
        <v>101</v>
      </c>
      <c r="BB51" s="9" t="s">
        <v>101</v>
      </c>
      <c r="BC51" s="9" t="s">
        <v>101</v>
      </c>
      <c r="BD51" s="9" t="s">
        <v>102</v>
      </c>
      <c r="BE51" s="9" t="s">
        <v>102</v>
      </c>
      <c r="BF51" s="9" t="s">
        <v>251</v>
      </c>
      <c r="BG51" s="9" t="s">
        <v>104</v>
      </c>
      <c r="BH51" s="9" t="s">
        <v>105</v>
      </c>
      <c r="BI51" s="9">
        <v>8</v>
      </c>
      <c r="BJ51" s="9">
        <v>1</v>
      </c>
      <c r="BK51" s="9">
        <v>2</v>
      </c>
      <c r="BL51" s="9">
        <v>10</v>
      </c>
      <c r="BM51" s="9">
        <v>4</v>
      </c>
      <c r="BN51" s="9">
        <v>10</v>
      </c>
      <c r="BO51" s="9">
        <v>8</v>
      </c>
      <c r="BP51" s="9">
        <v>8</v>
      </c>
      <c r="BQ51" s="9">
        <v>2</v>
      </c>
      <c r="BR51" s="9">
        <v>10</v>
      </c>
      <c r="BS51" s="9">
        <v>4</v>
      </c>
      <c r="BT51" s="9">
        <v>10</v>
      </c>
      <c r="BY51" s="8">
        <v>108564</v>
      </c>
      <c r="CI51" s="51"/>
      <c r="CJ51" s="8" t="b">
        <v>0</v>
      </c>
      <c r="CT51" s="8">
        <v>106626</v>
      </c>
      <c r="CV51" s="51" t="s">
        <v>249</v>
      </c>
      <c r="CW51" s="8" t="str">
        <f t="shared" si="1"/>
        <v>DEF.08</v>
      </c>
    </row>
    <row r="52" spans="1:101" s="8" customFormat="1" x14ac:dyDescent="0.25">
      <c r="A52" s="24">
        <v>130594</v>
      </c>
      <c r="B52" s="12">
        <v>8</v>
      </c>
      <c r="C52" s="12" t="s">
        <v>337</v>
      </c>
      <c r="D52" s="12" t="s">
        <v>121</v>
      </c>
      <c r="E52" s="12" t="s">
        <v>253</v>
      </c>
      <c r="F52" s="12"/>
      <c r="G52" s="37" t="s">
        <v>338</v>
      </c>
      <c r="H52" s="50" t="s">
        <v>339</v>
      </c>
      <c r="I52" s="9" t="s">
        <v>245</v>
      </c>
      <c r="J52" s="12">
        <f t="shared" si="0"/>
        <v>7</v>
      </c>
      <c r="K52" s="12" t="s">
        <v>114</v>
      </c>
      <c r="L52" s="12">
        <v>8.625</v>
      </c>
      <c r="M52" s="12">
        <v>7.15</v>
      </c>
      <c r="N52" s="12"/>
      <c r="O52" s="12"/>
      <c r="P52" s="12"/>
      <c r="Q52" s="12" t="s">
        <v>99</v>
      </c>
      <c r="R52" s="12"/>
      <c r="S52" s="12">
        <v>7.4</v>
      </c>
      <c r="T52" s="12"/>
      <c r="U52" s="12" t="s">
        <v>99</v>
      </c>
      <c r="V52" s="12">
        <v>10</v>
      </c>
      <c r="W52" s="12">
        <v>10</v>
      </c>
      <c r="X52" s="12">
        <v>0.4</v>
      </c>
      <c r="Y52" s="12">
        <v>1</v>
      </c>
      <c r="Z52" s="12">
        <v>0.41199999999999998</v>
      </c>
      <c r="AA52" s="12">
        <v>36</v>
      </c>
      <c r="AB52" s="12"/>
      <c r="AC52" s="12"/>
      <c r="AD52" s="12">
        <v>36</v>
      </c>
      <c r="AE52" s="12"/>
      <c r="AF52" s="12"/>
      <c r="AG52" s="12"/>
      <c r="AH52" s="12">
        <v>148</v>
      </c>
      <c r="AI52" s="12">
        <v>72</v>
      </c>
      <c r="AJ52" s="12">
        <v>180</v>
      </c>
      <c r="AK52" s="12"/>
      <c r="AL52" s="12"/>
      <c r="AM52" s="12"/>
      <c r="AN52" s="12">
        <v>750</v>
      </c>
      <c r="AO52" s="12">
        <v>90</v>
      </c>
      <c r="AP52" s="12"/>
      <c r="AQ52" s="12">
        <v>255</v>
      </c>
      <c r="AR52" s="12"/>
      <c r="AS52" s="12"/>
      <c r="AT52" s="12">
        <v>41</v>
      </c>
      <c r="AU52" s="12"/>
      <c r="AV52" s="12"/>
      <c r="AW52" s="12"/>
      <c r="AX52" s="12">
        <v>375</v>
      </c>
      <c r="AY52" s="12">
        <v>2000</v>
      </c>
      <c r="AZ52" s="12" t="s">
        <v>340</v>
      </c>
      <c r="BA52" s="12" t="s">
        <v>102</v>
      </c>
      <c r="BB52" s="12" t="s">
        <v>101</v>
      </c>
      <c r="BC52" s="12" t="s">
        <v>101</v>
      </c>
      <c r="BD52" s="12" t="s">
        <v>102</v>
      </c>
      <c r="BE52" s="12" t="s">
        <v>101</v>
      </c>
      <c r="BF52" s="12" t="s">
        <v>118</v>
      </c>
      <c r="BG52" s="12" t="s">
        <v>118</v>
      </c>
      <c r="BH52" s="12" t="s">
        <v>105</v>
      </c>
      <c r="BI52" s="12">
        <v>8</v>
      </c>
      <c r="BJ52" s="12">
        <v>1</v>
      </c>
      <c r="BK52" s="12">
        <v>2</v>
      </c>
      <c r="BL52" s="12">
        <v>10</v>
      </c>
      <c r="BM52" s="12">
        <v>4</v>
      </c>
      <c r="BN52" s="12">
        <v>10</v>
      </c>
      <c r="BO52" s="12">
        <v>8</v>
      </c>
      <c r="BP52" s="12">
        <v>8</v>
      </c>
      <c r="BQ52" s="12">
        <v>2</v>
      </c>
      <c r="BR52" s="12">
        <v>10</v>
      </c>
      <c r="BS52" s="12">
        <v>4</v>
      </c>
      <c r="BT52" s="12">
        <v>10</v>
      </c>
      <c r="BX52" s="8">
        <v>130501</v>
      </c>
      <c r="BY52" s="8">
        <v>110255</v>
      </c>
      <c r="CD52" s="8">
        <v>122013</v>
      </c>
      <c r="CI52" s="51"/>
      <c r="CJ52" s="8" t="b">
        <v>0</v>
      </c>
      <c r="CT52" s="8">
        <v>130594</v>
      </c>
      <c r="CV52" s="51" t="s">
        <v>339</v>
      </c>
      <c r="CW52" s="8" t="str">
        <f t="shared" si="1"/>
        <v>DEF.RES.SMFL.UMFL.V1.08</v>
      </c>
    </row>
    <row r="53" spans="1:101" s="8" customFormat="1" x14ac:dyDescent="0.25">
      <c r="A53" s="13">
        <v>110250</v>
      </c>
      <c r="B53" s="9">
        <v>8</v>
      </c>
      <c r="C53" s="9" t="s">
        <v>341</v>
      </c>
      <c r="D53" s="9" t="s">
        <v>94</v>
      </c>
      <c r="E53" s="9" t="s">
        <v>169</v>
      </c>
      <c r="F53" s="9"/>
      <c r="G53" s="33" t="s">
        <v>342</v>
      </c>
      <c r="H53" s="50" t="s">
        <v>283</v>
      </c>
      <c r="I53" s="9" t="str">
        <f>_xlfn.XLOOKUP(H53,'Alternative Tool Body Sheet'!A:A,'Alternative Tool Body Sheet'!C:C)</f>
        <v>8 MFL</v>
      </c>
      <c r="J53" s="9">
        <f t="shared" si="0"/>
        <v>5</v>
      </c>
      <c r="K53" s="9" t="s">
        <v>114</v>
      </c>
      <c r="L53" s="9">
        <v>8.625</v>
      </c>
      <c r="M53" s="9">
        <v>7</v>
      </c>
      <c r="P53" s="9">
        <v>7.625</v>
      </c>
      <c r="Q53" s="9" t="s">
        <v>115</v>
      </c>
      <c r="R53" s="9">
        <v>7.63</v>
      </c>
      <c r="T53" s="9">
        <v>7.25</v>
      </c>
      <c r="U53" s="9" t="s">
        <v>116</v>
      </c>
      <c r="V53" s="9">
        <v>10</v>
      </c>
      <c r="W53" s="9">
        <v>10</v>
      </c>
      <c r="X53" s="9">
        <v>0.438</v>
      </c>
      <c r="Y53" s="9">
        <v>1</v>
      </c>
      <c r="Z53" s="9">
        <v>0.438</v>
      </c>
      <c r="AD53" s="9">
        <v>24</v>
      </c>
      <c r="AH53" s="9">
        <v>72</v>
      </c>
      <c r="AN53" s="9">
        <v>750</v>
      </c>
      <c r="AO53" s="9">
        <v>90</v>
      </c>
      <c r="AP53" s="9">
        <v>17</v>
      </c>
      <c r="AQ53" s="9">
        <v>195</v>
      </c>
      <c r="AR53" s="9">
        <v>23</v>
      </c>
      <c r="AT53" s="9">
        <v>46</v>
      </c>
      <c r="AV53" s="9">
        <v>3.92</v>
      </c>
      <c r="AW53" s="9">
        <v>0.33</v>
      </c>
      <c r="AX53" s="9">
        <v>375</v>
      </c>
      <c r="AY53" s="9">
        <v>2000</v>
      </c>
      <c r="AZ53" s="9" t="s">
        <v>343</v>
      </c>
      <c r="BA53" s="9" t="s">
        <v>102</v>
      </c>
      <c r="BB53" s="9" t="s">
        <v>102</v>
      </c>
      <c r="BC53" s="9" t="s">
        <v>102</v>
      </c>
      <c r="BD53" s="9" t="s">
        <v>102</v>
      </c>
      <c r="BE53" s="9" t="s">
        <v>102</v>
      </c>
      <c r="BF53" s="9" t="s">
        <v>251</v>
      </c>
      <c r="BG53" s="9" t="s">
        <v>104</v>
      </c>
      <c r="BH53" s="9" t="s">
        <v>105</v>
      </c>
      <c r="BI53" s="9">
        <v>8</v>
      </c>
      <c r="BJ53" s="9">
        <v>1</v>
      </c>
      <c r="BK53" s="9">
        <v>2</v>
      </c>
      <c r="BL53" s="9">
        <v>10</v>
      </c>
      <c r="BM53" s="9">
        <v>4</v>
      </c>
      <c r="BN53" s="9">
        <v>10</v>
      </c>
      <c r="BO53" s="9">
        <v>8</v>
      </c>
      <c r="BP53" s="9">
        <v>8</v>
      </c>
      <c r="BQ53" s="9">
        <v>2</v>
      </c>
      <c r="BR53" s="9">
        <v>10</v>
      </c>
      <c r="BS53" s="9">
        <v>4</v>
      </c>
      <c r="BT53" s="9">
        <v>10</v>
      </c>
      <c r="BX53" s="8" t="s">
        <v>284</v>
      </c>
      <c r="CI53" s="51"/>
      <c r="CJ53" s="8" t="b">
        <v>0</v>
      </c>
      <c r="CT53" s="8">
        <v>110250</v>
      </c>
      <c r="CV53" s="51" t="s">
        <v>283</v>
      </c>
      <c r="CW53" s="8" t="str">
        <f t="shared" si="1"/>
        <v>MFL.08</v>
      </c>
    </row>
    <row r="54" spans="1:101" s="8" customFormat="1" x14ac:dyDescent="0.25">
      <c r="A54" s="21">
        <v>122501</v>
      </c>
      <c r="B54" s="10">
        <v>8</v>
      </c>
      <c r="C54" s="10" t="s">
        <v>344</v>
      </c>
      <c r="D54" s="10" t="s">
        <v>121</v>
      </c>
      <c r="E54" s="10" t="s">
        <v>301</v>
      </c>
      <c r="F54" s="10"/>
      <c r="G54" s="34" t="s">
        <v>345</v>
      </c>
      <c r="H54" s="48" t="s">
        <v>346</v>
      </c>
      <c r="I54" s="9" t="str">
        <f>_xlfn.XLOOKUP(H54,'Alternative Tool Body Sheet'!A:A,'Alternative Tool Body Sheet'!C:C)</f>
        <v>8 MDS V2</v>
      </c>
      <c r="J54" s="10">
        <f t="shared" si="0"/>
        <v>7</v>
      </c>
      <c r="K54" s="10" t="s">
        <v>114</v>
      </c>
      <c r="L54" s="10">
        <v>8.625</v>
      </c>
      <c r="M54" s="10">
        <v>7.15</v>
      </c>
      <c r="N54" s="10">
        <v>17.100000000000001</v>
      </c>
      <c r="O54" s="10"/>
      <c r="P54" s="10">
        <v>7.625</v>
      </c>
      <c r="Q54" s="10" t="s">
        <v>115</v>
      </c>
      <c r="R54" s="10">
        <v>7.63</v>
      </c>
      <c r="S54" s="10"/>
      <c r="T54" s="10"/>
      <c r="U54" s="10" t="s">
        <v>99</v>
      </c>
      <c r="V54" s="10">
        <v>10</v>
      </c>
      <c r="W54" s="10">
        <v>10</v>
      </c>
      <c r="X54" s="10">
        <v>0.4</v>
      </c>
      <c r="Y54" s="10">
        <v>1</v>
      </c>
      <c r="Z54" s="10">
        <v>0.41199999999999998</v>
      </c>
      <c r="AA54" s="10">
        <v>36</v>
      </c>
      <c r="AB54" s="10"/>
      <c r="AC54" s="10"/>
      <c r="AD54" s="10">
        <v>36</v>
      </c>
      <c r="AE54" s="10"/>
      <c r="AF54" s="10">
        <v>72</v>
      </c>
      <c r="AG54" s="10"/>
      <c r="AH54" s="10">
        <v>72</v>
      </c>
      <c r="AI54" s="10"/>
      <c r="AJ54" s="10">
        <v>200</v>
      </c>
      <c r="AK54" s="10"/>
      <c r="AL54" s="10"/>
      <c r="AM54" s="10"/>
      <c r="AN54" s="10">
        <v>750</v>
      </c>
      <c r="AO54" s="10">
        <v>103</v>
      </c>
      <c r="AP54" s="10"/>
      <c r="AQ54" s="10">
        <v>375</v>
      </c>
      <c r="AR54" s="10"/>
      <c r="AS54" s="10"/>
      <c r="AT54" s="10">
        <v>64</v>
      </c>
      <c r="AU54" s="10"/>
      <c r="AV54" s="10"/>
      <c r="AW54" s="10"/>
      <c r="AX54" s="10">
        <v>375</v>
      </c>
      <c r="AY54" s="10">
        <v>2000</v>
      </c>
      <c r="AZ54" s="10" t="s">
        <v>347</v>
      </c>
      <c r="BA54" s="10" t="s">
        <v>102</v>
      </c>
      <c r="BB54" s="10" t="s">
        <v>101</v>
      </c>
      <c r="BC54" s="10" t="s">
        <v>101</v>
      </c>
      <c r="BD54" s="10" t="s">
        <v>102</v>
      </c>
      <c r="BE54" s="10" t="s">
        <v>101</v>
      </c>
      <c r="BF54" s="10" t="s">
        <v>118</v>
      </c>
      <c r="BG54" s="10" t="s">
        <v>118</v>
      </c>
      <c r="BH54" s="10" t="s">
        <v>105</v>
      </c>
      <c r="BI54" s="10">
        <v>9</v>
      </c>
      <c r="BJ54" s="10">
        <v>1</v>
      </c>
      <c r="BK54" s="10">
        <v>2</v>
      </c>
      <c r="BL54" s="10">
        <v>10</v>
      </c>
      <c r="BM54" s="10">
        <v>4</v>
      </c>
      <c r="BN54" s="10">
        <v>11</v>
      </c>
      <c r="BO54" s="10">
        <v>9</v>
      </c>
      <c r="BP54" s="10">
        <v>9</v>
      </c>
      <c r="BQ54" s="10">
        <v>2</v>
      </c>
      <c r="BR54" s="10">
        <v>10</v>
      </c>
      <c r="BS54" s="10">
        <v>4</v>
      </c>
      <c r="BT54" s="10">
        <v>11</v>
      </c>
      <c r="BX54" s="8">
        <v>121003</v>
      </c>
      <c r="BY54" s="8">
        <v>120927</v>
      </c>
      <c r="CD54" s="8">
        <v>121111</v>
      </c>
      <c r="CI54" s="51"/>
      <c r="CJ54" s="8" t="b">
        <v>1</v>
      </c>
      <c r="CT54" s="8">
        <v>122501</v>
      </c>
      <c r="CV54" s="51" t="s">
        <v>346</v>
      </c>
      <c r="CW54" s="8" t="str">
        <f t="shared" si="1"/>
        <v>DEF.LFM.MFL.SMFL.08</v>
      </c>
    </row>
    <row r="55" spans="1:101" s="8" customFormat="1" x14ac:dyDescent="0.25">
      <c r="A55" s="13">
        <v>123291</v>
      </c>
      <c r="B55" s="9">
        <v>8</v>
      </c>
      <c r="C55" s="9" t="s">
        <v>348</v>
      </c>
      <c r="D55" s="9" t="s">
        <v>94</v>
      </c>
      <c r="E55" s="9" t="s">
        <v>349</v>
      </c>
      <c r="F55" s="9"/>
      <c r="G55" s="33" t="s">
        <v>350</v>
      </c>
      <c r="H55" s="47" t="s">
        <v>351</v>
      </c>
      <c r="I55" s="9" t="str">
        <f>_xlfn.XLOOKUP(H55,'Alternative Tool Body Sheet'!A:A,'Alternative Tool Body Sheet'!C:C)</f>
        <v>8 DEF</v>
      </c>
      <c r="J55" s="9">
        <f t="shared" si="0"/>
        <v>5</v>
      </c>
      <c r="K55" s="9" t="s">
        <v>114</v>
      </c>
      <c r="L55" s="9">
        <v>8.625</v>
      </c>
      <c r="M55" s="9">
        <v>7</v>
      </c>
      <c r="N55" s="9">
        <v>17.100000000000001</v>
      </c>
      <c r="O55" s="9">
        <v>7.5</v>
      </c>
      <c r="P55" s="9">
        <v>7.25</v>
      </c>
      <c r="Q55" s="9" t="s">
        <v>115</v>
      </c>
      <c r="R55" s="9">
        <v>7.5</v>
      </c>
      <c r="S55" s="9">
        <v>7.33</v>
      </c>
      <c r="T55" s="9">
        <v>7.15</v>
      </c>
      <c r="U55" s="9" t="s">
        <v>99</v>
      </c>
      <c r="V55" s="9">
        <v>10</v>
      </c>
      <c r="W55" s="9">
        <v>10</v>
      </c>
      <c r="X55" s="9">
        <v>0.47099999999999997</v>
      </c>
      <c r="Y55" s="9">
        <v>1</v>
      </c>
      <c r="Z55" s="9">
        <v>0.53</v>
      </c>
      <c r="AA55" s="9">
        <v>25</v>
      </c>
      <c r="AC55" s="9">
        <v>72</v>
      </c>
      <c r="AD55" s="9">
        <v>24</v>
      </c>
      <c r="AN55" s="9">
        <v>750</v>
      </c>
      <c r="AO55" s="9">
        <v>113.1</v>
      </c>
      <c r="AP55" s="9">
        <v>19.2</v>
      </c>
      <c r="AQ55" s="9">
        <v>285</v>
      </c>
      <c r="AR55" s="9">
        <v>35</v>
      </c>
      <c r="AT55" s="9">
        <v>27</v>
      </c>
      <c r="AV55" s="9">
        <v>12.3</v>
      </c>
      <c r="AW55" s="9">
        <v>0.45</v>
      </c>
      <c r="AX55" s="9">
        <v>375</v>
      </c>
      <c r="AY55" s="9">
        <v>2000</v>
      </c>
      <c r="AZ55" s="9" t="s">
        <v>352</v>
      </c>
      <c r="BA55" s="9" t="s">
        <v>102</v>
      </c>
      <c r="BB55" s="9" t="s">
        <v>101</v>
      </c>
      <c r="BC55" s="9" t="s">
        <v>101</v>
      </c>
      <c r="BD55" s="9" t="s">
        <v>102</v>
      </c>
      <c r="BE55" s="9" t="s">
        <v>101</v>
      </c>
      <c r="BF55" s="9" t="s">
        <v>118</v>
      </c>
      <c r="BG55" s="9" t="s">
        <v>104</v>
      </c>
      <c r="BH55" s="9" t="s">
        <v>105</v>
      </c>
      <c r="BI55" s="9">
        <v>10</v>
      </c>
      <c r="BJ55" s="9">
        <v>1</v>
      </c>
      <c r="BK55" s="9">
        <v>2</v>
      </c>
      <c r="BL55" s="9">
        <v>10</v>
      </c>
      <c r="BM55" s="9">
        <v>4</v>
      </c>
      <c r="BN55" s="9">
        <v>13</v>
      </c>
      <c r="BO55" s="9">
        <v>10</v>
      </c>
      <c r="BP55" s="9">
        <v>10</v>
      </c>
      <c r="BQ55" s="9">
        <v>2</v>
      </c>
      <c r="BR55" s="9">
        <v>10</v>
      </c>
      <c r="BS55" s="9">
        <v>4</v>
      </c>
      <c r="BT55" s="9">
        <v>13</v>
      </c>
      <c r="BY55" s="8">
        <v>108564</v>
      </c>
      <c r="CI55" s="51">
        <v>109401</v>
      </c>
      <c r="CJ55" s="8" t="b">
        <v>0</v>
      </c>
      <c r="CT55" s="8">
        <v>123291</v>
      </c>
      <c r="CV55" s="51" t="s">
        <v>351</v>
      </c>
      <c r="CW55" s="8" t="str">
        <f t="shared" si="1"/>
        <v>DEF.GMFL.08</v>
      </c>
    </row>
    <row r="56" spans="1:101" s="8" customFormat="1" x14ac:dyDescent="0.25">
      <c r="A56" s="13">
        <v>113594</v>
      </c>
      <c r="B56" s="9">
        <v>8</v>
      </c>
      <c r="C56" s="9" t="s">
        <v>353</v>
      </c>
      <c r="D56" s="9" t="s">
        <v>94</v>
      </c>
      <c r="E56" s="9" t="s">
        <v>199</v>
      </c>
      <c r="F56" s="9"/>
      <c r="G56" s="33" t="s">
        <v>354</v>
      </c>
      <c r="H56" s="47" t="s">
        <v>328</v>
      </c>
      <c r="I56" s="9" t="str">
        <f>_xlfn.XLOOKUP(H56,'Alternative Tool Body Sheet'!A:A,'Alternative Tool Body Sheet'!C:C)</f>
        <v>8 MFL</v>
      </c>
      <c r="J56" s="9">
        <f t="shared" si="0"/>
        <v>5</v>
      </c>
      <c r="K56" s="9" t="s">
        <v>114</v>
      </c>
      <c r="L56" s="9">
        <v>8.625</v>
      </c>
      <c r="M56" s="9">
        <v>7</v>
      </c>
      <c r="P56" s="9">
        <v>7.625</v>
      </c>
      <c r="Q56" s="9" t="s">
        <v>115</v>
      </c>
      <c r="R56" s="9">
        <v>7.63</v>
      </c>
      <c r="T56" s="9">
        <v>7.25</v>
      </c>
      <c r="V56" s="9">
        <v>10</v>
      </c>
      <c r="W56" s="9">
        <v>10</v>
      </c>
      <c r="X56" s="9">
        <v>0.438</v>
      </c>
      <c r="Y56" s="9">
        <v>1</v>
      </c>
      <c r="Z56" s="9">
        <v>0.438</v>
      </c>
      <c r="AD56" s="9">
        <v>24</v>
      </c>
      <c r="AH56" s="9">
        <v>72</v>
      </c>
      <c r="AN56" s="9">
        <v>750</v>
      </c>
      <c r="AO56" s="9">
        <v>106</v>
      </c>
      <c r="AP56" s="9">
        <v>17</v>
      </c>
      <c r="AQ56" s="9">
        <v>225</v>
      </c>
      <c r="AR56" s="9">
        <v>23</v>
      </c>
      <c r="AT56" s="9">
        <v>18</v>
      </c>
      <c r="AV56" s="9">
        <v>15.6</v>
      </c>
      <c r="AW56" s="9">
        <v>1.3</v>
      </c>
      <c r="AX56" s="9">
        <v>375</v>
      </c>
      <c r="AY56" s="9">
        <v>2000</v>
      </c>
      <c r="AZ56" s="9" t="s">
        <v>355</v>
      </c>
      <c r="BA56" s="9" t="s">
        <v>102</v>
      </c>
      <c r="BB56" s="9" t="s">
        <v>102</v>
      </c>
      <c r="BC56" s="9" t="s">
        <v>102</v>
      </c>
      <c r="BD56" s="9" t="s">
        <v>102</v>
      </c>
      <c r="BE56" s="9" t="s">
        <v>102</v>
      </c>
      <c r="BF56" s="9" t="s">
        <v>251</v>
      </c>
      <c r="BG56" s="9" t="s">
        <v>104</v>
      </c>
      <c r="BH56" s="9" t="s">
        <v>105</v>
      </c>
      <c r="BI56" s="9">
        <v>9</v>
      </c>
      <c r="BJ56" s="9">
        <v>1</v>
      </c>
      <c r="BK56" s="9">
        <v>2</v>
      </c>
      <c r="BL56" s="9">
        <v>10</v>
      </c>
      <c r="BM56" s="9">
        <v>4</v>
      </c>
      <c r="BN56" s="9">
        <v>12</v>
      </c>
      <c r="BO56" s="9">
        <v>9</v>
      </c>
      <c r="BP56" s="9">
        <v>9</v>
      </c>
      <c r="BQ56" s="9">
        <v>2</v>
      </c>
      <c r="BR56" s="9">
        <v>10</v>
      </c>
      <c r="BS56" s="9">
        <v>4</v>
      </c>
      <c r="BT56" s="9">
        <v>12</v>
      </c>
      <c r="BX56" s="8" t="s">
        <v>284</v>
      </c>
      <c r="CI56" s="51"/>
      <c r="CJ56" s="8" t="b">
        <v>0</v>
      </c>
      <c r="CT56" s="8">
        <v>113594</v>
      </c>
      <c r="CV56" s="51" t="s">
        <v>328</v>
      </c>
      <c r="CW56" s="8" t="str">
        <f t="shared" si="1"/>
        <v>MFL.XYZ.08</v>
      </c>
    </row>
    <row r="57" spans="1:101" s="8" customFormat="1" x14ac:dyDescent="0.25">
      <c r="A57" s="13">
        <v>122972</v>
      </c>
      <c r="B57" s="9">
        <v>8</v>
      </c>
      <c r="C57" s="9" t="s">
        <v>356</v>
      </c>
      <c r="D57" s="9" t="s">
        <v>94</v>
      </c>
      <c r="E57" s="9" t="s">
        <v>194</v>
      </c>
      <c r="F57" s="9"/>
      <c r="G57" s="33" t="s">
        <v>357</v>
      </c>
      <c r="H57" s="47" t="s">
        <v>264</v>
      </c>
      <c r="I57" s="9" t="str">
        <f>_xlfn.XLOOKUP(H57,'Alternative Tool Body Sheet'!A:A,'Alternative Tool Body Sheet'!C:C)</f>
        <v>8 DEF</v>
      </c>
      <c r="J57" s="9">
        <f t="shared" si="0"/>
        <v>5</v>
      </c>
      <c r="K57" s="9" t="s">
        <v>172</v>
      </c>
      <c r="L57" s="9">
        <v>8.625</v>
      </c>
      <c r="M57" s="9">
        <v>6.5</v>
      </c>
      <c r="N57" s="9">
        <v>24.64</v>
      </c>
      <c r="P57" s="9">
        <v>7.625</v>
      </c>
      <c r="Q57" s="9" t="s">
        <v>99</v>
      </c>
      <c r="S57" s="9">
        <v>7.13</v>
      </c>
      <c r="U57" s="9" t="s">
        <v>99</v>
      </c>
      <c r="V57" s="9">
        <v>15</v>
      </c>
      <c r="AA57" s="9">
        <v>12</v>
      </c>
      <c r="AN57" s="9">
        <v>750</v>
      </c>
      <c r="AO57" s="9">
        <v>116.7</v>
      </c>
      <c r="AQ57" s="9">
        <v>90</v>
      </c>
      <c r="AS57" s="9">
        <v>45.87</v>
      </c>
      <c r="AX57" s="9">
        <v>375</v>
      </c>
      <c r="AY57" s="9">
        <v>2000</v>
      </c>
      <c r="AZ57" s="9" t="s">
        <v>358</v>
      </c>
      <c r="BA57" s="9" t="s">
        <v>102</v>
      </c>
      <c r="BB57" s="9" t="s">
        <v>102</v>
      </c>
      <c r="BC57" s="9" t="s">
        <v>102</v>
      </c>
      <c r="BD57" s="9" t="s">
        <v>102</v>
      </c>
      <c r="BE57" s="9" t="s">
        <v>102</v>
      </c>
      <c r="BF57" s="9" t="s">
        <v>118</v>
      </c>
      <c r="BG57" s="9" t="s">
        <v>118</v>
      </c>
      <c r="BH57" s="9" t="s">
        <v>105</v>
      </c>
      <c r="BI57" s="9">
        <v>10</v>
      </c>
      <c r="BJ57" s="9">
        <v>1</v>
      </c>
      <c r="BK57" s="9">
        <v>2</v>
      </c>
      <c r="BL57" s="9">
        <v>10</v>
      </c>
      <c r="BM57" s="9">
        <v>4</v>
      </c>
      <c r="BN57" s="9">
        <v>13</v>
      </c>
      <c r="BO57" s="9">
        <v>10</v>
      </c>
      <c r="BP57" s="9">
        <v>10</v>
      </c>
      <c r="BQ57" s="9">
        <v>2</v>
      </c>
      <c r="BR57" s="9">
        <v>10</v>
      </c>
      <c r="BS57" s="9">
        <v>4</v>
      </c>
      <c r="BT57" s="9">
        <v>13</v>
      </c>
      <c r="BY57" s="8">
        <v>108564</v>
      </c>
      <c r="CI57" s="51"/>
      <c r="CJ57" s="8" t="b">
        <v>0</v>
      </c>
      <c r="CT57" s="8">
        <v>122972</v>
      </c>
      <c r="CV57" s="51" t="s">
        <v>264</v>
      </c>
      <c r="CW57" s="8" t="str">
        <f t="shared" si="1"/>
        <v>DEF.XYZ.08</v>
      </c>
    </row>
    <row r="58" spans="1:101" s="8" customFormat="1" x14ac:dyDescent="0.25">
      <c r="A58" s="13">
        <v>129297</v>
      </c>
      <c r="B58" s="9">
        <v>8</v>
      </c>
      <c r="C58" s="9" t="s">
        <v>359</v>
      </c>
      <c r="D58" s="9" t="s">
        <v>121</v>
      </c>
      <c r="E58" s="9" t="s">
        <v>152</v>
      </c>
      <c r="F58" s="9"/>
      <c r="G58" s="33" t="s">
        <v>360</v>
      </c>
      <c r="H58" s="47" t="s">
        <v>361</v>
      </c>
      <c r="I58" s="9" t="str">
        <f>_xlfn.XLOOKUP(H58,'Alternative Tool Body Sheet'!A:A,'Alternative Tool Body Sheet'!C:C)</f>
        <v>8 MDS V1</v>
      </c>
      <c r="J58" s="9">
        <f t="shared" si="0"/>
        <v>7</v>
      </c>
      <c r="K58" s="9" t="s">
        <v>114</v>
      </c>
      <c r="L58" s="9">
        <v>8.625</v>
      </c>
      <c r="M58" s="9">
        <v>7.15</v>
      </c>
      <c r="P58" s="9">
        <v>7.625</v>
      </c>
      <c r="Q58" s="9" t="s">
        <v>115</v>
      </c>
      <c r="R58" s="9">
        <v>7.63</v>
      </c>
      <c r="U58" s="9" t="s">
        <v>99</v>
      </c>
      <c r="V58" s="9">
        <v>10</v>
      </c>
      <c r="W58" s="9">
        <v>10</v>
      </c>
      <c r="X58" s="9">
        <v>0.4</v>
      </c>
      <c r="Y58" s="9">
        <v>1</v>
      </c>
      <c r="Z58" s="9">
        <v>0.41199999999999998</v>
      </c>
      <c r="AA58" s="9">
        <v>36</v>
      </c>
      <c r="AB58" s="9">
        <v>72</v>
      </c>
      <c r="AD58" s="9">
        <v>36</v>
      </c>
      <c r="AN58" s="9">
        <v>750</v>
      </c>
      <c r="AO58" s="9">
        <v>109</v>
      </c>
      <c r="AQ58" s="9">
        <v>291</v>
      </c>
      <c r="AT58" s="9">
        <v>43</v>
      </c>
      <c r="AX58" s="9">
        <v>375</v>
      </c>
      <c r="AY58" s="9">
        <v>2000</v>
      </c>
      <c r="AZ58" s="9" t="s">
        <v>362</v>
      </c>
      <c r="BA58" s="9" t="s">
        <v>102</v>
      </c>
      <c r="BB58" s="9" t="s">
        <v>101</v>
      </c>
      <c r="BC58" s="9" t="s">
        <v>101</v>
      </c>
      <c r="BD58" s="9" t="s">
        <v>101</v>
      </c>
      <c r="BE58" s="9" t="s">
        <v>102</v>
      </c>
      <c r="BF58" s="9" t="s">
        <v>118</v>
      </c>
      <c r="BG58" s="9" t="s">
        <v>118</v>
      </c>
      <c r="BH58" s="9" t="s">
        <v>105</v>
      </c>
      <c r="BI58" s="9">
        <v>10</v>
      </c>
      <c r="BJ58" s="9">
        <v>1</v>
      </c>
      <c r="BK58" s="9">
        <v>2</v>
      </c>
      <c r="BL58" s="9">
        <v>10</v>
      </c>
      <c r="BM58" s="9">
        <v>4</v>
      </c>
      <c r="BN58" s="9">
        <v>13</v>
      </c>
      <c r="BO58" s="9">
        <v>10</v>
      </c>
      <c r="BP58" s="9">
        <v>10</v>
      </c>
      <c r="BQ58" s="9">
        <v>2</v>
      </c>
      <c r="BR58" s="9">
        <v>10</v>
      </c>
      <c r="BS58" s="9">
        <v>4</v>
      </c>
      <c r="BT58" s="9">
        <v>13</v>
      </c>
      <c r="BX58" s="8">
        <v>114560</v>
      </c>
      <c r="BY58" s="8">
        <v>110255</v>
      </c>
      <c r="CD58" s="8">
        <v>122013</v>
      </c>
      <c r="CI58" s="51"/>
      <c r="CJ58" s="8" t="b">
        <v>0</v>
      </c>
      <c r="CT58" s="8">
        <v>129297</v>
      </c>
      <c r="CV58" s="51" t="s">
        <v>361</v>
      </c>
      <c r="CW58" s="8" t="str">
        <f t="shared" si="1"/>
        <v>FLEX.DEFMFLXYZ.V1.08</v>
      </c>
    </row>
    <row r="59" spans="1:101" s="8" customFormat="1" x14ac:dyDescent="0.25">
      <c r="A59" s="13">
        <v>104863</v>
      </c>
      <c r="B59" s="9">
        <v>8</v>
      </c>
      <c r="C59" s="9" t="s">
        <v>363</v>
      </c>
      <c r="D59" s="9" t="s">
        <v>94</v>
      </c>
      <c r="E59" s="9" t="s">
        <v>95</v>
      </c>
      <c r="F59" s="9"/>
      <c r="G59" s="33" t="s">
        <v>364</v>
      </c>
      <c r="H59" s="47" t="s">
        <v>249</v>
      </c>
      <c r="I59" s="9" t="str">
        <f>_xlfn.XLOOKUP(H59,'Alternative Tool Body Sheet'!A:A,'Alternative Tool Body Sheet'!C:C)</f>
        <v>8 DEF</v>
      </c>
      <c r="J59" s="9">
        <f t="shared" si="0"/>
        <v>5</v>
      </c>
      <c r="K59" s="9" t="s">
        <v>98</v>
      </c>
      <c r="L59" s="9">
        <v>8.625</v>
      </c>
      <c r="M59" s="9">
        <v>6</v>
      </c>
      <c r="N59" s="9">
        <v>30.43</v>
      </c>
      <c r="P59" s="9">
        <v>7.625</v>
      </c>
      <c r="Q59" s="9" t="s">
        <v>115</v>
      </c>
      <c r="R59" s="9">
        <v>7.13</v>
      </c>
      <c r="T59" s="9">
        <v>6</v>
      </c>
      <c r="U59" s="9" t="s">
        <v>116</v>
      </c>
      <c r="V59" s="9">
        <v>15</v>
      </c>
      <c r="AA59" s="9">
        <v>19</v>
      </c>
      <c r="AN59" s="9">
        <v>750</v>
      </c>
      <c r="AO59" s="9">
        <v>62</v>
      </c>
      <c r="AP59" s="9">
        <v>19</v>
      </c>
      <c r="AQ59" s="9">
        <v>61</v>
      </c>
      <c r="AR59" s="9">
        <v>25</v>
      </c>
      <c r="AT59" s="9">
        <v>56</v>
      </c>
      <c r="AV59" s="9">
        <v>3.22</v>
      </c>
      <c r="AW59" s="9">
        <v>0.27</v>
      </c>
      <c r="AX59" s="9">
        <v>375</v>
      </c>
      <c r="AY59" s="9">
        <v>2000</v>
      </c>
      <c r="AZ59" s="9" t="s">
        <v>365</v>
      </c>
      <c r="BA59" s="9" t="s">
        <v>102</v>
      </c>
      <c r="BB59" s="9" t="s">
        <v>101</v>
      </c>
      <c r="BC59" s="9" t="s">
        <v>101</v>
      </c>
      <c r="BD59" s="9" t="s">
        <v>102</v>
      </c>
      <c r="BE59" s="9" t="s">
        <v>102</v>
      </c>
      <c r="BF59" s="9" t="s">
        <v>118</v>
      </c>
      <c r="BG59" s="9" t="s">
        <v>162</v>
      </c>
      <c r="BH59" s="9" t="s">
        <v>105</v>
      </c>
      <c r="BI59" s="9">
        <v>6</v>
      </c>
      <c r="BJ59" s="9">
        <v>1</v>
      </c>
      <c r="BK59" s="9">
        <v>2</v>
      </c>
      <c r="BL59" s="9">
        <v>10</v>
      </c>
      <c r="BM59" s="9">
        <v>4</v>
      </c>
      <c r="BN59" s="9">
        <v>8</v>
      </c>
      <c r="BO59" s="9">
        <v>6</v>
      </c>
      <c r="BP59" s="9">
        <v>6</v>
      </c>
      <c r="BQ59" s="9">
        <v>2</v>
      </c>
      <c r="BR59" s="9">
        <v>10</v>
      </c>
      <c r="BS59" s="9">
        <v>4</v>
      </c>
      <c r="BT59" s="9">
        <v>8</v>
      </c>
      <c r="BY59" s="8">
        <v>108564</v>
      </c>
      <c r="CI59" s="51"/>
      <c r="CJ59" s="8" t="b">
        <v>0</v>
      </c>
      <c r="CT59" s="8">
        <v>104863</v>
      </c>
      <c r="CV59" s="51" t="s">
        <v>249</v>
      </c>
      <c r="CW59" s="8" t="str">
        <f t="shared" si="1"/>
        <v>DEF.08</v>
      </c>
    </row>
    <row r="60" spans="1:101" s="8" customFormat="1" x14ac:dyDescent="0.25">
      <c r="A60" s="13">
        <v>129296</v>
      </c>
      <c r="B60" s="9">
        <v>8</v>
      </c>
      <c r="C60" s="9" t="s">
        <v>366</v>
      </c>
      <c r="D60" s="9" t="s">
        <v>121</v>
      </c>
      <c r="E60" s="9" t="s">
        <v>122</v>
      </c>
      <c r="F60" s="9"/>
      <c r="G60" s="33" t="s">
        <v>367</v>
      </c>
      <c r="H60" s="47" t="s">
        <v>368</v>
      </c>
      <c r="I60" s="9" t="str">
        <f>_xlfn.XLOOKUP(H60,'Alternative Tool Body Sheet'!A:A,'Alternative Tool Body Sheet'!C:C)</f>
        <v>8 MDS V1</v>
      </c>
      <c r="J60" s="9">
        <f t="shared" si="0"/>
        <v>7</v>
      </c>
      <c r="K60" s="9" t="s">
        <v>114</v>
      </c>
      <c r="L60" s="9">
        <v>8.625</v>
      </c>
      <c r="M60" s="9">
        <v>7.15</v>
      </c>
      <c r="Q60" s="9" t="s">
        <v>115</v>
      </c>
      <c r="R60" s="9">
        <v>7.63</v>
      </c>
      <c r="U60" s="9" t="s">
        <v>99</v>
      </c>
      <c r="V60" s="9">
        <v>10</v>
      </c>
      <c r="W60" s="9">
        <v>10</v>
      </c>
      <c r="X60" s="9">
        <v>0.4</v>
      </c>
      <c r="Y60" s="9">
        <v>1</v>
      </c>
      <c r="Z60" s="9">
        <v>0.41199999999999998</v>
      </c>
      <c r="AA60" s="9">
        <v>36</v>
      </c>
      <c r="AB60" s="9">
        <v>72</v>
      </c>
      <c r="AD60" s="9">
        <v>36</v>
      </c>
      <c r="AN60" s="9">
        <v>750</v>
      </c>
      <c r="AO60" s="9">
        <v>72</v>
      </c>
      <c r="AQ60" s="9">
        <v>208</v>
      </c>
      <c r="AT60" s="9">
        <v>67</v>
      </c>
      <c r="AX60" s="9">
        <v>375</v>
      </c>
      <c r="AY60" s="9">
        <v>2000</v>
      </c>
      <c r="AZ60" s="9" t="s">
        <v>369</v>
      </c>
      <c r="BA60" s="9" t="s">
        <v>102</v>
      </c>
      <c r="BB60" s="9" t="s">
        <v>101</v>
      </c>
      <c r="BC60" s="9" t="s">
        <v>101</v>
      </c>
      <c r="BD60" s="9" t="s">
        <v>101</v>
      </c>
      <c r="BE60" s="9" t="s">
        <v>102</v>
      </c>
      <c r="BF60" s="9" t="s">
        <v>118</v>
      </c>
      <c r="BG60" s="9" t="s">
        <v>118</v>
      </c>
      <c r="BH60" s="9" t="s">
        <v>105</v>
      </c>
      <c r="BI60" s="9">
        <v>6</v>
      </c>
      <c r="BJ60" s="9">
        <v>1</v>
      </c>
      <c r="BK60" s="9">
        <v>2</v>
      </c>
      <c r="BL60" s="9">
        <v>10</v>
      </c>
      <c r="BM60" s="9">
        <v>4</v>
      </c>
      <c r="BN60" s="9">
        <v>8</v>
      </c>
      <c r="BO60" s="9">
        <v>6</v>
      </c>
      <c r="BP60" s="9">
        <v>6</v>
      </c>
      <c r="BQ60" s="9">
        <v>2</v>
      </c>
      <c r="BR60" s="9">
        <v>10</v>
      </c>
      <c r="BS60" s="9">
        <v>4</v>
      </c>
      <c r="BT60" s="9">
        <v>8</v>
      </c>
      <c r="BX60" s="8">
        <v>114560</v>
      </c>
      <c r="BY60" s="8">
        <v>110255</v>
      </c>
      <c r="CI60" s="51"/>
      <c r="CJ60" s="8" t="b">
        <v>0</v>
      </c>
      <c r="CT60" s="8">
        <v>129296</v>
      </c>
      <c r="CV60" s="51" t="s">
        <v>368</v>
      </c>
      <c r="CW60" s="8" t="str">
        <f t="shared" si="1"/>
        <v>FLEX.DEF.MFL.V1.08</v>
      </c>
    </row>
    <row r="61" spans="1:101" s="8" customFormat="1" x14ac:dyDescent="0.25">
      <c r="A61" s="21">
        <v>122500</v>
      </c>
      <c r="B61" s="10">
        <v>8</v>
      </c>
      <c r="C61" s="10" t="s">
        <v>370</v>
      </c>
      <c r="D61" s="9" t="s">
        <v>121</v>
      </c>
      <c r="E61" s="10" t="s">
        <v>331</v>
      </c>
      <c r="F61" s="10"/>
      <c r="G61" s="34" t="s">
        <v>371</v>
      </c>
      <c r="H61" s="48" t="s">
        <v>372</v>
      </c>
      <c r="I61" s="9" t="str">
        <f>_xlfn.XLOOKUP(H61,'Alternative Tool Body Sheet'!A:A,'Alternative Tool Body Sheet'!C:C)</f>
        <v>8 MDS V2</v>
      </c>
      <c r="J61" s="10">
        <f t="shared" si="0"/>
        <v>7</v>
      </c>
      <c r="K61" s="10" t="s">
        <v>114</v>
      </c>
      <c r="L61" s="10">
        <v>8.625</v>
      </c>
      <c r="M61" s="10">
        <v>7.15</v>
      </c>
      <c r="N61" s="10">
        <v>17.100000000000001</v>
      </c>
      <c r="O61" s="10"/>
      <c r="P61" s="10">
        <v>7.625</v>
      </c>
      <c r="Q61" s="10" t="s">
        <v>115</v>
      </c>
      <c r="R61" s="10">
        <v>7.63</v>
      </c>
      <c r="S61" s="10"/>
      <c r="T61" s="10"/>
      <c r="U61" s="10" t="s">
        <v>99</v>
      </c>
      <c r="V61" s="10">
        <v>10</v>
      </c>
      <c r="W61" s="10">
        <v>10</v>
      </c>
      <c r="X61" s="10">
        <v>0.4</v>
      </c>
      <c r="Y61" s="10">
        <v>1</v>
      </c>
      <c r="Z61" s="10">
        <v>0.41199999999999998</v>
      </c>
      <c r="AA61" s="10">
        <v>36</v>
      </c>
      <c r="AB61" s="10"/>
      <c r="AC61" s="10"/>
      <c r="AD61" s="10">
        <v>36</v>
      </c>
      <c r="AE61" s="10"/>
      <c r="AF61" s="10">
        <v>72</v>
      </c>
      <c r="AG61" s="10"/>
      <c r="AH61" s="10">
        <v>72</v>
      </c>
      <c r="AI61" s="10"/>
      <c r="AJ61" s="10">
        <v>200</v>
      </c>
      <c r="AK61" s="10"/>
      <c r="AL61" s="10"/>
      <c r="AM61" s="10"/>
      <c r="AN61" s="10">
        <v>750</v>
      </c>
      <c r="AO61" s="10">
        <v>143</v>
      </c>
      <c r="AP61" s="10"/>
      <c r="AQ61" s="10">
        <v>475</v>
      </c>
      <c r="AR61" s="10"/>
      <c r="AS61" s="10"/>
      <c r="AT61" s="10">
        <v>19</v>
      </c>
      <c r="AU61" s="10"/>
      <c r="AV61" s="10"/>
      <c r="AW61" s="10"/>
      <c r="AX61" s="10">
        <v>375</v>
      </c>
      <c r="AY61" s="10">
        <v>2000</v>
      </c>
      <c r="AZ61" s="10" t="s">
        <v>373</v>
      </c>
      <c r="BA61" s="10" t="s">
        <v>102</v>
      </c>
      <c r="BB61" s="10" t="s">
        <v>101</v>
      </c>
      <c r="BC61" s="10" t="s">
        <v>101</v>
      </c>
      <c r="BD61" s="10" t="s">
        <v>102</v>
      </c>
      <c r="BE61" s="10" t="s">
        <v>101</v>
      </c>
      <c r="BF61" s="10" t="s">
        <v>118</v>
      </c>
      <c r="BG61" s="10" t="s">
        <v>118</v>
      </c>
      <c r="BH61" s="10" t="s">
        <v>105</v>
      </c>
      <c r="BI61" s="10">
        <v>12</v>
      </c>
      <c r="BJ61" s="10">
        <v>1</v>
      </c>
      <c r="BK61" s="10">
        <v>2</v>
      </c>
      <c r="BL61" s="10">
        <v>10</v>
      </c>
      <c r="BM61" s="10">
        <v>4</v>
      </c>
      <c r="BN61" s="10">
        <v>15</v>
      </c>
      <c r="BO61" s="10">
        <v>12</v>
      </c>
      <c r="BP61" s="10">
        <v>12</v>
      </c>
      <c r="BQ61" s="10">
        <v>2</v>
      </c>
      <c r="BR61" s="10">
        <v>10</v>
      </c>
      <c r="BS61" s="10">
        <v>4</v>
      </c>
      <c r="BT61" s="10">
        <v>15</v>
      </c>
      <c r="BX61" s="8">
        <v>121003</v>
      </c>
      <c r="BY61" s="8">
        <v>120927</v>
      </c>
      <c r="CD61" s="8">
        <v>121111</v>
      </c>
      <c r="CI61" s="51"/>
      <c r="CJ61" s="8" t="b">
        <v>1</v>
      </c>
      <c r="CT61" s="8">
        <v>122500</v>
      </c>
      <c r="CV61" s="51" t="s">
        <v>372</v>
      </c>
      <c r="CW61" s="8" t="str">
        <f t="shared" si="1"/>
        <v>DEF.LFM.MFL.SMFL.XYZ.08</v>
      </c>
    </row>
    <row r="62" spans="1:101" s="8" customFormat="1" x14ac:dyDescent="0.25">
      <c r="A62" s="13">
        <v>113623</v>
      </c>
      <c r="B62" s="9">
        <v>8</v>
      </c>
      <c r="C62" s="9" t="s">
        <v>374</v>
      </c>
      <c r="D62" s="9" t="s">
        <v>94</v>
      </c>
      <c r="E62" s="9" t="s">
        <v>212</v>
      </c>
      <c r="F62" s="9"/>
      <c r="G62" s="33" t="s">
        <v>375</v>
      </c>
      <c r="H62" s="47" t="s">
        <v>376</v>
      </c>
      <c r="I62" s="9" t="s">
        <v>377</v>
      </c>
      <c r="J62" s="9">
        <f t="shared" si="0"/>
        <v>5</v>
      </c>
      <c r="K62" s="9" t="s">
        <v>114</v>
      </c>
      <c r="L62" s="9">
        <v>8.625</v>
      </c>
      <c r="M62" s="9">
        <v>7.15</v>
      </c>
      <c r="N62" s="9">
        <v>17.100000000000001</v>
      </c>
      <c r="P62" s="9">
        <v>7.625</v>
      </c>
      <c r="Q62" s="9" t="s">
        <v>115</v>
      </c>
      <c r="R62" s="9">
        <v>7.625</v>
      </c>
      <c r="T62" s="9">
        <v>7.38</v>
      </c>
      <c r="U62" s="9" t="s">
        <v>99</v>
      </c>
      <c r="V62" s="9">
        <v>10</v>
      </c>
      <c r="W62" s="9">
        <v>10</v>
      </c>
      <c r="X62" s="9">
        <v>0.438</v>
      </c>
      <c r="Y62" s="9">
        <v>1</v>
      </c>
      <c r="Z62" s="9">
        <v>0.438</v>
      </c>
      <c r="AA62" s="9">
        <v>25</v>
      </c>
      <c r="AD62" s="9">
        <v>24</v>
      </c>
      <c r="AH62" s="9">
        <v>72</v>
      </c>
      <c r="AN62" s="9">
        <v>750</v>
      </c>
      <c r="AO62" s="9">
        <v>138</v>
      </c>
      <c r="AP62" s="9">
        <v>17</v>
      </c>
      <c r="AQ62" s="9">
        <v>351</v>
      </c>
      <c r="AR62" s="9">
        <v>35</v>
      </c>
      <c r="AT62" s="9">
        <v>21</v>
      </c>
      <c r="AV62" s="9">
        <v>24.3</v>
      </c>
      <c r="AW62" s="9">
        <v>2.0299999999999998</v>
      </c>
      <c r="AX62" s="9">
        <v>250</v>
      </c>
      <c r="AY62" s="9">
        <v>2000</v>
      </c>
      <c r="AZ62" s="9" t="s">
        <v>378</v>
      </c>
      <c r="BA62" s="9" t="s">
        <v>102</v>
      </c>
      <c r="BB62" s="9" t="s">
        <v>101</v>
      </c>
      <c r="BC62" s="9" t="s">
        <v>101</v>
      </c>
      <c r="BD62" s="9" t="s">
        <v>102</v>
      </c>
      <c r="BE62" s="9" t="s">
        <v>102</v>
      </c>
      <c r="BF62" s="9" t="s">
        <v>251</v>
      </c>
      <c r="BG62" s="9" t="s">
        <v>104</v>
      </c>
      <c r="BH62" s="9" t="s">
        <v>105</v>
      </c>
      <c r="BI62" s="9">
        <v>12</v>
      </c>
      <c r="BJ62" s="9">
        <v>1</v>
      </c>
      <c r="BK62" s="9">
        <v>2</v>
      </c>
      <c r="BL62" s="9">
        <v>10</v>
      </c>
      <c r="BM62" s="9">
        <v>4</v>
      </c>
      <c r="BN62" s="9">
        <v>15</v>
      </c>
      <c r="BO62" s="9">
        <v>12</v>
      </c>
      <c r="BP62" s="9">
        <v>12</v>
      </c>
      <c r="BQ62" s="9">
        <v>2</v>
      </c>
      <c r="BR62" s="9">
        <v>10</v>
      </c>
      <c r="BS62" s="9">
        <v>4</v>
      </c>
      <c r="BT62" s="9">
        <v>15</v>
      </c>
      <c r="BX62" s="8" t="s">
        <v>284</v>
      </c>
      <c r="BY62" s="8">
        <v>108564</v>
      </c>
      <c r="CI62" s="51"/>
      <c r="CJ62" s="8" t="b">
        <v>0</v>
      </c>
      <c r="CT62" s="8">
        <v>113623</v>
      </c>
      <c r="CV62" s="51" t="s">
        <v>376</v>
      </c>
      <c r="CW62" s="8" t="str">
        <f t="shared" si="1"/>
        <v>DEF.MFL.XYZ.08</v>
      </c>
    </row>
    <row r="63" spans="1:101" s="8" customFormat="1" x14ac:dyDescent="0.25">
      <c r="A63" s="21">
        <v>129313</v>
      </c>
      <c r="B63" s="10">
        <v>8</v>
      </c>
      <c r="C63" s="10" t="s">
        <v>379</v>
      </c>
      <c r="D63" s="9" t="s">
        <v>121</v>
      </c>
      <c r="E63" s="10" t="s">
        <v>152</v>
      </c>
      <c r="F63" s="10"/>
      <c r="G63" s="34" t="s">
        <v>380</v>
      </c>
      <c r="H63" s="48" t="s">
        <v>381</v>
      </c>
      <c r="I63" s="9" t="str">
        <f>_xlfn.XLOOKUP(H63,'Alternative Tool Body Sheet'!A:A,'Alternative Tool Body Sheet'!C:C)</f>
        <v>8 MDS V2</v>
      </c>
      <c r="J63" s="10">
        <f t="shared" si="0"/>
        <v>7</v>
      </c>
      <c r="K63" s="10" t="s">
        <v>114</v>
      </c>
      <c r="L63" s="10">
        <v>8.625</v>
      </c>
      <c r="M63" s="10">
        <v>7.0449999999999999</v>
      </c>
      <c r="N63" s="10"/>
      <c r="O63" s="10"/>
      <c r="P63" s="10"/>
      <c r="Q63" s="10" t="s">
        <v>115</v>
      </c>
      <c r="R63" s="10">
        <v>7.63</v>
      </c>
      <c r="S63" s="10"/>
      <c r="T63" s="10"/>
      <c r="U63" s="10" t="s">
        <v>99</v>
      </c>
      <c r="V63" s="10">
        <v>10</v>
      </c>
      <c r="W63" s="10">
        <v>10</v>
      </c>
      <c r="X63" s="10">
        <v>0.4</v>
      </c>
      <c r="Y63" s="10">
        <v>1</v>
      </c>
      <c r="Z63" s="10">
        <v>0.41199999999999998</v>
      </c>
      <c r="AA63" s="10">
        <v>36</v>
      </c>
      <c r="AB63" s="10">
        <v>72</v>
      </c>
      <c r="AC63" s="10"/>
      <c r="AD63" s="10">
        <v>36</v>
      </c>
      <c r="AE63" s="10"/>
      <c r="AF63" s="10"/>
      <c r="AG63" s="10"/>
      <c r="AH63" s="10"/>
      <c r="AI63" s="10"/>
      <c r="AJ63" s="10"/>
      <c r="AK63" s="10"/>
      <c r="AL63" s="10"/>
      <c r="AM63" s="10"/>
      <c r="AN63" s="10">
        <v>750</v>
      </c>
      <c r="AO63" s="10">
        <v>104</v>
      </c>
      <c r="AP63" s="10"/>
      <c r="AQ63" s="10">
        <v>269</v>
      </c>
      <c r="AR63" s="10"/>
      <c r="AS63" s="10"/>
      <c r="AT63" s="10">
        <v>52</v>
      </c>
      <c r="AU63" s="10"/>
      <c r="AV63" s="10"/>
      <c r="AW63" s="10"/>
      <c r="AX63" s="10">
        <v>375</v>
      </c>
      <c r="AY63" s="10">
        <v>2000</v>
      </c>
      <c r="AZ63" s="10" t="s">
        <v>382</v>
      </c>
      <c r="BA63" s="10" t="s">
        <v>102</v>
      </c>
      <c r="BB63" s="10" t="s">
        <v>101</v>
      </c>
      <c r="BC63" s="10" t="s">
        <v>101</v>
      </c>
      <c r="BD63" s="10" t="s">
        <v>102</v>
      </c>
      <c r="BE63" s="10" t="s">
        <v>101</v>
      </c>
      <c r="BF63" s="10" t="s">
        <v>118</v>
      </c>
      <c r="BG63" s="10" t="s">
        <v>118</v>
      </c>
      <c r="BH63" s="10" t="s">
        <v>105</v>
      </c>
      <c r="BI63" s="10">
        <v>9</v>
      </c>
      <c r="BJ63" s="10">
        <v>1</v>
      </c>
      <c r="BK63" s="10">
        <v>2</v>
      </c>
      <c r="BL63" s="10">
        <v>12</v>
      </c>
      <c r="BM63" s="10">
        <v>4</v>
      </c>
      <c r="BN63" s="10">
        <v>12</v>
      </c>
      <c r="BO63" s="10">
        <v>9</v>
      </c>
      <c r="BP63" s="10">
        <v>11</v>
      </c>
      <c r="BQ63" s="10">
        <v>2</v>
      </c>
      <c r="BR63" s="10">
        <v>12</v>
      </c>
      <c r="BS63" s="10">
        <v>4</v>
      </c>
      <c r="BT63" s="10">
        <v>12</v>
      </c>
      <c r="BX63" s="8">
        <v>121003</v>
      </c>
      <c r="BY63" s="8">
        <v>120927</v>
      </c>
      <c r="CD63" s="8">
        <v>121111</v>
      </c>
      <c r="CI63" s="51"/>
      <c r="CJ63" s="8" t="b">
        <v>1</v>
      </c>
      <c r="CT63" s="8">
        <v>129313</v>
      </c>
      <c r="CV63" s="51" t="s">
        <v>383</v>
      </c>
      <c r="CW63" s="8" t="str">
        <f t="shared" si="1"/>
        <v>FLEX.DEFMFLXYZ.V2.08 </v>
      </c>
    </row>
    <row r="64" spans="1:101" s="8" customFormat="1" x14ac:dyDescent="0.25">
      <c r="A64" s="23">
        <v>130605</v>
      </c>
      <c r="B64" s="11">
        <v>8</v>
      </c>
      <c r="C64" s="11" t="s">
        <v>384</v>
      </c>
      <c r="D64" s="9" t="s">
        <v>121</v>
      </c>
      <c r="E64" s="11" t="s">
        <v>145</v>
      </c>
      <c r="F64" s="11"/>
      <c r="G64" s="36" t="s">
        <v>385</v>
      </c>
      <c r="H64" s="49" t="s">
        <v>386</v>
      </c>
      <c r="I64" s="9" t="str">
        <f>_xlfn.XLOOKUP(H64,'Alternative Tool Body Sheet'!A:A,'Alternative Tool Body Sheet'!C:C)</f>
        <v>8 MDS V1</v>
      </c>
      <c r="J64" s="11">
        <f t="shared" si="0"/>
        <v>7</v>
      </c>
      <c r="K64" s="11" t="s">
        <v>114</v>
      </c>
      <c r="L64" s="11">
        <v>8.625</v>
      </c>
      <c r="M64" s="11">
        <v>7.0449999999999999</v>
      </c>
      <c r="N64" s="11"/>
      <c r="O64" s="11"/>
      <c r="P64" s="11"/>
      <c r="Q64" s="11" t="s">
        <v>115</v>
      </c>
      <c r="R64" s="11">
        <v>7.63</v>
      </c>
      <c r="S64" s="11"/>
      <c r="T64" s="11"/>
      <c r="U64" s="11" t="s">
        <v>99</v>
      </c>
      <c r="V64" s="11">
        <v>10</v>
      </c>
      <c r="W64" s="11">
        <v>10</v>
      </c>
      <c r="X64" s="11">
        <v>0.4</v>
      </c>
      <c r="Y64" s="11">
        <v>1</v>
      </c>
      <c r="Z64" s="11">
        <v>0.41199999999999998</v>
      </c>
      <c r="AA64" s="11">
        <v>36</v>
      </c>
      <c r="AB64" s="11"/>
      <c r="AC64" s="11"/>
      <c r="AD64" s="11">
        <v>36</v>
      </c>
      <c r="AE64" s="11"/>
      <c r="AF64" s="11"/>
      <c r="AG64" s="11"/>
      <c r="AH64" s="11">
        <v>148</v>
      </c>
      <c r="AI64" s="11"/>
      <c r="AJ64" s="11"/>
      <c r="AK64" s="11"/>
      <c r="AL64" s="11"/>
      <c r="AM64" s="11"/>
      <c r="AN64" s="11">
        <v>750</v>
      </c>
      <c r="AO64" s="11">
        <v>69</v>
      </c>
      <c r="AP64" s="11"/>
      <c r="AQ64" s="11">
        <v>203</v>
      </c>
      <c r="AR64" s="11"/>
      <c r="AS64" s="11"/>
      <c r="AT64" s="11">
        <v>61</v>
      </c>
      <c r="AU64" s="11"/>
      <c r="AV64" s="11"/>
      <c r="AW64" s="11"/>
      <c r="AX64" s="11">
        <v>375</v>
      </c>
      <c r="AY64" s="11">
        <v>2000</v>
      </c>
      <c r="AZ64" s="11" t="s">
        <v>387</v>
      </c>
      <c r="BA64" s="11" t="s">
        <v>102</v>
      </c>
      <c r="BB64" s="11" t="s">
        <v>101</v>
      </c>
      <c r="BC64" s="11" t="s">
        <v>101</v>
      </c>
      <c r="BD64" s="11" t="s">
        <v>101</v>
      </c>
      <c r="BE64" s="11" t="s">
        <v>102</v>
      </c>
      <c r="BF64" s="11" t="s">
        <v>118</v>
      </c>
      <c r="BG64" s="11" t="s">
        <v>118</v>
      </c>
      <c r="BH64" s="11" t="s">
        <v>105</v>
      </c>
      <c r="BI64" s="11">
        <v>6</v>
      </c>
      <c r="BJ64" s="11">
        <v>1</v>
      </c>
      <c r="BK64" s="11">
        <v>2</v>
      </c>
      <c r="BL64" s="11">
        <v>10</v>
      </c>
      <c r="BM64" s="11">
        <v>4</v>
      </c>
      <c r="BN64" s="11">
        <v>8</v>
      </c>
      <c r="BO64" s="11">
        <v>6</v>
      </c>
      <c r="BP64" s="11">
        <v>6</v>
      </c>
      <c r="BQ64" s="11">
        <v>2</v>
      </c>
      <c r="BR64" s="11">
        <v>10</v>
      </c>
      <c r="BS64" s="11">
        <v>4</v>
      </c>
      <c r="BT64" s="11">
        <v>8</v>
      </c>
      <c r="BX64" s="8">
        <v>130501</v>
      </c>
      <c r="BY64" s="8">
        <v>110255</v>
      </c>
      <c r="CI64" s="51"/>
      <c r="CJ64" s="8" t="b">
        <v>0</v>
      </c>
      <c r="CT64" s="8">
        <v>130605</v>
      </c>
      <c r="CV64" s="51" t="s">
        <v>388</v>
      </c>
      <c r="CW64" s="8" t="str">
        <f t="shared" si="1"/>
        <v>DEF.UMFL.V1.08 </v>
      </c>
    </row>
    <row r="65" spans="1:101" s="8" customFormat="1" x14ac:dyDescent="0.25">
      <c r="A65" s="23">
        <v>130603</v>
      </c>
      <c r="B65" s="11">
        <v>8</v>
      </c>
      <c r="C65" s="11" t="s">
        <v>389</v>
      </c>
      <c r="D65" s="9" t="s">
        <v>121</v>
      </c>
      <c r="E65" s="11" t="s">
        <v>390</v>
      </c>
      <c r="F65" s="11"/>
      <c r="G65" s="36" t="s">
        <v>389</v>
      </c>
      <c r="H65" s="49" t="s">
        <v>391</v>
      </c>
      <c r="I65" s="9" t="s">
        <v>289</v>
      </c>
      <c r="J65" s="11">
        <f t="shared" si="0"/>
        <v>7</v>
      </c>
      <c r="K65" s="11" t="s">
        <v>114</v>
      </c>
      <c r="L65" s="11">
        <v>8.625</v>
      </c>
      <c r="M65" s="11">
        <v>7.0449999999999999</v>
      </c>
      <c r="N65" s="11">
        <v>17.100000000000001</v>
      </c>
      <c r="O65" s="11"/>
      <c r="P65" s="11">
        <v>7.625</v>
      </c>
      <c r="Q65" s="11" t="s">
        <v>115</v>
      </c>
      <c r="R65" s="11">
        <v>7.63</v>
      </c>
      <c r="S65" s="11"/>
      <c r="T65" s="11"/>
      <c r="U65" s="11" t="s">
        <v>99</v>
      </c>
      <c r="V65" s="11">
        <v>10</v>
      </c>
      <c r="W65" s="11">
        <v>10</v>
      </c>
      <c r="X65" s="11">
        <v>0.4</v>
      </c>
      <c r="Y65" s="11">
        <v>1</v>
      </c>
      <c r="Z65" s="11">
        <v>0.41199999999999998</v>
      </c>
      <c r="AA65" s="11">
        <v>36</v>
      </c>
      <c r="AB65" s="11"/>
      <c r="AC65" s="11"/>
      <c r="AD65" s="11">
        <v>36</v>
      </c>
      <c r="AE65" s="11"/>
      <c r="AF65" s="11">
        <v>72</v>
      </c>
      <c r="AG65" s="11"/>
      <c r="AH65" s="11">
        <v>148</v>
      </c>
      <c r="AI65" s="11"/>
      <c r="AJ65" s="11"/>
      <c r="AK65" s="11"/>
      <c r="AL65" s="11"/>
      <c r="AM65" s="11"/>
      <c r="AN65" s="11">
        <v>750</v>
      </c>
      <c r="AO65" s="11">
        <v>69.5</v>
      </c>
      <c r="AP65" s="11"/>
      <c r="AQ65" s="11">
        <v>201</v>
      </c>
      <c r="AR65" s="11"/>
      <c r="AS65" s="11"/>
      <c r="AT65" s="11">
        <v>54</v>
      </c>
      <c r="AU65" s="11"/>
      <c r="AV65" s="11"/>
      <c r="AW65" s="11"/>
      <c r="AX65" s="11">
        <v>375</v>
      </c>
      <c r="AY65" s="11">
        <v>2000</v>
      </c>
      <c r="AZ65" s="11" t="s">
        <v>392</v>
      </c>
      <c r="BA65" s="11" t="s">
        <v>102</v>
      </c>
      <c r="BB65" s="11" t="s">
        <v>101</v>
      </c>
      <c r="BC65" s="11" t="s">
        <v>101</v>
      </c>
      <c r="BD65" s="11" t="s">
        <v>102</v>
      </c>
      <c r="BE65" s="11" t="s">
        <v>101</v>
      </c>
      <c r="BF65" s="11" t="s">
        <v>118</v>
      </c>
      <c r="BG65" s="11" t="s">
        <v>118</v>
      </c>
      <c r="BH65" s="11" t="s">
        <v>105</v>
      </c>
      <c r="BI65" s="11">
        <v>6</v>
      </c>
      <c r="BJ65" s="11">
        <v>1</v>
      </c>
      <c r="BK65" s="11">
        <v>2</v>
      </c>
      <c r="BL65" s="11">
        <v>10</v>
      </c>
      <c r="BM65" s="11">
        <v>4</v>
      </c>
      <c r="BN65" s="11">
        <v>8</v>
      </c>
      <c r="BO65" s="11">
        <v>6</v>
      </c>
      <c r="BP65" s="11">
        <v>6</v>
      </c>
      <c r="BQ65" s="11">
        <v>2</v>
      </c>
      <c r="BR65" s="11">
        <v>10</v>
      </c>
      <c r="BS65" s="11">
        <v>4</v>
      </c>
      <c r="BT65" s="11">
        <v>8</v>
      </c>
      <c r="BX65" s="8">
        <v>130501</v>
      </c>
      <c r="BY65" s="8">
        <v>120927</v>
      </c>
      <c r="CI65" s="51"/>
      <c r="CJ65" s="8" t="b">
        <v>0</v>
      </c>
      <c r="CT65" s="8">
        <v>130603</v>
      </c>
      <c r="CV65" s="51" t="s">
        <v>393</v>
      </c>
      <c r="CW65" s="8" t="str">
        <f t="shared" si="1"/>
        <v>DEF.LFM.UMFL.V2.08 </v>
      </c>
    </row>
    <row r="66" spans="1:101" s="8" customFormat="1" x14ac:dyDescent="0.25">
      <c r="A66" s="13">
        <v>123926</v>
      </c>
      <c r="B66" s="9">
        <v>8</v>
      </c>
      <c r="C66" s="9" t="s">
        <v>394</v>
      </c>
      <c r="D66" s="9" t="s">
        <v>121</v>
      </c>
      <c r="E66" s="9" t="s">
        <v>242</v>
      </c>
      <c r="F66" s="9"/>
      <c r="G66" s="33" t="s">
        <v>395</v>
      </c>
      <c r="H66" s="47" t="s">
        <v>396</v>
      </c>
      <c r="I66" s="9" t="str">
        <f>_xlfn.XLOOKUP(H66,'Alternative Tool Body Sheet'!A:A,'Alternative Tool Body Sheet'!C:C)</f>
        <v>8 MDS V1</v>
      </c>
      <c r="J66" s="9">
        <f t="shared" ref="J66:J129" si="2">IF(ISNUMBER(SEARCH("Legacy",D66)),5,
IF(OR(ISNUMBER(SEARCH("MDS",D66)),ISNUMBER(SEARCH("EMAT",D66))),7,""))</f>
        <v>7</v>
      </c>
      <c r="K66" s="9" t="s">
        <v>114</v>
      </c>
      <c r="L66" s="9">
        <v>8.625</v>
      </c>
      <c r="M66" s="9">
        <v>7.15</v>
      </c>
      <c r="Q66" s="9" t="s">
        <v>99</v>
      </c>
      <c r="S66" s="9">
        <v>7.4</v>
      </c>
      <c r="U66" s="9" t="s">
        <v>99</v>
      </c>
      <c r="V66" s="9">
        <v>10</v>
      </c>
      <c r="W66" s="9">
        <v>10</v>
      </c>
      <c r="X66" s="9">
        <v>0.4</v>
      </c>
      <c r="Y66" s="9">
        <v>1</v>
      </c>
      <c r="Z66" s="9">
        <v>0.41199999999999998</v>
      </c>
      <c r="AA66" s="9">
        <v>36</v>
      </c>
      <c r="AD66" s="9">
        <v>36</v>
      </c>
      <c r="AH66" s="9">
        <v>72</v>
      </c>
      <c r="AI66" s="9">
        <v>72</v>
      </c>
      <c r="AJ66" s="9">
        <v>180</v>
      </c>
      <c r="AN66" s="9">
        <v>750</v>
      </c>
      <c r="AO66" s="9">
        <v>128</v>
      </c>
      <c r="AQ66" s="9">
        <v>366</v>
      </c>
      <c r="AT66" s="9">
        <v>50</v>
      </c>
      <c r="AX66" s="9">
        <v>375</v>
      </c>
      <c r="AY66" s="9">
        <v>2000</v>
      </c>
      <c r="AZ66" s="9" t="s">
        <v>397</v>
      </c>
      <c r="BA66" s="9" t="s">
        <v>102</v>
      </c>
      <c r="BB66" s="9" t="s">
        <v>102</v>
      </c>
      <c r="BC66" s="9" t="s">
        <v>102</v>
      </c>
      <c r="BD66" s="9" t="s">
        <v>102</v>
      </c>
      <c r="BE66" s="9" t="s">
        <v>102</v>
      </c>
      <c r="BF66" s="9" t="s">
        <v>118</v>
      </c>
      <c r="BG66" s="9" t="s">
        <v>118</v>
      </c>
      <c r="BH66" s="9" t="s">
        <v>105</v>
      </c>
      <c r="BI66" s="9">
        <v>11</v>
      </c>
      <c r="BJ66" s="9">
        <v>1</v>
      </c>
      <c r="BK66" s="9">
        <v>2</v>
      </c>
      <c r="BL66" s="9">
        <v>10</v>
      </c>
      <c r="BM66" s="9">
        <v>4</v>
      </c>
      <c r="BN66" s="9">
        <v>14</v>
      </c>
      <c r="BO66" s="9">
        <v>11</v>
      </c>
      <c r="BP66" s="9">
        <v>11</v>
      </c>
      <c r="BQ66" s="9">
        <v>2</v>
      </c>
      <c r="BR66" s="9">
        <v>10</v>
      </c>
      <c r="BS66" s="9">
        <v>4</v>
      </c>
      <c r="BT66" s="9">
        <v>14</v>
      </c>
      <c r="BX66" s="8">
        <v>114560</v>
      </c>
      <c r="BY66" s="8">
        <v>110255</v>
      </c>
      <c r="CD66" s="8">
        <v>122013</v>
      </c>
      <c r="CI66" s="51"/>
      <c r="CJ66" s="8" t="b">
        <v>0</v>
      </c>
      <c r="CT66" s="8">
        <v>123926</v>
      </c>
      <c r="CV66" s="51" t="s">
        <v>398</v>
      </c>
      <c r="CW66" s="8" t="str">
        <f t="shared" si="1"/>
        <v>DEF.MFL.RES.SMFL.XYZ.08 </v>
      </c>
    </row>
    <row r="67" spans="1:101" s="8" customFormat="1" x14ac:dyDescent="0.25">
      <c r="A67" s="21">
        <v>129312</v>
      </c>
      <c r="B67" s="10">
        <v>8</v>
      </c>
      <c r="C67" s="10" t="s">
        <v>399</v>
      </c>
      <c r="D67" s="9" t="s">
        <v>121</v>
      </c>
      <c r="E67" s="10" t="s">
        <v>122</v>
      </c>
      <c r="F67" s="10"/>
      <c r="G67" s="34" t="s">
        <v>400</v>
      </c>
      <c r="H67" s="48" t="s">
        <v>401</v>
      </c>
      <c r="I67" s="9" t="str">
        <f>_xlfn.XLOOKUP(H67,'Alternative Tool Body Sheet'!A:A,'Alternative Tool Body Sheet'!C:C)</f>
        <v>8 MDS V2</v>
      </c>
      <c r="J67" s="10">
        <f t="shared" si="2"/>
        <v>7</v>
      </c>
      <c r="K67" s="10" t="s">
        <v>114</v>
      </c>
      <c r="L67" s="10">
        <v>8.625</v>
      </c>
      <c r="M67" s="10">
        <v>7.0449999999999999</v>
      </c>
      <c r="N67" s="10"/>
      <c r="O67" s="10"/>
      <c r="P67" s="10"/>
      <c r="Q67" s="10" t="s">
        <v>115</v>
      </c>
      <c r="R67" s="10">
        <v>7.63</v>
      </c>
      <c r="S67" s="10"/>
      <c r="T67" s="10"/>
      <c r="U67" s="10" t="s">
        <v>99</v>
      </c>
      <c r="V67" s="10">
        <v>10</v>
      </c>
      <c r="W67" s="10">
        <v>10</v>
      </c>
      <c r="X67" s="10">
        <v>0.4</v>
      </c>
      <c r="Y67" s="10">
        <v>1</v>
      </c>
      <c r="Z67" s="10">
        <v>0.41199999999999998</v>
      </c>
      <c r="AA67" s="10">
        <v>36</v>
      </c>
      <c r="AB67" s="10">
        <v>72</v>
      </c>
      <c r="AC67" s="10"/>
      <c r="AD67" s="10">
        <v>36</v>
      </c>
      <c r="AE67" s="10"/>
      <c r="AF67" s="10"/>
      <c r="AG67" s="10"/>
      <c r="AH67" s="10"/>
      <c r="AI67" s="10"/>
      <c r="AJ67" s="10"/>
      <c r="AK67" s="10"/>
      <c r="AL67" s="10"/>
      <c r="AM67" s="10"/>
      <c r="AN67" s="10">
        <v>750</v>
      </c>
      <c r="AO67" s="10">
        <v>69</v>
      </c>
      <c r="AP67" s="10"/>
      <c r="AQ67" s="10">
        <v>203</v>
      </c>
      <c r="AR67" s="10"/>
      <c r="AS67" s="10"/>
      <c r="AT67" s="10">
        <v>67</v>
      </c>
      <c r="AU67" s="10"/>
      <c r="AV67" s="10"/>
      <c r="AW67" s="10"/>
      <c r="AX67" s="10">
        <v>375</v>
      </c>
      <c r="AY67" s="10">
        <v>2000</v>
      </c>
      <c r="AZ67" s="10" t="s">
        <v>402</v>
      </c>
      <c r="BA67" s="10" t="s">
        <v>102</v>
      </c>
      <c r="BB67" s="10" t="s">
        <v>101</v>
      </c>
      <c r="BC67" s="10" t="s">
        <v>101</v>
      </c>
      <c r="BD67" s="10" t="s">
        <v>101</v>
      </c>
      <c r="BE67" s="10" t="s">
        <v>102</v>
      </c>
      <c r="BF67" s="10" t="s">
        <v>118</v>
      </c>
      <c r="BG67" s="10" t="s">
        <v>118</v>
      </c>
      <c r="BH67" s="10" t="s">
        <v>105</v>
      </c>
      <c r="BI67" s="10">
        <v>6</v>
      </c>
      <c r="BJ67" s="10">
        <v>1</v>
      </c>
      <c r="BK67" s="10">
        <v>2</v>
      </c>
      <c r="BL67" s="10">
        <v>10</v>
      </c>
      <c r="BM67" s="10">
        <v>4</v>
      </c>
      <c r="BN67" s="10">
        <v>8</v>
      </c>
      <c r="BO67" s="10">
        <v>6</v>
      </c>
      <c r="BP67" s="10">
        <v>6</v>
      </c>
      <c r="BQ67" s="10">
        <v>2</v>
      </c>
      <c r="BR67" s="10">
        <v>10</v>
      </c>
      <c r="BS67" s="10">
        <v>4</v>
      </c>
      <c r="BT67" s="10">
        <v>8</v>
      </c>
      <c r="BX67" s="8">
        <v>121003</v>
      </c>
      <c r="BY67" s="8">
        <v>120927</v>
      </c>
      <c r="CI67" s="51"/>
      <c r="CJ67" s="8" t="b">
        <v>1</v>
      </c>
      <c r="CT67" s="8">
        <v>129312</v>
      </c>
      <c r="CV67" s="51" t="s">
        <v>403</v>
      </c>
      <c r="CW67" s="8" t="str">
        <f t="shared" ref="CW67:CW130" si="3">TRIM(CV67)</f>
        <v>FLEX.DEF.MFL.V2.08 </v>
      </c>
    </row>
    <row r="68" spans="1:101" s="8" customFormat="1" x14ac:dyDescent="0.25">
      <c r="A68" s="13" t="s">
        <v>404</v>
      </c>
      <c r="B68" s="9">
        <v>8</v>
      </c>
      <c r="C68" s="9" t="s">
        <v>363</v>
      </c>
      <c r="D68" s="9" t="s">
        <v>94</v>
      </c>
      <c r="E68" s="9" t="s">
        <v>164</v>
      </c>
      <c r="F68" s="9"/>
      <c r="G68" s="33" t="s">
        <v>405</v>
      </c>
      <c r="H68" s="47" t="s">
        <v>406</v>
      </c>
      <c r="I68" s="9" t="str">
        <f>_xlfn.XLOOKUP(H68,'Alternative Tool Body Sheet'!A:A,'Alternative Tool Body Sheet'!C:C)</f>
        <v>8/10 LGT</v>
      </c>
      <c r="J68" s="9">
        <f t="shared" si="2"/>
        <v>5</v>
      </c>
      <c r="K68" s="9" t="s">
        <v>98</v>
      </c>
      <c r="L68" s="9">
        <v>8.625</v>
      </c>
      <c r="M68" s="9">
        <v>6</v>
      </c>
      <c r="N68" s="9">
        <v>30.43</v>
      </c>
      <c r="P68" s="9">
        <v>7.625</v>
      </c>
      <c r="Q68" s="9" t="s">
        <v>115</v>
      </c>
      <c r="R68" s="9">
        <v>7.13</v>
      </c>
      <c r="U68" s="9" t="s">
        <v>99</v>
      </c>
      <c r="V68" s="9">
        <v>15</v>
      </c>
      <c r="AG68" s="9">
        <v>19</v>
      </c>
      <c r="AN68" s="9">
        <v>750</v>
      </c>
      <c r="AO68" s="9">
        <v>70</v>
      </c>
      <c r="AP68" s="9">
        <v>19</v>
      </c>
      <c r="AQ68" s="9">
        <v>63</v>
      </c>
      <c r="AR68" s="9">
        <v>25</v>
      </c>
      <c r="AT68" s="9">
        <v>116</v>
      </c>
      <c r="AV68" s="9">
        <v>3.4</v>
      </c>
      <c r="AW68" s="9">
        <v>0.28000000000000003</v>
      </c>
      <c r="AX68" s="9">
        <v>375</v>
      </c>
      <c r="AY68" s="9">
        <v>2000</v>
      </c>
      <c r="AZ68" s="9" t="s">
        <v>407</v>
      </c>
      <c r="BA68" s="9" t="s">
        <v>102</v>
      </c>
      <c r="BB68" s="9" t="s">
        <v>102</v>
      </c>
      <c r="BC68" s="9" t="s">
        <v>102</v>
      </c>
      <c r="BD68" s="9" t="s">
        <v>102</v>
      </c>
      <c r="BE68" s="9" t="s">
        <v>102</v>
      </c>
      <c r="BF68" s="9" t="s">
        <v>183</v>
      </c>
      <c r="BG68" s="9" t="s">
        <v>162</v>
      </c>
      <c r="BH68" s="9" t="s">
        <v>105</v>
      </c>
      <c r="BI68" s="9">
        <v>6</v>
      </c>
      <c r="BJ68" s="9">
        <v>1</v>
      </c>
      <c r="BK68" s="9">
        <v>2</v>
      </c>
      <c r="BL68" s="9">
        <v>10</v>
      </c>
      <c r="BM68" s="9">
        <v>4</v>
      </c>
      <c r="BN68" s="9">
        <v>8</v>
      </c>
      <c r="BO68" s="9">
        <v>6</v>
      </c>
      <c r="BP68" s="9">
        <v>6</v>
      </c>
      <c r="BQ68" s="9">
        <v>2</v>
      </c>
      <c r="BR68" s="9">
        <v>10</v>
      </c>
      <c r="BS68" s="9">
        <v>4</v>
      </c>
      <c r="BT68" s="9">
        <v>8</v>
      </c>
      <c r="BY68" s="8">
        <v>112179</v>
      </c>
      <c r="CI68" s="51"/>
      <c r="CJ68" s="8" t="b">
        <v>0</v>
      </c>
      <c r="CT68" s="8" t="s">
        <v>404</v>
      </c>
      <c r="CV68" s="51" t="s">
        <v>408</v>
      </c>
      <c r="CW68" s="8" t="str">
        <f t="shared" si="3"/>
        <v>LGT.08 </v>
      </c>
    </row>
    <row r="69" spans="1:101" s="8" customFormat="1" x14ac:dyDescent="0.25">
      <c r="A69" s="21">
        <v>122502</v>
      </c>
      <c r="B69" s="10">
        <v>8</v>
      </c>
      <c r="C69" s="10" t="s">
        <v>409</v>
      </c>
      <c r="D69" s="9" t="s">
        <v>121</v>
      </c>
      <c r="E69" s="10" t="s">
        <v>410</v>
      </c>
      <c r="F69" s="10"/>
      <c r="G69" s="34" t="s">
        <v>411</v>
      </c>
      <c r="H69" s="48" t="s">
        <v>412</v>
      </c>
      <c r="I69" s="9" t="s">
        <v>289</v>
      </c>
      <c r="J69" s="10">
        <f t="shared" si="2"/>
        <v>7</v>
      </c>
      <c r="K69" s="10" t="s">
        <v>114</v>
      </c>
      <c r="L69" s="10">
        <v>8.625</v>
      </c>
      <c r="M69" s="10">
        <v>7.0449999999999999</v>
      </c>
      <c r="N69" s="10">
        <v>17.100000000000001</v>
      </c>
      <c r="O69" s="10"/>
      <c r="P69" s="10">
        <v>7.625</v>
      </c>
      <c r="Q69" s="10" t="s">
        <v>115</v>
      </c>
      <c r="R69" s="10">
        <v>7.63</v>
      </c>
      <c r="S69" s="10"/>
      <c r="T69" s="10"/>
      <c r="U69" s="10" t="s">
        <v>99</v>
      </c>
      <c r="V69" s="10">
        <v>10</v>
      </c>
      <c r="W69" s="10">
        <v>10</v>
      </c>
      <c r="X69" s="10">
        <v>0.4</v>
      </c>
      <c r="Y69" s="10">
        <v>1</v>
      </c>
      <c r="Z69" s="10">
        <v>0.41199999999999998</v>
      </c>
      <c r="AA69" s="10">
        <v>36</v>
      </c>
      <c r="AB69" s="10">
        <v>72</v>
      </c>
      <c r="AC69" s="10"/>
      <c r="AD69" s="10">
        <v>36</v>
      </c>
      <c r="AE69" s="10"/>
      <c r="AF69" s="10">
        <v>72</v>
      </c>
      <c r="AG69" s="10"/>
      <c r="AH69" s="10"/>
      <c r="AI69" s="10"/>
      <c r="AJ69" s="10"/>
      <c r="AK69" s="10"/>
      <c r="AL69" s="10"/>
      <c r="AM69" s="10"/>
      <c r="AN69" s="10">
        <v>750</v>
      </c>
      <c r="AO69" s="10">
        <v>104</v>
      </c>
      <c r="AP69" s="10"/>
      <c r="AQ69" s="10">
        <v>301</v>
      </c>
      <c r="AR69" s="10"/>
      <c r="AS69" s="10"/>
      <c r="AT69" s="10">
        <v>52</v>
      </c>
      <c r="AU69" s="10"/>
      <c r="AV69" s="10"/>
      <c r="AW69" s="10"/>
      <c r="AX69" s="10">
        <v>375</v>
      </c>
      <c r="AY69" s="10">
        <v>2000</v>
      </c>
      <c r="AZ69" s="10" t="s">
        <v>413</v>
      </c>
      <c r="BA69" s="10" t="s">
        <v>102</v>
      </c>
      <c r="BB69" s="10" t="s">
        <v>101</v>
      </c>
      <c r="BC69" s="10" t="s">
        <v>101</v>
      </c>
      <c r="BD69" s="10" t="s">
        <v>102</v>
      </c>
      <c r="BE69" s="10" t="s">
        <v>101</v>
      </c>
      <c r="BF69" s="10" t="s">
        <v>118</v>
      </c>
      <c r="BG69" s="10" t="s">
        <v>118</v>
      </c>
      <c r="BH69" s="10" t="s">
        <v>105</v>
      </c>
      <c r="BI69" s="10">
        <v>9</v>
      </c>
      <c r="BJ69" s="10">
        <v>1</v>
      </c>
      <c r="BK69" s="10">
        <v>2</v>
      </c>
      <c r="BL69" s="10">
        <v>10</v>
      </c>
      <c r="BM69" s="10">
        <v>4</v>
      </c>
      <c r="BN69" s="10">
        <v>11</v>
      </c>
      <c r="BO69" s="10">
        <v>9</v>
      </c>
      <c r="BP69" s="10">
        <v>9</v>
      </c>
      <c r="BQ69" s="10">
        <v>2</v>
      </c>
      <c r="BR69" s="10">
        <v>10</v>
      </c>
      <c r="BS69" s="10">
        <v>4</v>
      </c>
      <c r="BT69" s="10">
        <v>11</v>
      </c>
      <c r="BX69" s="8">
        <v>121003</v>
      </c>
      <c r="BY69" s="8">
        <v>120927</v>
      </c>
      <c r="CI69" s="51"/>
      <c r="CJ69" s="8" t="b">
        <v>1</v>
      </c>
      <c r="CT69" s="8">
        <v>122502</v>
      </c>
      <c r="CV69" s="51" t="s">
        <v>414</v>
      </c>
      <c r="CW69" s="8" t="str">
        <f t="shared" si="3"/>
        <v>FLEXDEFLFMMFLXYZ.08 </v>
      </c>
    </row>
    <row r="70" spans="1:101" s="8" customFormat="1" x14ac:dyDescent="0.25">
      <c r="A70" s="23">
        <v>130604</v>
      </c>
      <c r="B70" s="11">
        <v>8</v>
      </c>
      <c r="C70" s="11" t="s">
        <v>415</v>
      </c>
      <c r="D70" s="9" t="s">
        <v>121</v>
      </c>
      <c r="E70" s="11" t="s">
        <v>212</v>
      </c>
      <c r="F70" s="11"/>
      <c r="G70" s="36" t="s">
        <v>416</v>
      </c>
      <c r="H70" s="49" t="s">
        <v>417</v>
      </c>
      <c r="I70" s="9" t="str">
        <f>_xlfn.XLOOKUP(H70,'Alternative Tool Body Sheet'!A:A,'Alternative Tool Body Sheet'!C:C)</f>
        <v>8 MDS V1</v>
      </c>
      <c r="J70" s="11">
        <f t="shared" si="2"/>
        <v>7</v>
      </c>
      <c r="K70" s="11" t="s">
        <v>114</v>
      </c>
      <c r="L70" s="11">
        <v>8.625</v>
      </c>
      <c r="M70" s="11">
        <v>7.0449999999999999</v>
      </c>
      <c r="N70" s="11"/>
      <c r="O70" s="11"/>
      <c r="P70" s="11"/>
      <c r="Q70" s="11" t="s">
        <v>115</v>
      </c>
      <c r="R70" s="11">
        <v>7.63</v>
      </c>
      <c r="S70" s="11"/>
      <c r="T70" s="11"/>
      <c r="U70" s="11" t="s">
        <v>99</v>
      </c>
      <c r="V70" s="11">
        <v>10</v>
      </c>
      <c r="W70" s="11">
        <v>10</v>
      </c>
      <c r="X70" s="11">
        <v>0.4</v>
      </c>
      <c r="Y70" s="11">
        <v>1</v>
      </c>
      <c r="Z70" s="11">
        <v>0.41199999999999998</v>
      </c>
      <c r="AA70" s="11">
        <v>36</v>
      </c>
      <c r="AB70" s="11"/>
      <c r="AC70" s="11"/>
      <c r="AD70" s="11">
        <v>36</v>
      </c>
      <c r="AE70" s="11"/>
      <c r="AF70" s="11"/>
      <c r="AG70" s="11"/>
      <c r="AH70" s="11">
        <v>148</v>
      </c>
      <c r="AI70" s="11"/>
      <c r="AJ70" s="11"/>
      <c r="AK70" s="11"/>
      <c r="AL70" s="11"/>
      <c r="AM70" s="11"/>
      <c r="AN70" s="11">
        <v>750</v>
      </c>
      <c r="AO70" s="11">
        <v>104</v>
      </c>
      <c r="AP70" s="11"/>
      <c r="AQ70" s="11">
        <v>269</v>
      </c>
      <c r="AR70" s="11"/>
      <c r="AS70" s="11"/>
      <c r="AT70" s="11">
        <v>36</v>
      </c>
      <c r="AU70" s="11"/>
      <c r="AV70" s="11"/>
      <c r="AW70" s="11"/>
      <c r="AX70" s="11">
        <v>375</v>
      </c>
      <c r="AY70" s="11">
        <v>2000</v>
      </c>
      <c r="AZ70" s="11" t="s">
        <v>418</v>
      </c>
      <c r="BA70" s="11" t="s">
        <v>102</v>
      </c>
      <c r="BB70" s="11" t="s">
        <v>101</v>
      </c>
      <c r="BC70" s="11" t="s">
        <v>101</v>
      </c>
      <c r="BD70" s="11" t="s">
        <v>102</v>
      </c>
      <c r="BE70" s="11" t="s">
        <v>101</v>
      </c>
      <c r="BF70" s="11" t="s">
        <v>118</v>
      </c>
      <c r="BG70" s="11" t="s">
        <v>118</v>
      </c>
      <c r="BH70" s="11" t="s">
        <v>105</v>
      </c>
      <c r="BI70" s="11">
        <v>9</v>
      </c>
      <c r="BJ70" s="11">
        <v>1</v>
      </c>
      <c r="BK70" s="11">
        <v>2</v>
      </c>
      <c r="BL70" s="11">
        <v>10</v>
      </c>
      <c r="BM70" s="11">
        <v>4</v>
      </c>
      <c r="BN70" s="11">
        <v>12</v>
      </c>
      <c r="BO70" s="11">
        <v>9</v>
      </c>
      <c r="BP70" s="11">
        <v>9</v>
      </c>
      <c r="BQ70" s="11">
        <v>2</v>
      </c>
      <c r="BR70" s="11">
        <v>10</v>
      </c>
      <c r="BS70" s="11">
        <v>4</v>
      </c>
      <c r="BT70" s="11">
        <v>12</v>
      </c>
      <c r="BX70" s="8">
        <v>130501</v>
      </c>
      <c r="BY70" s="8">
        <v>110255</v>
      </c>
      <c r="CI70" s="51"/>
      <c r="CJ70" s="8" t="b">
        <v>0</v>
      </c>
      <c r="CT70" s="8">
        <v>130604</v>
      </c>
      <c r="CV70" s="51" t="s">
        <v>419</v>
      </c>
      <c r="CW70" s="8" t="str">
        <f t="shared" si="3"/>
        <v>DEF.UMFL.XYZ.V1.08 </v>
      </c>
    </row>
    <row r="71" spans="1:101" s="8" customFormat="1" x14ac:dyDescent="0.25">
      <c r="A71" s="13">
        <v>127126</v>
      </c>
      <c r="B71" s="9">
        <v>8</v>
      </c>
      <c r="C71" s="9" t="s">
        <v>420</v>
      </c>
      <c r="D71" s="9" t="s">
        <v>94</v>
      </c>
      <c r="E71" s="9" t="s">
        <v>421</v>
      </c>
      <c r="F71" s="9"/>
      <c r="G71" s="33" t="s">
        <v>422</v>
      </c>
      <c r="H71" s="40" t="s">
        <v>423</v>
      </c>
      <c r="I71" s="9" t="s">
        <v>424</v>
      </c>
      <c r="J71" s="9">
        <f t="shared" si="2"/>
        <v>5</v>
      </c>
      <c r="K71" s="9" t="s">
        <v>114</v>
      </c>
      <c r="L71" s="9">
        <v>8.625</v>
      </c>
      <c r="M71" s="9">
        <v>7</v>
      </c>
      <c r="Q71" s="9" t="s">
        <v>115</v>
      </c>
      <c r="R71" s="9">
        <v>7.5</v>
      </c>
      <c r="U71" s="9" t="s">
        <v>99</v>
      </c>
      <c r="V71" s="9">
        <v>10</v>
      </c>
      <c r="W71" s="9">
        <v>10</v>
      </c>
      <c r="X71" s="9">
        <v>0.47099999999999997</v>
      </c>
      <c r="Y71" s="9">
        <v>1</v>
      </c>
      <c r="Z71" s="9">
        <v>0.53</v>
      </c>
      <c r="AA71" s="9">
        <v>25</v>
      </c>
      <c r="AC71" s="9">
        <v>72</v>
      </c>
      <c r="AD71" s="9">
        <v>24</v>
      </c>
      <c r="AN71" s="9">
        <v>750</v>
      </c>
      <c r="AO71" s="9">
        <v>132</v>
      </c>
      <c r="AQ71" s="9">
        <v>285</v>
      </c>
      <c r="AS71" s="9">
        <v>17</v>
      </c>
      <c r="AX71" s="9">
        <v>375</v>
      </c>
      <c r="AY71" s="9">
        <v>2000</v>
      </c>
      <c r="AZ71" s="9" t="s">
        <v>425</v>
      </c>
      <c r="BA71" s="9" t="s">
        <v>102</v>
      </c>
      <c r="BB71" s="9" t="s">
        <v>102</v>
      </c>
      <c r="BC71" s="9" t="s">
        <v>102</v>
      </c>
      <c r="BD71" s="9" t="s">
        <v>102</v>
      </c>
      <c r="BE71" s="9" t="s">
        <v>102</v>
      </c>
      <c r="BF71" s="9" t="s">
        <v>118</v>
      </c>
      <c r="BG71" s="9" t="s">
        <v>118</v>
      </c>
      <c r="BH71" s="9" t="s">
        <v>105</v>
      </c>
      <c r="BI71" s="9">
        <v>11</v>
      </c>
      <c r="BJ71" s="9">
        <v>1</v>
      </c>
      <c r="BK71" s="9">
        <v>2</v>
      </c>
      <c r="BL71" s="9">
        <v>10</v>
      </c>
      <c r="BM71" s="9">
        <v>4</v>
      </c>
      <c r="BN71" s="9">
        <v>14</v>
      </c>
      <c r="BO71" s="9">
        <v>11</v>
      </c>
      <c r="BP71" s="9">
        <v>11</v>
      </c>
      <c r="BQ71" s="9">
        <v>2</v>
      </c>
      <c r="BR71" s="9">
        <v>10</v>
      </c>
      <c r="BS71" s="9">
        <v>4</v>
      </c>
      <c r="BT71" s="9">
        <v>14</v>
      </c>
      <c r="BY71" s="8">
        <v>108564</v>
      </c>
      <c r="CI71" s="51">
        <v>109401</v>
      </c>
      <c r="CJ71" s="8" t="b">
        <v>0</v>
      </c>
      <c r="CT71" s="8">
        <v>127126</v>
      </c>
      <c r="CV71" s="51" t="s">
        <v>426</v>
      </c>
      <c r="CW71" s="8" t="str">
        <f t="shared" si="3"/>
        <v>DEF.GMFL.XYZ.08 </v>
      </c>
    </row>
    <row r="72" spans="1:101" s="8" customFormat="1" x14ac:dyDescent="0.25">
      <c r="A72" s="24">
        <v>130598</v>
      </c>
      <c r="B72" s="12">
        <v>8</v>
      </c>
      <c r="C72" s="12" t="s">
        <v>427</v>
      </c>
      <c r="D72" s="12" t="s">
        <v>121</v>
      </c>
      <c r="E72" s="12" t="s">
        <v>145</v>
      </c>
      <c r="F72" s="12"/>
      <c r="G72" s="37" t="s">
        <v>428</v>
      </c>
      <c r="H72" s="50" t="s">
        <v>429</v>
      </c>
      <c r="I72" s="9" t="s">
        <v>289</v>
      </c>
      <c r="J72" s="12">
        <f t="shared" si="2"/>
        <v>7</v>
      </c>
      <c r="K72" s="12" t="s">
        <v>114</v>
      </c>
      <c r="L72" s="12">
        <v>8.625</v>
      </c>
      <c r="M72" s="12">
        <v>7.15</v>
      </c>
      <c r="N72" s="12"/>
      <c r="O72" s="12"/>
      <c r="P72" s="12"/>
      <c r="Q72" s="12" t="s">
        <v>99</v>
      </c>
      <c r="R72" s="12"/>
      <c r="S72" s="12">
        <v>7.4</v>
      </c>
      <c r="T72" s="12"/>
      <c r="U72" s="12" t="s">
        <v>99</v>
      </c>
      <c r="V72" s="12">
        <v>10</v>
      </c>
      <c r="W72" s="12">
        <v>10</v>
      </c>
      <c r="X72" s="12">
        <v>0.4</v>
      </c>
      <c r="Y72" s="12">
        <v>1</v>
      </c>
      <c r="Z72" s="12">
        <v>0.41199999999999998</v>
      </c>
      <c r="AA72" s="12">
        <v>36</v>
      </c>
      <c r="AB72" s="12"/>
      <c r="AC72" s="12"/>
      <c r="AD72" s="12">
        <v>36</v>
      </c>
      <c r="AE72" s="12"/>
      <c r="AF72" s="12"/>
      <c r="AG72" s="12"/>
      <c r="AH72" s="12">
        <v>148</v>
      </c>
      <c r="AI72" s="12"/>
      <c r="AJ72" s="12"/>
      <c r="AK72" s="12"/>
      <c r="AL72" s="12"/>
      <c r="AM72" s="12"/>
      <c r="AN72" s="12">
        <v>750</v>
      </c>
      <c r="AO72" s="12">
        <v>72</v>
      </c>
      <c r="AP72" s="12"/>
      <c r="AQ72" s="12">
        <v>208</v>
      </c>
      <c r="AR72" s="12"/>
      <c r="AS72" s="12"/>
      <c r="AT72" s="12">
        <v>61</v>
      </c>
      <c r="AU72" s="12"/>
      <c r="AV72" s="12"/>
      <c r="AW72" s="12"/>
      <c r="AX72" s="12">
        <v>375</v>
      </c>
      <c r="AY72" s="12">
        <v>2000</v>
      </c>
      <c r="AZ72" s="12" t="s">
        <v>430</v>
      </c>
      <c r="BA72" s="12" t="s">
        <v>102</v>
      </c>
      <c r="BB72" s="12" t="s">
        <v>101</v>
      </c>
      <c r="BC72" s="12" t="s">
        <v>101</v>
      </c>
      <c r="BD72" s="12" t="s">
        <v>102</v>
      </c>
      <c r="BE72" s="12" t="s">
        <v>101</v>
      </c>
      <c r="BF72" s="12" t="s">
        <v>118</v>
      </c>
      <c r="BG72" s="12" t="s">
        <v>118</v>
      </c>
      <c r="BH72" s="12" t="s">
        <v>105</v>
      </c>
      <c r="BI72" s="12">
        <v>6</v>
      </c>
      <c r="BJ72" s="12">
        <v>1</v>
      </c>
      <c r="BK72" s="12">
        <v>2</v>
      </c>
      <c r="BL72" s="12">
        <v>10</v>
      </c>
      <c r="BM72" s="12">
        <v>4</v>
      </c>
      <c r="BN72" s="12">
        <v>8</v>
      </c>
      <c r="BO72" s="12">
        <v>6</v>
      </c>
      <c r="BP72" s="12">
        <v>6</v>
      </c>
      <c r="BQ72" s="12">
        <v>2</v>
      </c>
      <c r="BR72" s="12">
        <v>10</v>
      </c>
      <c r="BS72" s="12">
        <v>4</v>
      </c>
      <c r="BT72" s="12">
        <v>8</v>
      </c>
      <c r="BX72" s="8">
        <v>130501</v>
      </c>
      <c r="BY72" s="8">
        <v>120927</v>
      </c>
      <c r="CI72" s="51"/>
      <c r="CJ72" s="8" t="b">
        <v>0</v>
      </c>
      <c r="CT72" s="8">
        <v>130598</v>
      </c>
      <c r="CV72" s="51" t="s">
        <v>429</v>
      </c>
      <c r="CW72" s="8" t="str">
        <f t="shared" si="3"/>
        <v>DEF.UMFL.V2.08 </v>
      </c>
    </row>
    <row r="73" spans="1:101" s="8" customFormat="1" x14ac:dyDescent="0.25">
      <c r="A73" s="13">
        <v>120640</v>
      </c>
      <c r="B73" s="9">
        <v>10</v>
      </c>
      <c r="C73" s="9" t="s">
        <v>431</v>
      </c>
      <c r="D73" s="9" t="s">
        <v>121</v>
      </c>
      <c r="E73" s="9" t="s">
        <v>242</v>
      </c>
      <c r="F73" s="9"/>
      <c r="G73" s="33" t="s">
        <v>432</v>
      </c>
      <c r="H73" s="47" t="s">
        <v>433</v>
      </c>
      <c r="I73" s="9" t="str">
        <f>_xlfn.XLOOKUP(H73,'Alternative Tool Body Sheet'!A:A,'Alternative Tool Body Sheet'!C:C)</f>
        <v>10 MDS</v>
      </c>
      <c r="J73" s="9">
        <f t="shared" si="2"/>
        <v>7</v>
      </c>
      <c r="K73" s="9" t="s">
        <v>114</v>
      </c>
      <c r="L73" s="9">
        <v>10.75</v>
      </c>
      <c r="M73" s="9">
        <v>9.1</v>
      </c>
      <c r="N73" s="9">
        <v>15.35</v>
      </c>
      <c r="P73" s="9">
        <v>9.75</v>
      </c>
      <c r="Q73" s="9" t="s">
        <v>115</v>
      </c>
      <c r="R73" s="9">
        <v>9.75</v>
      </c>
      <c r="U73" s="9" t="s">
        <v>99</v>
      </c>
      <c r="V73" s="9">
        <v>10</v>
      </c>
      <c r="W73" s="9">
        <v>10</v>
      </c>
      <c r="X73" s="9">
        <v>0.5</v>
      </c>
      <c r="Y73" s="9">
        <v>1</v>
      </c>
      <c r="Z73" s="9">
        <v>0.5</v>
      </c>
      <c r="AA73" s="9">
        <v>48</v>
      </c>
      <c r="AD73" s="9">
        <v>48</v>
      </c>
      <c r="AH73" s="9">
        <v>96</v>
      </c>
      <c r="AI73" s="9">
        <v>96</v>
      </c>
      <c r="AJ73" s="9">
        <v>240</v>
      </c>
      <c r="AN73" s="9">
        <v>750</v>
      </c>
      <c r="AO73" s="9">
        <v>148</v>
      </c>
      <c r="AP73" s="9">
        <v>21</v>
      </c>
      <c r="AQ73" s="9">
        <v>583</v>
      </c>
      <c r="AR73" s="9">
        <v>54</v>
      </c>
      <c r="AT73" s="9">
        <v>20</v>
      </c>
      <c r="AX73" s="9">
        <v>375</v>
      </c>
      <c r="AY73" s="9">
        <v>2000</v>
      </c>
      <c r="AZ73" s="9" t="s">
        <v>434</v>
      </c>
      <c r="BA73" s="9" t="s">
        <v>102</v>
      </c>
      <c r="BB73" s="9" t="s">
        <v>102</v>
      </c>
      <c r="BC73" s="9" t="s">
        <v>102</v>
      </c>
      <c r="BD73" s="9" t="s">
        <v>102</v>
      </c>
      <c r="BE73" s="9" t="s">
        <v>102</v>
      </c>
      <c r="BF73" s="9" t="s">
        <v>118</v>
      </c>
      <c r="BG73" s="9" t="s">
        <v>118</v>
      </c>
      <c r="BH73" s="9" t="s">
        <v>105</v>
      </c>
      <c r="BI73" s="9">
        <v>13</v>
      </c>
      <c r="BJ73" s="9">
        <v>1</v>
      </c>
      <c r="BK73" s="9">
        <v>2</v>
      </c>
      <c r="BL73" s="9">
        <v>12</v>
      </c>
      <c r="BM73" s="9">
        <v>4</v>
      </c>
      <c r="BN73" s="9">
        <v>18</v>
      </c>
      <c r="BO73" s="9">
        <v>13</v>
      </c>
      <c r="BP73" s="9">
        <v>13</v>
      </c>
      <c r="BQ73" s="9">
        <v>2</v>
      </c>
      <c r="BR73" s="9">
        <v>12</v>
      </c>
      <c r="BS73" s="9">
        <v>4</v>
      </c>
      <c r="BT73" s="9">
        <v>18</v>
      </c>
      <c r="BU73" s="9">
        <v>48</v>
      </c>
      <c r="BX73" s="8">
        <v>108081</v>
      </c>
      <c r="BY73" s="8">
        <v>110257</v>
      </c>
      <c r="CD73" s="8">
        <v>123689</v>
      </c>
      <c r="CI73" s="51"/>
      <c r="CJ73" s="8" t="b">
        <v>0</v>
      </c>
      <c r="CT73" s="8">
        <v>120640</v>
      </c>
      <c r="CV73" s="51" t="s">
        <v>435</v>
      </c>
      <c r="CW73" s="8" t="str">
        <f t="shared" si="3"/>
        <v>DEF.MFL.RES.SMFL.XYZ.10 </v>
      </c>
    </row>
    <row r="74" spans="1:101" s="8" customFormat="1" x14ac:dyDescent="0.25">
      <c r="A74" s="13">
        <v>106627</v>
      </c>
      <c r="B74" s="9">
        <v>10</v>
      </c>
      <c r="C74" s="9" t="s">
        <v>436</v>
      </c>
      <c r="D74" s="9" t="s">
        <v>94</v>
      </c>
      <c r="E74" s="9" t="s">
        <v>95</v>
      </c>
      <c r="F74" s="9"/>
      <c r="G74" s="33" t="s">
        <v>437</v>
      </c>
      <c r="H74" s="47" t="s">
        <v>438</v>
      </c>
      <c r="I74" s="9" t="str">
        <f>_xlfn.XLOOKUP(H74,'Alternative Tool Body Sheet'!A:A,'Alternative Tool Body Sheet'!C:C)</f>
        <v>10 DEF</v>
      </c>
      <c r="J74" s="9">
        <f t="shared" si="2"/>
        <v>5</v>
      </c>
      <c r="K74" s="9" t="s">
        <v>98</v>
      </c>
      <c r="L74" s="9">
        <v>10.75</v>
      </c>
      <c r="M74" s="9">
        <v>8.1</v>
      </c>
      <c r="N74" s="9">
        <v>24.65</v>
      </c>
      <c r="P74" s="9">
        <v>9.75</v>
      </c>
      <c r="Q74" s="9" t="s">
        <v>115</v>
      </c>
      <c r="R74" s="9">
        <v>9.25</v>
      </c>
      <c r="T74" s="9">
        <v>8.1</v>
      </c>
      <c r="U74" s="9" t="s">
        <v>99</v>
      </c>
      <c r="V74" s="9">
        <v>15</v>
      </c>
      <c r="AA74" s="9">
        <v>15</v>
      </c>
      <c r="AN74" s="9">
        <v>750</v>
      </c>
      <c r="AO74" s="9">
        <v>65</v>
      </c>
      <c r="AP74" s="9">
        <v>23</v>
      </c>
      <c r="AQ74" s="9">
        <v>140</v>
      </c>
      <c r="AR74" s="9">
        <v>55</v>
      </c>
      <c r="AT74" s="9">
        <v>59</v>
      </c>
      <c r="AV74" s="9">
        <v>5.2</v>
      </c>
      <c r="AW74" s="9">
        <v>0.43</v>
      </c>
      <c r="AX74" s="9">
        <v>300</v>
      </c>
      <c r="AY74" s="9">
        <v>2000</v>
      </c>
      <c r="AZ74" s="9" t="s">
        <v>439</v>
      </c>
      <c r="BA74" s="9" t="s">
        <v>101</v>
      </c>
      <c r="BB74" s="9" t="s">
        <v>101</v>
      </c>
      <c r="BC74" s="9" t="s">
        <v>101</v>
      </c>
      <c r="BD74" s="9" t="s">
        <v>102</v>
      </c>
      <c r="BE74" s="9" t="s">
        <v>102</v>
      </c>
      <c r="BF74" s="9" t="s">
        <v>118</v>
      </c>
      <c r="BG74" s="9" t="s">
        <v>322</v>
      </c>
      <c r="BH74" s="9" t="s">
        <v>105</v>
      </c>
      <c r="BI74" s="9">
        <v>6</v>
      </c>
      <c r="BJ74" s="9">
        <v>1</v>
      </c>
      <c r="BK74" s="9">
        <v>2</v>
      </c>
      <c r="BL74" s="9">
        <v>12</v>
      </c>
      <c r="BM74" s="9">
        <v>4</v>
      </c>
      <c r="BN74" s="9">
        <v>8</v>
      </c>
      <c r="BO74" s="9">
        <v>6</v>
      </c>
      <c r="BP74" s="9">
        <v>6</v>
      </c>
      <c r="BQ74" s="9">
        <v>2</v>
      </c>
      <c r="BR74" s="9">
        <v>12</v>
      </c>
      <c r="BS74" s="9">
        <v>4</v>
      </c>
      <c r="BT74" s="9">
        <v>8</v>
      </c>
      <c r="BY74" s="8">
        <v>112058</v>
      </c>
      <c r="CI74" s="51"/>
      <c r="CJ74" s="8" t="b">
        <v>0</v>
      </c>
      <c r="CT74" s="8">
        <v>106627</v>
      </c>
      <c r="CV74" s="51" t="s">
        <v>440</v>
      </c>
      <c r="CW74" s="8" t="str">
        <f t="shared" si="3"/>
        <v>DEF.10 </v>
      </c>
    </row>
    <row r="75" spans="1:101" s="8" customFormat="1" x14ac:dyDescent="0.25">
      <c r="A75" s="13">
        <v>120561</v>
      </c>
      <c r="B75" s="9">
        <v>10</v>
      </c>
      <c r="C75" s="9" t="s">
        <v>441</v>
      </c>
      <c r="D75" s="9" t="s">
        <v>121</v>
      </c>
      <c r="E75" s="9" t="s">
        <v>253</v>
      </c>
      <c r="F75" s="9"/>
      <c r="G75" s="33" t="s">
        <v>442</v>
      </c>
      <c r="H75" s="47" t="s">
        <v>443</v>
      </c>
      <c r="I75" s="9" t="str">
        <f>_xlfn.XLOOKUP(H75,'Alternative Tool Body Sheet'!A:A,'Alternative Tool Body Sheet'!C:C)</f>
        <v>10 MDS</v>
      </c>
      <c r="J75" s="9">
        <f t="shared" si="2"/>
        <v>7</v>
      </c>
      <c r="K75" s="9" t="s">
        <v>114</v>
      </c>
      <c r="L75" s="9">
        <v>10.75</v>
      </c>
      <c r="M75" s="9">
        <v>9.1</v>
      </c>
      <c r="N75" s="9">
        <v>15.35</v>
      </c>
      <c r="P75" s="9">
        <v>9.75</v>
      </c>
      <c r="Q75" s="9" t="s">
        <v>115</v>
      </c>
      <c r="R75" s="9">
        <v>9.75</v>
      </c>
      <c r="U75" s="9" t="s">
        <v>99</v>
      </c>
      <c r="V75" s="9">
        <v>10</v>
      </c>
      <c r="W75" s="9">
        <v>10</v>
      </c>
      <c r="X75" s="9">
        <v>0.5</v>
      </c>
      <c r="Y75" s="9">
        <v>1</v>
      </c>
      <c r="Z75" s="9">
        <v>0.5</v>
      </c>
      <c r="AA75" s="9">
        <v>48</v>
      </c>
      <c r="AD75" s="9">
        <v>48</v>
      </c>
      <c r="AH75" s="9">
        <v>96</v>
      </c>
      <c r="AI75" s="9">
        <v>96</v>
      </c>
      <c r="AJ75" s="9">
        <v>240</v>
      </c>
      <c r="AN75" s="9">
        <v>750</v>
      </c>
      <c r="AO75" s="9">
        <v>106</v>
      </c>
      <c r="AP75" s="9">
        <v>21</v>
      </c>
      <c r="AQ75" s="9">
        <v>468</v>
      </c>
      <c r="AR75" s="9">
        <v>54</v>
      </c>
      <c r="AT75" s="9">
        <v>36</v>
      </c>
      <c r="AV75" s="9">
        <v>7.5</v>
      </c>
      <c r="AX75" s="9">
        <v>375</v>
      </c>
      <c r="AY75" s="9">
        <v>2000</v>
      </c>
      <c r="AZ75" s="9" t="s">
        <v>444</v>
      </c>
      <c r="BA75" s="9" t="s">
        <v>102</v>
      </c>
      <c r="BB75" s="9" t="s">
        <v>102</v>
      </c>
      <c r="BC75" s="9" t="s">
        <v>102</v>
      </c>
      <c r="BD75" s="9" t="s">
        <v>102</v>
      </c>
      <c r="BE75" s="9" t="s">
        <v>102</v>
      </c>
      <c r="BF75" s="9" t="s">
        <v>118</v>
      </c>
      <c r="BG75" s="9" t="s">
        <v>118</v>
      </c>
      <c r="BH75" s="9" t="s">
        <v>105</v>
      </c>
      <c r="BI75" s="9">
        <v>9</v>
      </c>
      <c r="BJ75" s="9">
        <v>1</v>
      </c>
      <c r="BK75" s="9">
        <v>2</v>
      </c>
      <c r="BL75" s="9">
        <v>12</v>
      </c>
      <c r="BM75" s="9">
        <v>4</v>
      </c>
      <c r="BN75" s="9">
        <v>12</v>
      </c>
      <c r="BO75" s="9">
        <v>9</v>
      </c>
      <c r="BP75" s="9">
        <v>9</v>
      </c>
      <c r="BQ75" s="9">
        <v>2</v>
      </c>
      <c r="BR75" s="9">
        <v>12</v>
      </c>
      <c r="BS75" s="9">
        <v>4</v>
      </c>
      <c r="BT75" s="9">
        <v>12</v>
      </c>
      <c r="BX75" s="8">
        <v>108081</v>
      </c>
      <c r="BY75" s="8">
        <v>110257</v>
      </c>
      <c r="CD75" s="8">
        <v>123689</v>
      </c>
      <c r="CI75" s="51"/>
      <c r="CJ75" s="8" t="b">
        <v>0</v>
      </c>
      <c r="CT75" s="8">
        <v>120561</v>
      </c>
      <c r="CV75" s="51" t="s">
        <v>445</v>
      </c>
      <c r="CW75" s="8" t="str">
        <f t="shared" si="3"/>
        <v>DEF.MFL.RES.SMFL.10 </v>
      </c>
    </row>
    <row r="76" spans="1:101" s="8" customFormat="1" x14ac:dyDescent="0.25">
      <c r="A76" s="24">
        <v>130612</v>
      </c>
      <c r="B76" s="12">
        <v>10</v>
      </c>
      <c r="C76" s="12" t="s">
        <v>446</v>
      </c>
      <c r="D76" s="12" t="s">
        <v>121</v>
      </c>
      <c r="E76" s="12" t="s">
        <v>212</v>
      </c>
      <c r="F76" s="12"/>
      <c r="G76" s="37" t="s">
        <v>447</v>
      </c>
      <c r="H76" s="50" t="s">
        <v>448</v>
      </c>
      <c r="I76" s="9" t="str">
        <f>_xlfn.XLOOKUP(H76,'Alternative Tool Body Sheet'!A:A,'Alternative Tool Body Sheet'!C:C)</f>
        <v>10 MDS</v>
      </c>
      <c r="J76" s="12">
        <f t="shared" si="2"/>
        <v>7</v>
      </c>
      <c r="K76" s="12" t="s">
        <v>114</v>
      </c>
      <c r="L76" s="12">
        <v>10.75</v>
      </c>
      <c r="M76" s="12">
        <v>9.1</v>
      </c>
      <c r="N76" s="12"/>
      <c r="O76" s="12"/>
      <c r="P76" s="12"/>
      <c r="Q76" s="12" t="s">
        <v>115</v>
      </c>
      <c r="R76" s="12">
        <v>9.6</v>
      </c>
      <c r="S76" s="12"/>
      <c r="T76" s="12"/>
      <c r="U76" s="12" t="s">
        <v>99</v>
      </c>
      <c r="V76" s="12">
        <v>10</v>
      </c>
      <c r="W76" s="12">
        <v>10</v>
      </c>
      <c r="X76" s="12">
        <v>0.5</v>
      </c>
      <c r="Y76" s="12">
        <v>1</v>
      </c>
      <c r="Z76" s="12">
        <v>0.5</v>
      </c>
      <c r="AA76" s="12">
        <v>48</v>
      </c>
      <c r="AB76" s="12"/>
      <c r="AC76" s="12"/>
      <c r="AD76" s="12">
        <v>48</v>
      </c>
      <c r="AE76" s="12"/>
      <c r="AF76" s="12"/>
      <c r="AG76" s="12"/>
      <c r="AH76" s="12">
        <v>192</v>
      </c>
      <c r="AI76" s="12"/>
      <c r="AJ76" s="12"/>
      <c r="AK76" s="12"/>
      <c r="AL76" s="12"/>
      <c r="AM76" s="12"/>
      <c r="AN76" s="12">
        <v>750</v>
      </c>
      <c r="AO76" s="12">
        <v>126</v>
      </c>
      <c r="AP76" s="12"/>
      <c r="AQ76" s="12">
        <v>437</v>
      </c>
      <c r="AR76" s="12"/>
      <c r="AS76" s="12"/>
      <c r="AT76" s="12">
        <v>34</v>
      </c>
      <c r="AU76" s="12"/>
      <c r="AV76" s="12"/>
      <c r="AW76" s="12"/>
      <c r="AX76" s="12">
        <v>375</v>
      </c>
      <c r="AY76" s="12">
        <v>2000</v>
      </c>
      <c r="AZ76" s="12" t="s">
        <v>449</v>
      </c>
      <c r="BA76" s="12" t="s">
        <v>102</v>
      </c>
      <c r="BB76" s="12" t="s">
        <v>102</v>
      </c>
      <c r="BC76" s="12" t="s">
        <v>101</v>
      </c>
      <c r="BD76" s="12" t="s">
        <v>102</v>
      </c>
      <c r="BE76" s="12" t="s">
        <v>101</v>
      </c>
      <c r="BF76" s="12" t="s">
        <v>118</v>
      </c>
      <c r="BG76" s="12" t="s">
        <v>118</v>
      </c>
      <c r="BH76" s="12" t="s">
        <v>105</v>
      </c>
      <c r="BI76" s="12">
        <v>11</v>
      </c>
      <c r="BJ76" s="12">
        <v>1</v>
      </c>
      <c r="BK76" s="12">
        <v>2</v>
      </c>
      <c r="BL76" s="12">
        <v>12</v>
      </c>
      <c r="BM76" s="12">
        <v>4</v>
      </c>
      <c r="BN76" s="12">
        <v>14</v>
      </c>
      <c r="BO76" s="12">
        <v>11</v>
      </c>
      <c r="BP76" s="12">
        <v>11</v>
      </c>
      <c r="BQ76" s="12">
        <v>2</v>
      </c>
      <c r="BR76" s="12">
        <v>12</v>
      </c>
      <c r="BS76" s="12">
        <v>4</v>
      </c>
      <c r="BT76" s="12">
        <v>14</v>
      </c>
      <c r="BU76" s="12"/>
      <c r="BX76" s="8">
        <v>130285</v>
      </c>
      <c r="BY76" s="8">
        <v>110257</v>
      </c>
      <c r="CI76" s="51"/>
      <c r="CJ76" s="8" t="b">
        <v>0</v>
      </c>
      <c r="CT76" s="8">
        <v>130612</v>
      </c>
      <c r="CV76" s="51" t="s">
        <v>450</v>
      </c>
      <c r="CW76" s="8" t="str">
        <f t="shared" si="3"/>
        <v>DEF.UMFL.XYZ.10 </v>
      </c>
    </row>
    <row r="77" spans="1:101" s="8" customFormat="1" x14ac:dyDescent="0.25">
      <c r="A77" s="13">
        <v>114362</v>
      </c>
      <c r="B77" s="9">
        <v>10</v>
      </c>
      <c r="C77" s="9" t="s">
        <v>451</v>
      </c>
      <c r="D77" s="9" t="s">
        <v>94</v>
      </c>
      <c r="E77" s="9" t="s">
        <v>421</v>
      </c>
      <c r="F77" s="9"/>
      <c r="G77" s="33" t="s">
        <v>452</v>
      </c>
      <c r="H77" s="47" t="s">
        <v>453</v>
      </c>
      <c r="I77" s="9" t="s">
        <v>454</v>
      </c>
      <c r="J77" s="9">
        <f t="shared" si="2"/>
        <v>5</v>
      </c>
      <c r="K77" s="9" t="s">
        <v>114</v>
      </c>
      <c r="L77" s="9">
        <v>10.75</v>
      </c>
      <c r="M77" s="9">
        <v>8.1</v>
      </c>
      <c r="N77" s="9">
        <v>24.65</v>
      </c>
      <c r="P77" s="9">
        <v>9.75</v>
      </c>
      <c r="Q77" s="9" t="s">
        <v>115</v>
      </c>
      <c r="R77" s="9">
        <v>9.25</v>
      </c>
      <c r="T77" s="9">
        <v>8.5</v>
      </c>
      <c r="U77" s="9" t="s">
        <v>116</v>
      </c>
      <c r="V77" s="9">
        <v>10</v>
      </c>
      <c r="W77" s="9">
        <v>10</v>
      </c>
      <c r="X77" s="9">
        <v>0.45200000000000001</v>
      </c>
      <c r="Y77" s="9">
        <v>1</v>
      </c>
      <c r="Z77" s="9">
        <v>0.49399999999999999</v>
      </c>
      <c r="AA77" s="9">
        <v>31</v>
      </c>
      <c r="AC77" s="9">
        <v>96</v>
      </c>
      <c r="AD77" s="9">
        <v>32</v>
      </c>
      <c r="AN77" s="9">
        <v>750</v>
      </c>
      <c r="AO77" s="9">
        <v>139</v>
      </c>
      <c r="AP77" s="9">
        <v>24</v>
      </c>
      <c r="AQ77" s="9">
        <v>305</v>
      </c>
      <c r="AR77" s="9">
        <v>55</v>
      </c>
      <c r="AT77" s="9">
        <v>19</v>
      </c>
      <c r="AX77" s="9">
        <v>300</v>
      </c>
      <c r="AY77" s="9">
        <v>2000</v>
      </c>
      <c r="AZ77" s="9" t="s">
        <v>455</v>
      </c>
      <c r="BA77" s="9" t="s">
        <v>102</v>
      </c>
      <c r="BB77" s="9" t="s">
        <v>101</v>
      </c>
      <c r="BC77" s="9" t="s">
        <v>101</v>
      </c>
      <c r="BD77" s="9" t="s">
        <v>102</v>
      </c>
      <c r="BE77" s="9" t="s">
        <v>102</v>
      </c>
      <c r="BF77" s="9" t="s">
        <v>126</v>
      </c>
      <c r="BG77" s="9" t="s">
        <v>126</v>
      </c>
      <c r="BH77" s="9" t="s">
        <v>105</v>
      </c>
      <c r="BI77" s="9">
        <v>12</v>
      </c>
      <c r="BJ77" s="9">
        <v>1</v>
      </c>
      <c r="BK77" s="9">
        <v>2</v>
      </c>
      <c r="BL77" s="9">
        <v>12</v>
      </c>
      <c r="BM77" s="9">
        <v>4</v>
      </c>
      <c r="BN77" s="9">
        <v>15</v>
      </c>
      <c r="BO77" s="9">
        <v>12</v>
      </c>
      <c r="BP77" s="9">
        <v>12</v>
      </c>
      <c r="BQ77" s="9">
        <v>2</v>
      </c>
      <c r="BR77" s="9">
        <v>12</v>
      </c>
      <c r="BS77" s="9">
        <v>4</v>
      </c>
      <c r="BT77" s="9">
        <v>15</v>
      </c>
      <c r="BY77" s="8">
        <v>113727</v>
      </c>
      <c r="CI77" s="51">
        <v>108557</v>
      </c>
      <c r="CJ77" s="8" t="b">
        <v>0</v>
      </c>
      <c r="CT77" s="8">
        <v>114362</v>
      </c>
      <c r="CV77" s="51" t="s">
        <v>456</v>
      </c>
      <c r="CW77" s="8" t="str">
        <f t="shared" si="3"/>
        <v>DEF.GMFL.XYZ.10 </v>
      </c>
    </row>
    <row r="78" spans="1:101" s="8" customFormat="1" x14ac:dyDescent="0.25">
      <c r="A78" s="13">
        <v>110403</v>
      </c>
      <c r="B78" s="9">
        <v>10</v>
      </c>
      <c r="C78" s="9" t="s">
        <v>457</v>
      </c>
      <c r="D78" s="9" t="s">
        <v>94</v>
      </c>
      <c r="E78" s="9" t="s">
        <v>95</v>
      </c>
      <c r="F78" s="9"/>
      <c r="G78" s="33" t="s">
        <v>458</v>
      </c>
      <c r="H78" s="47" t="s">
        <v>438</v>
      </c>
      <c r="I78" s="9" t="str">
        <f>_xlfn.XLOOKUP(H78,'Alternative Tool Body Sheet'!A:A,'Alternative Tool Body Sheet'!C:C)</f>
        <v>10 DEF</v>
      </c>
      <c r="J78" s="9">
        <f t="shared" si="2"/>
        <v>5</v>
      </c>
      <c r="K78" s="9" t="s">
        <v>114</v>
      </c>
      <c r="L78" s="9">
        <v>10.75</v>
      </c>
      <c r="M78" s="9">
        <v>8.1</v>
      </c>
      <c r="N78" s="9">
        <v>24.65</v>
      </c>
      <c r="P78" s="9">
        <v>9.75</v>
      </c>
      <c r="Q78" s="9" t="s">
        <v>115</v>
      </c>
      <c r="R78" s="9">
        <v>9.25</v>
      </c>
      <c r="T78" s="9">
        <v>8.1</v>
      </c>
      <c r="U78" s="9" t="s">
        <v>99</v>
      </c>
      <c r="V78" s="9">
        <v>15</v>
      </c>
      <c r="AA78" s="9">
        <v>31</v>
      </c>
      <c r="AN78" s="9">
        <v>750</v>
      </c>
      <c r="AO78" s="9">
        <v>65</v>
      </c>
      <c r="AP78" s="9">
        <v>23</v>
      </c>
      <c r="AQ78" s="9">
        <v>140</v>
      </c>
      <c r="AR78" s="9">
        <v>55</v>
      </c>
      <c r="AT78" s="9">
        <v>75</v>
      </c>
      <c r="AX78" s="9">
        <v>300</v>
      </c>
      <c r="AY78" s="9">
        <v>2000</v>
      </c>
      <c r="AZ78" s="9" t="s">
        <v>459</v>
      </c>
      <c r="BA78" s="9" t="s">
        <v>102</v>
      </c>
      <c r="BB78" s="9" t="s">
        <v>102</v>
      </c>
      <c r="BC78" s="9" t="s">
        <v>102</v>
      </c>
      <c r="BD78" s="9" t="s">
        <v>102</v>
      </c>
      <c r="BE78" s="9" t="s">
        <v>102</v>
      </c>
      <c r="BF78" s="9" t="s">
        <v>321</v>
      </c>
      <c r="BG78" s="9" t="s">
        <v>322</v>
      </c>
      <c r="BH78" s="9" t="s">
        <v>105</v>
      </c>
      <c r="BI78" s="9">
        <v>6</v>
      </c>
      <c r="BJ78" s="9">
        <v>1</v>
      </c>
      <c r="BK78" s="9">
        <v>2</v>
      </c>
      <c r="BL78" s="9">
        <v>12</v>
      </c>
      <c r="BM78" s="9">
        <v>4</v>
      </c>
      <c r="BN78" s="9">
        <v>8</v>
      </c>
      <c r="BO78" s="9">
        <v>6</v>
      </c>
      <c r="BP78" s="9">
        <v>6</v>
      </c>
      <c r="BQ78" s="9">
        <v>2</v>
      </c>
      <c r="BR78" s="9">
        <v>12</v>
      </c>
      <c r="BS78" s="9">
        <v>4</v>
      </c>
      <c r="BT78" s="9">
        <v>8</v>
      </c>
      <c r="BY78" s="8">
        <v>112058</v>
      </c>
      <c r="CI78" s="51"/>
      <c r="CJ78" s="8" t="b">
        <v>0</v>
      </c>
      <c r="CT78" s="8">
        <v>110403</v>
      </c>
      <c r="CV78" s="51" t="s">
        <v>440</v>
      </c>
      <c r="CW78" s="8" t="str">
        <f t="shared" si="3"/>
        <v>DEF.10 </v>
      </c>
    </row>
    <row r="79" spans="1:101" s="8" customFormat="1" x14ac:dyDescent="0.25">
      <c r="A79" s="13">
        <v>129152</v>
      </c>
      <c r="B79" s="9">
        <v>10</v>
      </c>
      <c r="C79" s="9" t="s">
        <v>460</v>
      </c>
      <c r="D79" s="9" t="s">
        <v>121</v>
      </c>
      <c r="E79" s="9" t="s">
        <v>461</v>
      </c>
      <c r="F79" s="9"/>
      <c r="G79" s="33" t="s">
        <v>462</v>
      </c>
      <c r="H79" s="47" t="s">
        <v>463</v>
      </c>
      <c r="I79" s="9" t="s">
        <v>464</v>
      </c>
      <c r="J79" s="9">
        <f t="shared" si="2"/>
        <v>7</v>
      </c>
      <c r="K79" s="9" t="s">
        <v>114</v>
      </c>
      <c r="L79" s="9">
        <v>10.75</v>
      </c>
      <c r="M79" s="9">
        <v>9.1</v>
      </c>
      <c r="Q79" s="9" t="s">
        <v>115</v>
      </c>
      <c r="R79" s="9">
        <v>9.6</v>
      </c>
      <c r="U79" s="9" t="s">
        <v>99</v>
      </c>
      <c r="V79" s="9">
        <v>10</v>
      </c>
      <c r="W79" s="9">
        <v>10</v>
      </c>
      <c r="X79" s="9">
        <v>0.5</v>
      </c>
      <c r="Y79" s="9">
        <v>1</v>
      </c>
      <c r="Z79" s="9">
        <v>0.5</v>
      </c>
      <c r="AA79" s="9">
        <v>48</v>
      </c>
      <c r="AB79" s="9">
        <v>96</v>
      </c>
      <c r="AD79" s="9">
        <v>48</v>
      </c>
      <c r="AI79" s="9">
        <v>96</v>
      </c>
      <c r="AN79" s="9">
        <v>750</v>
      </c>
      <c r="AO79" s="9">
        <v>126</v>
      </c>
      <c r="AP79" s="9">
        <v>21</v>
      </c>
      <c r="AQ79" s="9">
        <v>465</v>
      </c>
      <c r="AR79" s="9">
        <v>54</v>
      </c>
      <c r="AT79" s="9">
        <v>21</v>
      </c>
      <c r="AV79" s="9">
        <v>7.5</v>
      </c>
      <c r="AW79" s="9">
        <v>0.39</v>
      </c>
      <c r="AX79" s="9">
        <v>375</v>
      </c>
      <c r="AY79" s="9">
        <v>2000</v>
      </c>
      <c r="AZ79" s="9" t="s">
        <v>465</v>
      </c>
      <c r="BA79" s="9" t="s">
        <v>102</v>
      </c>
      <c r="BB79" s="9" t="s">
        <v>102</v>
      </c>
      <c r="BC79" s="9" t="s">
        <v>102</v>
      </c>
      <c r="BD79" s="9" t="s">
        <v>102</v>
      </c>
      <c r="BE79" s="9" t="s">
        <v>102</v>
      </c>
      <c r="BF79" s="9" t="s">
        <v>118</v>
      </c>
      <c r="BG79" s="9" t="s">
        <v>466</v>
      </c>
      <c r="BH79" s="9" t="s">
        <v>105</v>
      </c>
      <c r="BI79" s="9">
        <v>11</v>
      </c>
      <c r="BJ79" s="9">
        <v>1</v>
      </c>
      <c r="BK79" s="9">
        <v>2</v>
      </c>
      <c r="BL79" s="9">
        <v>12</v>
      </c>
      <c r="BM79" s="9">
        <v>4</v>
      </c>
      <c r="BN79" s="9">
        <v>14</v>
      </c>
      <c r="BO79" s="9">
        <v>11</v>
      </c>
      <c r="BP79" s="9">
        <v>11</v>
      </c>
      <c r="BQ79" s="9">
        <v>2</v>
      </c>
      <c r="BR79" s="9">
        <v>12</v>
      </c>
      <c r="BS79" s="9">
        <v>4</v>
      </c>
      <c r="BT79" s="9">
        <v>14</v>
      </c>
      <c r="BX79" s="8">
        <v>108081</v>
      </c>
      <c r="BY79" s="8">
        <v>110257</v>
      </c>
      <c r="CI79" s="51"/>
      <c r="CJ79" s="8" t="b">
        <v>0</v>
      </c>
      <c r="CT79" s="8">
        <v>129152</v>
      </c>
      <c r="CV79" s="51" t="s">
        <v>467</v>
      </c>
      <c r="CW79" s="8" t="str">
        <f t="shared" si="3"/>
        <v>FLEXDEFMFLRESXYZ.10 </v>
      </c>
    </row>
    <row r="80" spans="1:101" s="8" customFormat="1" x14ac:dyDescent="0.25">
      <c r="A80" s="23">
        <v>119600</v>
      </c>
      <c r="B80" s="11">
        <v>10</v>
      </c>
      <c r="C80" s="11" t="s">
        <v>468</v>
      </c>
      <c r="D80" s="11" t="s">
        <v>469</v>
      </c>
      <c r="E80" s="11" t="s">
        <v>469</v>
      </c>
      <c r="F80" s="11"/>
      <c r="G80" s="36" t="s">
        <v>470</v>
      </c>
      <c r="H80" s="49" t="s">
        <v>471</v>
      </c>
      <c r="I80" s="9" t="str">
        <f>_xlfn.XLOOKUP(H80,'Alternative Tool Body Sheet'!A:A,'Alternative Tool Body Sheet'!C:C)</f>
        <v>10 EMAT</v>
      </c>
      <c r="J80" s="11">
        <f t="shared" si="2"/>
        <v>7</v>
      </c>
      <c r="K80" s="11" t="s">
        <v>114</v>
      </c>
      <c r="L80" s="11">
        <v>10.75</v>
      </c>
      <c r="M80" s="11">
        <v>9.1</v>
      </c>
      <c r="N80" s="11"/>
      <c r="O80" s="11"/>
      <c r="P80" s="11">
        <v>9.75</v>
      </c>
      <c r="Q80" s="11" t="s">
        <v>115</v>
      </c>
      <c r="R80" s="11">
        <v>10</v>
      </c>
      <c r="S80" s="11"/>
      <c r="T80" s="11"/>
      <c r="U80" s="11" t="s">
        <v>99</v>
      </c>
      <c r="V80" s="11">
        <v>7.3</v>
      </c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>
        <v>316</v>
      </c>
      <c r="AO80" s="11">
        <v>145.5</v>
      </c>
      <c r="AP80" s="11"/>
      <c r="AQ80" s="11">
        <v>647</v>
      </c>
      <c r="AR80" s="11"/>
      <c r="AS80" s="11"/>
      <c r="AT80" s="11">
        <v>67</v>
      </c>
      <c r="AU80" s="11">
        <v>133200</v>
      </c>
      <c r="AV80" s="11">
        <v>45</v>
      </c>
      <c r="AW80" s="11"/>
      <c r="AX80" s="11">
        <v>375</v>
      </c>
      <c r="AY80" s="11">
        <v>2000</v>
      </c>
      <c r="AZ80" s="11" t="s">
        <v>472</v>
      </c>
      <c r="BA80" s="11" t="s">
        <v>102</v>
      </c>
      <c r="BB80" s="11" t="s">
        <v>101</v>
      </c>
      <c r="BC80" s="11" t="s">
        <v>101</v>
      </c>
      <c r="BD80" s="11" t="s">
        <v>102</v>
      </c>
      <c r="BE80" s="11" t="s">
        <v>102</v>
      </c>
      <c r="BF80" s="11" t="s">
        <v>118</v>
      </c>
      <c r="BG80" s="11" t="s">
        <v>473</v>
      </c>
      <c r="BH80" s="11" t="s">
        <v>105</v>
      </c>
      <c r="BI80" s="11">
        <v>13</v>
      </c>
      <c r="BJ80" s="11">
        <v>1</v>
      </c>
      <c r="BK80" s="11">
        <v>2</v>
      </c>
      <c r="BL80" s="11">
        <v>12</v>
      </c>
      <c r="BM80" s="11">
        <v>4</v>
      </c>
      <c r="BN80" s="11">
        <v>18</v>
      </c>
      <c r="BO80" s="11">
        <v>13</v>
      </c>
      <c r="BP80" s="11">
        <v>13</v>
      </c>
      <c r="BQ80" s="11">
        <v>2</v>
      </c>
      <c r="BR80" s="11">
        <v>12</v>
      </c>
      <c r="BS80" s="11">
        <v>4</v>
      </c>
      <c r="BT80" s="11">
        <v>18</v>
      </c>
      <c r="BU80" s="11"/>
      <c r="CF80" s="8">
        <v>111201</v>
      </c>
      <c r="CI80" s="51"/>
      <c r="CJ80" s="8" t="b">
        <v>0</v>
      </c>
      <c r="CT80" s="8">
        <v>119600</v>
      </c>
      <c r="CV80" s="51" t="s">
        <v>474</v>
      </c>
      <c r="CW80" s="8" t="str">
        <f t="shared" si="3"/>
        <v>EMAT.10 </v>
      </c>
    </row>
    <row r="81" spans="1:101" s="8" customFormat="1" x14ac:dyDescent="0.25">
      <c r="A81" s="13">
        <v>101050</v>
      </c>
      <c r="B81" s="9">
        <v>10</v>
      </c>
      <c r="C81" s="9" t="s">
        <v>475</v>
      </c>
      <c r="D81" s="9" t="s">
        <v>94</v>
      </c>
      <c r="E81" s="9" t="s">
        <v>128</v>
      </c>
      <c r="F81" s="9"/>
      <c r="G81" s="33" t="s">
        <v>476</v>
      </c>
      <c r="H81" s="47" t="s">
        <v>477</v>
      </c>
      <c r="I81" s="9" t="str">
        <f>_xlfn.XLOOKUP(H81,'Alternative Tool Body Sheet'!A:A,'Alternative Tool Body Sheet'!C:C)</f>
        <v>10 MFL</v>
      </c>
      <c r="J81" s="9">
        <f t="shared" si="2"/>
        <v>5</v>
      </c>
      <c r="K81" s="9" t="s">
        <v>172</v>
      </c>
      <c r="L81" s="9">
        <v>10.75</v>
      </c>
      <c r="M81" s="9">
        <v>9.1</v>
      </c>
      <c r="P81" s="9">
        <v>9.75</v>
      </c>
      <c r="Q81" s="9" t="s">
        <v>115</v>
      </c>
      <c r="R81" s="9">
        <v>9.75</v>
      </c>
      <c r="T81" s="9">
        <v>9.1999999999999993</v>
      </c>
      <c r="U81" s="9" t="s">
        <v>99</v>
      </c>
      <c r="V81" s="9">
        <v>10</v>
      </c>
      <c r="W81" s="9">
        <v>10</v>
      </c>
      <c r="X81" s="9">
        <v>0.56200000000000006</v>
      </c>
      <c r="Y81" s="9">
        <v>1</v>
      </c>
      <c r="Z81" s="9">
        <v>0.56200000000000006</v>
      </c>
      <c r="AH81" s="9">
        <v>96</v>
      </c>
      <c r="AN81" s="9">
        <v>750</v>
      </c>
      <c r="AO81" s="9">
        <v>109</v>
      </c>
      <c r="AP81" s="9">
        <v>23</v>
      </c>
      <c r="AQ81" s="9">
        <v>325</v>
      </c>
      <c r="AR81" s="9">
        <v>55</v>
      </c>
      <c r="AT81" s="9">
        <v>119</v>
      </c>
      <c r="AV81" s="9">
        <v>8</v>
      </c>
      <c r="AW81" s="9">
        <v>0.67</v>
      </c>
      <c r="AX81" s="9">
        <v>300</v>
      </c>
      <c r="AY81" s="9">
        <v>2000</v>
      </c>
      <c r="AZ81" s="9" t="s">
        <v>478</v>
      </c>
      <c r="BA81" s="9" t="s">
        <v>101</v>
      </c>
      <c r="BB81" s="9" t="s">
        <v>101</v>
      </c>
      <c r="BC81" s="9" t="s">
        <v>101</v>
      </c>
      <c r="BD81" s="9" t="s">
        <v>102</v>
      </c>
      <c r="BE81" s="9" t="s">
        <v>102</v>
      </c>
      <c r="BF81" s="9" t="s">
        <v>321</v>
      </c>
      <c r="BG81" s="9" t="s">
        <v>322</v>
      </c>
      <c r="BH81" s="9" t="s">
        <v>105</v>
      </c>
      <c r="BI81" s="9">
        <v>10</v>
      </c>
      <c r="BJ81" s="9">
        <v>1</v>
      </c>
      <c r="BK81" s="9">
        <v>2</v>
      </c>
      <c r="BL81" s="9">
        <v>12</v>
      </c>
      <c r="BM81" s="9">
        <v>4</v>
      </c>
      <c r="BN81" s="9">
        <v>13</v>
      </c>
      <c r="BO81" s="9">
        <v>10</v>
      </c>
      <c r="BP81" s="9">
        <v>10</v>
      </c>
      <c r="BQ81" s="9">
        <v>2</v>
      </c>
      <c r="BR81" s="9">
        <v>12</v>
      </c>
      <c r="BS81" s="9">
        <v>4</v>
      </c>
      <c r="BT81" s="9">
        <v>13</v>
      </c>
      <c r="BX81" s="8" t="s">
        <v>479</v>
      </c>
      <c r="CI81" s="51"/>
      <c r="CJ81" s="8" t="b">
        <v>0</v>
      </c>
      <c r="CT81" s="8">
        <v>101050</v>
      </c>
      <c r="CV81" s="51" t="s">
        <v>480</v>
      </c>
      <c r="CW81" s="8" t="str">
        <f t="shared" si="3"/>
        <v>MFL.10 </v>
      </c>
    </row>
    <row r="82" spans="1:101" s="8" customFormat="1" x14ac:dyDescent="0.25">
      <c r="A82" s="24">
        <v>130613</v>
      </c>
      <c r="B82" s="12">
        <v>10</v>
      </c>
      <c r="C82" s="12" t="s">
        <v>481</v>
      </c>
      <c r="D82" s="12" t="s">
        <v>121</v>
      </c>
      <c r="E82" s="12" t="s">
        <v>253</v>
      </c>
      <c r="F82" s="12"/>
      <c r="G82" s="37" t="s">
        <v>482</v>
      </c>
      <c r="H82" s="50" t="s">
        <v>483</v>
      </c>
      <c r="I82" s="9" t="str">
        <f>_xlfn.XLOOKUP(H82,'Alternative Tool Body Sheet'!A:A,'Alternative Tool Body Sheet'!C:C)</f>
        <v>10 MDS</v>
      </c>
      <c r="J82" s="12">
        <f t="shared" si="2"/>
        <v>7</v>
      </c>
      <c r="K82" s="12" t="s">
        <v>114</v>
      </c>
      <c r="L82" s="12">
        <v>10.75</v>
      </c>
      <c r="M82" s="12">
        <v>9.1</v>
      </c>
      <c r="N82" s="12">
        <v>15.35</v>
      </c>
      <c r="O82" s="12"/>
      <c r="P82" s="12">
        <v>9.75</v>
      </c>
      <c r="Q82" s="12" t="s">
        <v>115</v>
      </c>
      <c r="R82" s="12">
        <v>9.75</v>
      </c>
      <c r="S82" s="12"/>
      <c r="T82" s="12"/>
      <c r="U82" s="12" t="s">
        <v>99</v>
      </c>
      <c r="V82" s="12">
        <v>10</v>
      </c>
      <c r="W82" s="12">
        <v>10</v>
      </c>
      <c r="X82" s="12">
        <v>0.5</v>
      </c>
      <c r="Y82" s="12">
        <v>1</v>
      </c>
      <c r="Z82" s="12">
        <v>0.5</v>
      </c>
      <c r="AA82" s="12">
        <v>48</v>
      </c>
      <c r="AB82" s="12"/>
      <c r="AC82" s="12"/>
      <c r="AD82" s="12">
        <v>48</v>
      </c>
      <c r="AE82" s="12"/>
      <c r="AF82" s="12"/>
      <c r="AG82" s="12"/>
      <c r="AH82" s="12">
        <v>192</v>
      </c>
      <c r="AI82" s="12">
        <v>96</v>
      </c>
      <c r="AJ82" s="12">
        <v>240</v>
      </c>
      <c r="AK82" s="12"/>
      <c r="AL82" s="12"/>
      <c r="AM82" s="12"/>
      <c r="AN82" s="12">
        <v>750</v>
      </c>
      <c r="AO82" s="12">
        <v>106</v>
      </c>
      <c r="AP82" s="12">
        <v>21</v>
      </c>
      <c r="AQ82" s="12">
        <v>420</v>
      </c>
      <c r="AR82" s="12">
        <v>54</v>
      </c>
      <c r="AS82" s="12"/>
      <c r="AT82" s="12">
        <v>33</v>
      </c>
      <c r="AU82" s="12"/>
      <c r="AV82" s="12"/>
      <c r="AW82" s="12">
        <v>0.63</v>
      </c>
      <c r="AX82" s="12">
        <v>375</v>
      </c>
      <c r="AY82" s="12">
        <v>2000</v>
      </c>
      <c r="AZ82" s="12" t="s">
        <v>484</v>
      </c>
      <c r="BA82" s="12" t="s">
        <v>102</v>
      </c>
      <c r="BB82" s="12" t="s">
        <v>102</v>
      </c>
      <c r="BC82" s="12" t="s">
        <v>101</v>
      </c>
      <c r="BD82" s="12" t="s">
        <v>102</v>
      </c>
      <c r="BE82" s="12" t="s">
        <v>101</v>
      </c>
      <c r="BF82" s="12" t="s">
        <v>118</v>
      </c>
      <c r="BG82" s="12" t="s">
        <v>104</v>
      </c>
      <c r="BH82" s="12" t="s">
        <v>105</v>
      </c>
      <c r="BI82" s="12">
        <v>9</v>
      </c>
      <c r="BJ82" s="12">
        <v>1</v>
      </c>
      <c r="BK82" s="12">
        <v>2</v>
      </c>
      <c r="BL82" s="12">
        <v>12</v>
      </c>
      <c r="BM82" s="12">
        <v>4</v>
      </c>
      <c r="BN82" s="12">
        <v>12</v>
      </c>
      <c r="BO82" s="12">
        <v>9</v>
      </c>
      <c r="BP82" s="12">
        <v>9</v>
      </c>
      <c r="BQ82" s="12">
        <v>2</v>
      </c>
      <c r="BR82" s="12">
        <v>12</v>
      </c>
      <c r="BS82" s="12">
        <v>4</v>
      </c>
      <c r="BT82" s="12">
        <v>12</v>
      </c>
      <c r="BU82" s="12"/>
      <c r="BX82" s="8">
        <v>130285</v>
      </c>
      <c r="BY82" s="8">
        <v>110257</v>
      </c>
      <c r="CD82" s="8">
        <v>123689</v>
      </c>
      <c r="CI82" s="51"/>
      <c r="CJ82" s="8" t="b">
        <v>0</v>
      </c>
      <c r="CT82" s="8">
        <v>130613</v>
      </c>
      <c r="CV82" s="51" t="s">
        <v>485</v>
      </c>
      <c r="CW82" s="8" t="str">
        <f t="shared" si="3"/>
        <v>DEF.RES.SMFL.UMFL.10 </v>
      </c>
    </row>
    <row r="83" spans="1:101" s="8" customFormat="1" x14ac:dyDescent="0.25">
      <c r="A83" s="13">
        <v>108558</v>
      </c>
      <c r="B83" s="9">
        <v>10</v>
      </c>
      <c r="C83" s="9" t="s">
        <v>486</v>
      </c>
      <c r="D83" s="9" t="s">
        <v>94</v>
      </c>
      <c r="E83" s="9" t="s">
        <v>349</v>
      </c>
      <c r="F83" s="9"/>
      <c r="G83" s="33" t="s">
        <v>487</v>
      </c>
      <c r="H83" s="47" t="s">
        <v>488</v>
      </c>
      <c r="I83" s="9" t="str">
        <f>_xlfn.XLOOKUP(H83,'Alternative Tool Body Sheet'!A:A,'Alternative Tool Body Sheet'!C:C)</f>
        <v>10 GDEF</v>
      </c>
      <c r="J83" s="9">
        <f t="shared" si="2"/>
        <v>5</v>
      </c>
      <c r="K83" s="9" t="s">
        <v>114</v>
      </c>
      <c r="L83" s="9">
        <v>10.75</v>
      </c>
      <c r="M83" s="9">
        <v>8.1</v>
      </c>
      <c r="N83" s="9">
        <v>24.65</v>
      </c>
      <c r="P83" s="9">
        <v>9.75</v>
      </c>
      <c r="Q83" s="9" t="s">
        <v>115</v>
      </c>
      <c r="R83" s="9">
        <v>9.25</v>
      </c>
      <c r="T83" s="9">
        <v>8.5</v>
      </c>
      <c r="U83" s="9" t="s">
        <v>116</v>
      </c>
      <c r="V83" s="9">
        <v>10</v>
      </c>
      <c r="W83" s="9">
        <v>10</v>
      </c>
      <c r="X83" s="9">
        <v>0.45200000000000001</v>
      </c>
      <c r="Y83" s="9">
        <v>1</v>
      </c>
      <c r="Z83" s="9">
        <v>0.49399999999999999</v>
      </c>
      <c r="AA83" s="9">
        <v>31</v>
      </c>
      <c r="AC83" s="9">
        <v>96</v>
      </c>
      <c r="AD83" s="9">
        <v>32</v>
      </c>
      <c r="AN83" s="9">
        <v>750</v>
      </c>
      <c r="AO83" s="9">
        <v>115</v>
      </c>
      <c r="AP83" s="9">
        <v>24</v>
      </c>
      <c r="AQ83" s="9">
        <v>267</v>
      </c>
      <c r="AR83" s="9">
        <v>40</v>
      </c>
      <c r="AT83" s="9">
        <v>50</v>
      </c>
      <c r="AV83" s="9">
        <v>3.68</v>
      </c>
      <c r="AW83" s="9">
        <v>0.31</v>
      </c>
      <c r="AX83" s="9">
        <v>300</v>
      </c>
      <c r="AY83" s="9">
        <v>2000</v>
      </c>
      <c r="AZ83" s="9" t="s">
        <v>489</v>
      </c>
      <c r="BA83" s="9" t="s">
        <v>102</v>
      </c>
      <c r="BB83" s="9" t="s">
        <v>102</v>
      </c>
      <c r="BC83" s="9" t="s">
        <v>101</v>
      </c>
      <c r="BD83" s="9" t="s">
        <v>102</v>
      </c>
      <c r="BE83" s="9" t="s">
        <v>101</v>
      </c>
      <c r="BF83" s="9" t="s">
        <v>490</v>
      </c>
      <c r="BG83" s="9" t="s">
        <v>322</v>
      </c>
      <c r="BH83" s="9" t="s">
        <v>105</v>
      </c>
      <c r="BI83" s="9">
        <v>10</v>
      </c>
      <c r="BJ83" s="9">
        <v>1</v>
      </c>
      <c r="BK83" s="9">
        <v>2</v>
      </c>
      <c r="BL83" s="9">
        <v>12</v>
      </c>
      <c r="BM83" s="9">
        <v>4</v>
      </c>
      <c r="BN83" s="9">
        <v>13</v>
      </c>
      <c r="BO83" s="9">
        <v>10</v>
      </c>
      <c r="BP83" s="9">
        <v>10</v>
      </c>
      <c r="BQ83" s="9">
        <v>2</v>
      </c>
      <c r="BR83" s="9">
        <v>12</v>
      </c>
      <c r="BS83" s="9">
        <v>4</v>
      </c>
      <c r="BT83" s="9">
        <v>13</v>
      </c>
      <c r="BY83" s="8">
        <v>113727</v>
      </c>
      <c r="CI83" s="51">
        <v>108557</v>
      </c>
      <c r="CJ83" s="8" t="b">
        <v>0</v>
      </c>
      <c r="CT83" s="8">
        <v>108558</v>
      </c>
      <c r="CV83" s="51" t="s">
        <v>491</v>
      </c>
      <c r="CW83" s="8" t="str">
        <f t="shared" si="3"/>
        <v>DEF.GMFL.10 </v>
      </c>
    </row>
    <row r="84" spans="1:101" s="8" customFormat="1" x14ac:dyDescent="0.25">
      <c r="A84" s="24">
        <v>130611</v>
      </c>
      <c r="B84" s="12">
        <v>10</v>
      </c>
      <c r="C84" s="12" t="s">
        <v>492</v>
      </c>
      <c r="D84" s="12" t="s">
        <v>121</v>
      </c>
      <c r="E84" s="12" t="s">
        <v>145</v>
      </c>
      <c r="F84" s="12"/>
      <c r="G84" s="37" t="s">
        <v>493</v>
      </c>
      <c r="H84" s="50" t="s">
        <v>494</v>
      </c>
      <c r="I84" s="9" t="str">
        <f>_xlfn.XLOOKUP(H84,'Alternative Tool Body Sheet'!A:A,'Alternative Tool Body Sheet'!C:C)</f>
        <v>10 MDS</v>
      </c>
      <c r="J84" s="12">
        <f t="shared" si="2"/>
        <v>7</v>
      </c>
      <c r="K84" s="12" t="s">
        <v>114</v>
      </c>
      <c r="L84" s="12">
        <v>10.75</v>
      </c>
      <c r="M84" s="12">
        <v>9.1</v>
      </c>
      <c r="N84" s="12"/>
      <c r="O84" s="12"/>
      <c r="P84" s="12"/>
      <c r="Q84" s="12" t="s">
        <v>115</v>
      </c>
      <c r="R84" s="12">
        <v>9.6</v>
      </c>
      <c r="S84" s="12"/>
      <c r="T84" s="12"/>
      <c r="U84" s="12" t="s">
        <v>99</v>
      </c>
      <c r="V84" s="12">
        <v>10</v>
      </c>
      <c r="W84" s="12">
        <v>10</v>
      </c>
      <c r="X84" s="12">
        <v>0.5</v>
      </c>
      <c r="Y84" s="12">
        <v>1</v>
      </c>
      <c r="Z84" s="12">
        <v>0.5</v>
      </c>
      <c r="AA84" s="12">
        <v>48</v>
      </c>
      <c r="AB84" s="12"/>
      <c r="AC84" s="12"/>
      <c r="AD84" s="12">
        <v>48</v>
      </c>
      <c r="AE84" s="12"/>
      <c r="AF84" s="12"/>
      <c r="AG84" s="12"/>
      <c r="AH84" s="12">
        <v>192</v>
      </c>
      <c r="AI84" s="12"/>
      <c r="AJ84" s="12"/>
      <c r="AK84" s="12"/>
      <c r="AL84" s="12"/>
      <c r="AM84" s="12"/>
      <c r="AN84" s="12">
        <v>750</v>
      </c>
      <c r="AO84" s="12">
        <v>83</v>
      </c>
      <c r="AP84" s="12"/>
      <c r="AQ84" s="12">
        <v>317</v>
      </c>
      <c r="AR84" s="12"/>
      <c r="AS84" s="12"/>
      <c r="AT84" s="12">
        <v>51</v>
      </c>
      <c r="AU84" s="12"/>
      <c r="AV84" s="12"/>
      <c r="AW84" s="12"/>
      <c r="AX84" s="12">
        <v>375</v>
      </c>
      <c r="AY84" s="12">
        <v>2000</v>
      </c>
      <c r="AZ84" s="12" t="s">
        <v>495</v>
      </c>
      <c r="BA84" s="12" t="s">
        <v>102</v>
      </c>
      <c r="BB84" s="12" t="s">
        <v>101</v>
      </c>
      <c r="BC84" s="12" t="s">
        <v>101</v>
      </c>
      <c r="BD84" s="12" t="s">
        <v>101</v>
      </c>
      <c r="BE84" s="12" t="s">
        <v>102</v>
      </c>
      <c r="BF84" s="12" t="s">
        <v>118</v>
      </c>
      <c r="BG84" s="12" t="s">
        <v>118</v>
      </c>
      <c r="BH84" s="12" t="s">
        <v>105</v>
      </c>
      <c r="BI84" s="12">
        <v>7</v>
      </c>
      <c r="BJ84" s="12">
        <v>1</v>
      </c>
      <c r="BK84" s="12">
        <v>2</v>
      </c>
      <c r="BL84" s="12">
        <v>12</v>
      </c>
      <c r="BM84" s="12">
        <v>4</v>
      </c>
      <c r="BN84" s="12">
        <v>9</v>
      </c>
      <c r="BO84" s="12">
        <v>7</v>
      </c>
      <c r="BP84" s="12">
        <v>7</v>
      </c>
      <c r="BQ84" s="12">
        <v>2</v>
      </c>
      <c r="BR84" s="12">
        <v>12</v>
      </c>
      <c r="BS84" s="12">
        <v>4</v>
      </c>
      <c r="BT84" s="12">
        <v>9</v>
      </c>
      <c r="BU84" s="12"/>
      <c r="BX84" s="8">
        <v>130285</v>
      </c>
      <c r="BY84" s="8">
        <v>110257</v>
      </c>
      <c r="CI84" s="51"/>
      <c r="CJ84" s="8" t="b">
        <v>0</v>
      </c>
      <c r="CT84" s="8">
        <v>130611</v>
      </c>
      <c r="CV84" s="51" t="s">
        <v>496</v>
      </c>
      <c r="CW84" s="8" t="str">
        <f t="shared" si="3"/>
        <v>DEF.UMFL.10 </v>
      </c>
    </row>
    <row r="85" spans="1:101" s="8" customFormat="1" x14ac:dyDescent="0.25">
      <c r="A85" s="24">
        <v>130614</v>
      </c>
      <c r="B85" s="12">
        <v>10</v>
      </c>
      <c r="C85" s="12" t="s">
        <v>497</v>
      </c>
      <c r="D85" s="12" t="s">
        <v>121</v>
      </c>
      <c r="E85" s="12" t="s">
        <v>242</v>
      </c>
      <c r="F85" s="12"/>
      <c r="G85" s="37" t="s">
        <v>498</v>
      </c>
      <c r="H85" s="50" t="s">
        <v>499</v>
      </c>
      <c r="I85" s="9" t="s">
        <v>464</v>
      </c>
      <c r="J85" s="12">
        <f t="shared" si="2"/>
        <v>7</v>
      </c>
      <c r="K85" s="12" t="s">
        <v>114</v>
      </c>
      <c r="L85" s="12">
        <v>10.75</v>
      </c>
      <c r="M85" s="12">
        <v>9.1</v>
      </c>
      <c r="N85" s="12">
        <v>15.35</v>
      </c>
      <c r="O85" s="12"/>
      <c r="P85" s="12"/>
      <c r="Q85" s="12" t="s">
        <v>115</v>
      </c>
      <c r="R85" s="12">
        <v>9.75</v>
      </c>
      <c r="S85" s="12"/>
      <c r="T85" s="12"/>
      <c r="U85" s="12" t="s">
        <v>99</v>
      </c>
      <c r="V85" s="12">
        <v>10</v>
      </c>
      <c r="W85" s="12">
        <v>10</v>
      </c>
      <c r="X85" s="12">
        <v>0.5</v>
      </c>
      <c r="Y85" s="12">
        <v>1</v>
      </c>
      <c r="Z85" s="12">
        <v>0.5</v>
      </c>
      <c r="AA85" s="12">
        <v>48</v>
      </c>
      <c r="AB85" s="12"/>
      <c r="AC85" s="12"/>
      <c r="AD85" s="12">
        <v>48</v>
      </c>
      <c r="AE85" s="12"/>
      <c r="AF85" s="12"/>
      <c r="AG85" s="12"/>
      <c r="AH85" s="12">
        <v>192</v>
      </c>
      <c r="AI85" s="12">
        <v>96</v>
      </c>
      <c r="AJ85" s="12">
        <v>240</v>
      </c>
      <c r="AK85" s="12"/>
      <c r="AL85" s="12"/>
      <c r="AM85" s="12"/>
      <c r="AN85" s="12">
        <v>750</v>
      </c>
      <c r="AO85" s="12">
        <v>148</v>
      </c>
      <c r="AP85" s="12">
        <v>21</v>
      </c>
      <c r="AQ85" s="12">
        <v>534</v>
      </c>
      <c r="AR85" s="12">
        <v>54</v>
      </c>
      <c r="AS85" s="12"/>
      <c r="AT85" s="12">
        <v>33</v>
      </c>
      <c r="AU85" s="12"/>
      <c r="AV85" s="12"/>
      <c r="AW85" s="12"/>
      <c r="AX85" s="12">
        <v>375</v>
      </c>
      <c r="AY85" s="12">
        <v>2000</v>
      </c>
      <c r="AZ85" s="12" t="s">
        <v>500</v>
      </c>
      <c r="BA85" s="12" t="s">
        <v>102</v>
      </c>
      <c r="BB85" s="12" t="s">
        <v>102</v>
      </c>
      <c r="BC85" s="12" t="s">
        <v>102</v>
      </c>
      <c r="BD85" s="12" t="s">
        <v>102</v>
      </c>
      <c r="BE85" s="12" t="s">
        <v>102</v>
      </c>
      <c r="BF85" s="12" t="s">
        <v>118</v>
      </c>
      <c r="BG85" s="12" t="s">
        <v>118</v>
      </c>
      <c r="BH85" s="12" t="s">
        <v>105</v>
      </c>
      <c r="BI85" s="12">
        <v>13</v>
      </c>
      <c r="BJ85" s="12">
        <v>1</v>
      </c>
      <c r="BK85" s="12">
        <v>2</v>
      </c>
      <c r="BL85" s="12">
        <v>12</v>
      </c>
      <c r="BM85" s="12">
        <v>4</v>
      </c>
      <c r="BN85" s="12">
        <v>18</v>
      </c>
      <c r="BO85" s="12">
        <v>13</v>
      </c>
      <c r="BP85" s="12">
        <v>13</v>
      </c>
      <c r="BQ85" s="12">
        <v>2</v>
      </c>
      <c r="BR85" s="12">
        <v>12</v>
      </c>
      <c r="BS85" s="12">
        <v>4</v>
      </c>
      <c r="BT85" s="12">
        <v>18</v>
      </c>
      <c r="BU85" s="12">
        <v>48</v>
      </c>
      <c r="BX85" s="8">
        <v>130285</v>
      </c>
      <c r="BY85" s="8">
        <v>110257</v>
      </c>
      <c r="CD85" s="8">
        <v>123689</v>
      </c>
      <c r="CI85" s="51"/>
      <c r="CJ85" s="8" t="b">
        <v>0</v>
      </c>
      <c r="CT85" s="8">
        <v>130614</v>
      </c>
      <c r="CV85" s="51" t="s">
        <v>501</v>
      </c>
      <c r="CW85" s="8" t="str">
        <f t="shared" si="3"/>
        <v>DEF.RES.SMFL.UMFL.XYZ.10 </v>
      </c>
    </row>
    <row r="86" spans="1:101" s="8" customFormat="1" x14ac:dyDescent="0.25">
      <c r="A86" s="13">
        <v>108556</v>
      </c>
      <c r="B86" s="9">
        <v>10</v>
      </c>
      <c r="C86" s="9" t="s">
        <v>502</v>
      </c>
      <c r="D86" s="9" t="s">
        <v>94</v>
      </c>
      <c r="E86" s="9" t="s">
        <v>258</v>
      </c>
      <c r="F86" s="9"/>
      <c r="G86" s="33" t="s">
        <v>503</v>
      </c>
      <c r="H86" s="47" t="s">
        <v>504</v>
      </c>
      <c r="I86" s="9" t="str">
        <f>_xlfn.XLOOKUP(H86,'Alternative Tool Body Sheet'!A:A,'Alternative Tool Body Sheet'!C:C)</f>
        <v>10 GMFL</v>
      </c>
      <c r="J86" s="9">
        <f t="shared" si="2"/>
        <v>5</v>
      </c>
      <c r="K86" s="9" t="s">
        <v>114</v>
      </c>
      <c r="L86" s="9">
        <v>10.75</v>
      </c>
      <c r="M86" s="9">
        <v>8.1</v>
      </c>
      <c r="P86" s="9">
        <v>9.75</v>
      </c>
      <c r="Q86" s="9" t="s">
        <v>115</v>
      </c>
      <c r="R86" s="9">
        <v>9.25</v>
      </c>
      <c r="T86" s="9">
        <v>8.5</v>
      </c>
      <c r="U86" s="9" t="s">
        <v>116</v>
      </c>
      <c r="V86" s="9">
        <v>10</v>
      </c>
      <c r="W86" s="9">
        <v>10</v>
      </c>
      <c r="X86" s="9">
        <v>0.45200000000000001</v>
      </c>
      <c r="Y86" s="9">
        <v>1</v>
      </c>
      <c r="Z86" s="9">
        <v>0.49399999999999999</v>
      </c>
      <c r="AC86" s="9">
        <v>96</v>
      </c>
      <c r="AD86" s="9">
        <v>32</v>
      </c>
      <c r="AN86" s="9">
        <v>750</v>
      </c>
      <c r="AO86" s="9">
        <v>113</v>
      </c>
      <c r="AP86" s="9">
        <v>24</v>
      </c>
      <c r="AQ86" s="9">
        <v>255</v>
      </c>
      <c r="AR86" s="9">
        <v>55</v>
      </c>
      <c r="AT86" s="9">
        <v>58</v>
      </c>
      <c r="AV86" s="9">
        <v>3.89</v>
      </c>
      <c r="AW86" s="9">
        <v>0.32</v>
      </c>
      <c r="AX86" s="9">
        <v>300</v>
      </c>
      <c r="AY86" s="9">
        <v>2000</v>
      </c>
      <c r="AZ86" s="9" t="s">
        <v>505</v>
      </c>
      <c r="BA86" s="9" t="s">
        <v>102</v>
      </c>
      <c r="BB86" s="9" t="s">
        <v>102</v>
      </c>
      <c r="BC86" s="9" t="s">
        <v>101</v>
      </c>
      <c r="BD86" s="9" t="s">
        <v>102</v>
      </c>
      <c r="BE86" s="9" t="s">
        <v>101</v>
      </c>
      <c r="BF86" s="9" t="s">
        <v>490</v>
      </c>
      <c r="BG86" s="9" t="s">
        <v>322</v>
      </c>
      <c r="BH86" s="9" t="s">
        <v>105</v>
      </c>
      <c r="BI86" s="9">
        <v>10</v>
      </c>
      <c r="BJ86" s="9">
        <v>1</v>
      </c>
      <c r="BK86" s="9">
        <v>2</v>
      </c>
      <c r="BL86" s="9">
        <v>12</v>
      </c>
      <c r="BM86" s="9">
        <v>4</v>
      </c>
      <c r="BN86" s="9">
        <v>13</v>
      </c>
      <c r="BO86" s="9">
        <v>10</v>
      </c>
      <c r="BP86" s="9">
        <v>10</v>
      </c>
      <c r="BQ86" s="9">
        <v>2</v>
      </c>
      <c r="BR86" s="9">
        <v>12</v>
      </c>
      <c r="BS86" s="9">
        <v>4</v>
      </c>
      <c r="BT86" s="9">
        <v>13</v>
      </c>
      <c r="CI86" s="51">
        <v>108557</v>
      </c>
      <c r="CJ86" s="8" t="b">
        <v>0</v>
      </c>
      <c r="CT86" s="8">
        <v>108556</v>
      </c>
      <c r="CV86" s="51" t="s">
        <v>506</v>
      </c>
      <c r="CW86" s="8" t="str">
        <f t="shared" si="3"/>
        <v>GMFL.10 </v>
      </c>
    </row>
    <row r="87" spans="1:101" s="8" customFormat="1" x14ac:dyDescent="0.25">
      <c r="A87" s="24">
        <v>103200</v>
      </c>
      <c r="B87" s="12" t="s">
        <v>507</v>
      </c>
      <c r="C87" s="12" t="s">
        <v>508</v>
      </c>
      <c r="D87" s="9" t="s">
        <v>94</v>
      </c>
      <c r="E87" s="12" t="s">
        <v>258</v>
      </c>
      <c r="F87" s="12"/>
      <c r="G87" s="37" t="s">
        <v>509</v>
      </c>
      <c r="H87" s="50" t="s">
        <v>510</v>
      </c>
      <c r="I87" s="9" t="s">
        <v>454</v>
      </c>
      <c r="J87" s="12">
        <f t="shared" si="2"/>
        <v>5</v>
      </c>
      <c r="K87" s="12" t="s">
        <v>114</v>
      </c>
      <c r="L87" s="12" t="s">
        <v>511</v>
      </c>
      <c r="M87" s="12">
        <v>9.25</v>
      </c>
      <c r="N87" s="12"/>
      <c r="O87" s="12"/>
      <c r="P87" s="12">
        <v>11.25</v>
      </c>
      <c r="Q87" s="12" t="s">
        <v>99</v>
      </c>
      <c r="R87" s="12">
        <v>9.75</v>
      </c>
      <c r="S87" s="12">
        <v>9.75</v>
      </c>
      <c r="T87" s="12">
        <v>9.35</v>
      </c>
      <c r="U87" s="12" t="s">
        <v>116</v>
      </c>
      <c r="V87" s="12">
        <v>10</v>
      </c>
      <c r="W87" s="12">
        <v>10</v>
      </c>
      <c r="X87" s="12">
        <v>0.61399999999999999</v>
      </c>
      <c r="Y87" s="12">
        <v>1</v>
      </c>
      <c r="Z87" s="12">
        <v>0.71</v>
      </c>
      <c r="AA87" s="12"/>
      <c r="AB87" s="12"/>
      <c r="AC87" s="12">
        <v>108</v>
      </c>
      <c r="AD87" s="12">
        <v>36</v>
      </c>
      <c r="AE87" s="12"/>
      <c r="AF87" s="12"/>
      <c r="AG87" s="12"/>
      <c r="AH87" s="12"/>
      <c r="AI87" s="12"/>
      <c r="AJ87" s="12"/>
      <c r="AK87" s="12"/>
      <c r="AL87" s="12"/>
      <c r="AM87" s="12"/>
      <c r="AN87" s="12">
        <v>750</v>
      </c>
      <c r="AO87" s="12">
        <v>120</v>
      </c>
      <c r="AP87" s="12">
        <v>25</v>
      </c>
      <c r="AQ87" s="12">
        <v>330</v>
      </c>
      <c r="AR87" s="12">
        <v>55</v>
      </c>
      <c r="AS87" s="12"/>
      <c r="AT87" s="12">
        <v>29</v>
      </c>
      <c r="AU87" s="12"/>
      <c r="AV87" s="12">
        <v>11.4</v>
      </c>
      <c r="AW87" s="12">
        <v>0.95</v>
      </c>
      <c r="AX87" s="12">
        <v>250</v>
      </c>
      <c r="AY87" s="12">
        <v>2000</v>
      </c>
      <c r="AZ87" s="12" t="s">
        <v>512</v>
      </c>
      <c r="BA87" s="12" t="s">
        <v>102</v>
      </c>
      <c r="BB87" s="12" t="s">
        <v>102</v>
      </c>
      <c r="BC87" s="12" t="s">
        <v>101</v>
      </c>
      <c r="BD87" s="12" t="s">
        <v>102</v>
      </c>
      <c r="BE87" s="12" t="s">
        <v>101</v>
      </c>
      <c r="BF87" s="12" t="s">
        <v>118</v>
      </c>
      <c r="BG87" s="12" t="s">
        <v>513</v>
      </c>
      <c r="BH87" s="12" t="s">
        <v>105</v>
      </c>
      <c r="BI87" s="12">
        <v>10</v>
      </c>
      <c r="BJ87" s="12">
        <v>2</v>
      </c>
      <c r="BK87" s="12">
        <v>2</v>
      </c>
      <c r="BL87" s="12">
        <v>14</v>
      </c>
      <c r="BM87" s="12">
        <v>4</v>
      </c>
      <c r="BN87" s="12">
        <v>13</v>
      </c>
      <c r="BO87" s="12">
        <v>10</v>
      </c>
      <c r="BP87" s="12">
        <v>10</v>
      </c>
      <c r="BQ87" s="12">
        <v>2</v>
      </c>
      <c r="BR87" s="12">
        <v>14</v>
      </c>
      <c r="BS87" s="12">
        <v>4</v>
      </c>
      <c r="BT87" s="12">
        <v>13</v>
      </c>
      <c r="BU87" s="12"/>
      <c r="CI87" s="51"/>
      <c r="CJ87" s="8" t="b">
        <v>0</v>
      </c>
      <c r="CT87" s="8">
        <v>103200</v>
      </c>
      <c r="CV87" s="51" t="s">
        <v>514</v>
      </c>
      <c r="CW87" s="8" t="str">
        <f t="shared" si="3"/>
        <v>GMFL.10.12 </v>
      </c>
    </row>
    <row r="88" spans="1:101" s="8" customFormat="1" x14ac:dyDescent="0.25">
      <c r="A88" s="13">
        <v>108300</v>
      </c>
      <c r="B88" s="9">
        <v>10</v>
      </c>
      <c r="C88" s="9" t="s">
        <v>515</v>
      </c>
      <c r="D88" s="9" t="s">
        <v>121</v>
      </c>
      <c r="E88" s="9" t="s">
        <v>237</v>
      </c>
      <c r="F88" s="9"/>
      <c r="G88" s="33" t="s">
        <v>516</v>
      </c>
      <c r="H88" s="47" t="s">
        <v>517</v>
      </c>
      <c r="I88" s="9" t="str">
        <f>_xlfn.XLOOKUP(H88,'Alternative Tool Body Sheet'!A:A,'Alternative Tool Body Sheet'!C:C)</f>
        <v>10 MDS</v>
      </c>
      <c r="J88" s="9">
        <f t="shared" si="2"/>
        <v>7</v>
      </c>
      <c r="K88" s="9" t="s">
        <v>114</v>
      </c>
      <c r="L88" s="9">
        <v>10.75</v>
      </c>
      <c r="M88" s="9">
        <v>9.1</v>
      </c>
      <c r="N88" s="9">
        <v>15.35</v>
      </c>
      <c r="P88" s="9">
        <v>9.75</v>
      </c>
      <c r="Q88" s="9" t="s">
        <v>115</v>
      </c>
      <c r="R88" s="9">
        <v>9.6</v>
      </c>
      <c r="U88" s="9" t="s">
        <v>99</v>
      </c>
      <c r="V88" s="9">
        <v>10</v>
      </c>
      <c r="W88" s="9">
        <v>10</v>
      </c>
      <c r="X88" s="9">
        <v>0.5</v>
      </c>
      <c r="Y88" s="9">
        <v>1</v>
      </c>
      <c r="Z88" s="9">
        <v>0.5</v>
      </c>
      <c r="AA88" s="9">
        <v>48</v>
      </c>
      <c r="AB88" s="9">
        <v>96</v>
      </c>
      <c r="AD88" s="9">
        <v>48</v>
      </c>
      <c r="AI88" s="9">
        <v>96</v>
      </c>
      <c r="AN88" s="9">
        <v>750</v>
      </c>
      <c r="AO88" s="9">
        <v>83</v>
      </c>
      <c r="AP88" s="9">
        <v>21</v>
      </c>
      <c r="AQ88" s="9">
        <v>344</v>
      </c>
      <c r="AR88" s="9">
        <v>54</v>
      </c>
      <c r="AT88" s="9">
        <v>90</v>
      </c>
      <c r="AV88" s="9">
        <v>4.7</v>
      </c>
      <c r="AW88" s="9">
        <v>0.39</v>
      </c>
      <c r="AX88" s="9">
        <v>375</v>
      </c>
      <c r="AY88" s="9">
        <v>2000</v>
      </c>
      <c r="AZ88" s="9" t="s">
        <v>518</v>
      </c>
      <c r="BA88" s="9" t="s">
        <v>102</v>
      </c>
      <c r="BB88" s="9" t="s">
        <v>102</v>
      </c>
      <c r="BC88" s="9" t="s">
        <v>101</v>
      </c>
      <c r="BD88" s="9" t="s">
        <v>102</v>
      </c>
      <c r="BE88" s="9" t="s">
        <v>101</v>
      </c>
      <c r="BF88" s="9" t="s">
        <v>118</v>
      </c>
      <c r="BG88" s="9" t="s">
        <v>104</v>
      </c>
      <c r="BH88" s="9" t="s">
        <v>105</v>
      </c>
      <c r="BI88" s="9">
        <v>7</v>
      </c>
      <c r="BJ88" s="9">
        <v>1</v>
      </c>
      <c r="BK88" s="9">
        <v>2</v>
      </c>
      <c r="BL88" s="9">
        <v>12</v>
      </c>
      <c r="BM88" s="9">
        <v>4</v>
      </c>
      <c r="BN88" s="9">
        <v>9</v>
      </c>
      <c r="BO88" s="9">
        <v>7</v>
      </c>
      <c r="BP88" s="9">
        <v>7</v>
      </c>
      <c r="BQ88" s="9">
        <v>2</v>
      </c>
      <c r="BR88" s="9">
        <v>12</v>
      </c>
      <c r="BS88" s="9">
        <v>4</v>
      </c>
      <c r="BT88" s="9">
        <v>9</v>
      </c>
      <c r="BX88" s="8">
        <v>108081</v>
      </c>
      <c r="BY88" s="8">
        <v>110257</v>
      </c>
      <c r="CI88" s="51"/>
      <c r="CJ88" s="8" t="b">
        <v>0</v>
      </c>
      <c r="CT88" s="8">
        <v>108300</v>
      </c>
      <c r="CV88" s="51" t="s">
        <v>517</v>
      </c>
      <c r="CW88" s="8" t="str">
        <f t="shared" si="3"/>
        <v>FLEX.DEF.MFL.RES.10</v>
      </c>
    </row>
    <row r="89" spans="1:101" s="8" customFormat="1" x14ac:dyDescent="0.25">
      <c r="A89" s="13">
        <v>113580</v>
      </c>
      <c r="B89" s="9">
        <v>10</v>
      </c>
      <c r="C89" s="9" t="s">
        <v>519</v>
      </c>
      <c r="D89" s="9" t="s">
        <v>94</v>
      </c>
      <c r="E89" s="9" t="s">
        <v>212</v>
      </c>
      <c r="F89" s="9"/>
      <c r="G89" s="33" t="s">
        <v>520</v>
      </c>
      <c r="H89" s="47" t="s">
        <v>521</v>
      </c>
      <c r="I89" s="9" t="s">
        <v>522</v>
      </c>
      <c r="J89" s="9">
        <f t="shared" si="2"/>
        <v>5</v>
      </c>
      <c r="K89" s="9" t="s">
        <v>114</v>
      </c>
      <c r="L89" s="9">
        <v>10.75</v>
      </c>
      <c r="M89" s="9">
        <v>9.1</v>
      </c>
      <c r="N89" s="9">
        <v>15.35</v>
      </c>
      <c r="P89" s="9">
        <v>9.75</v>
      </c>
      <c r="Q89" s="9" t="s">
        <v>115</v>
      </c>
      <c r="R89" s="9">
        <v>9.75</v>
      </c>
      <c r="S89" s="9">
        <v>9.75</v>
      </c>
      <c r="T89" s="9">
        <v>9.1999999999999993</v>
      </c>
      <c r="U89" s="9" t="s">
        <v>99</v>
      </c>
      <c r="V89" s="9">
        <v>10</v>
      </c>
      <c r="W89" s="9">
        <v>10</v>
      </c>
      <c r="X89" s="9">
        <v>0.56200000000000006</v>
      </c>
      <c r="Y89" s="9">
        <v>1</v>
      </c>
      <c r="Z89" s="9">
        <v>0.56200000000000006</v>
      </c>
      <c r="AA89" s="9">
        <v>31</v>
      </c>
      <c r="AD89" s="9">
        <v>32</v>
      </c>
      <c r="AH89" s="9">
        <v>96</v>
      </c>
      <c r="AN89" s="9">
        <v>750</v>
      </c>
      <c r="AO89" s="9">
        <v>128</v>
      </c>
      <c r="AP89" s="9">
        <v>22</v>
      </c>
      <c r="AQ89" s="9">
        <v>445</v>
      </c>
      <c r="AR89" s="9">
        <v>55</v>
      </c>
      <c r="AT89" s="9">
        <v>19</v>
      </c>
      <c r="AV89" s="9">
        <v>15.68</v>
      </c>
      <c r="AW89" s="9">
        <v>1.31</v>
      </c>
      <c r="AX89" s="9">
        <v>300</v>
      </c>
      <c r="AY89" s="9">
        <v>2000</v>
      </c>
      <c r="AZ89" s="9" t="s">
        <v>523</v>
      </c>
      <c r="BA89" s="9" t="s">
        <v>102</v>
      </c>
      <c r="BB89" s="9" t="s">
        <v>101</v>
      </c>
      <c r="BC89" s="9" t="s">
        <v>101</v>
      </c>
      <c r="BD89" s="9" t="s">
        <v>102</v>
      </c>
      <c r="BE89" s="9" t="s">
        <v>102</v>
      </c>
      <c r="BF89" s="9" t="s">
        <v>321</v>
      </c>
      <c r="BG89" s="9" t="s">
        <v>322</v>
      </c>
      <c r="BH89" s="9" t="s">
        <v>105</v>
      </c>
      <c r="BI89" s="9">
        <v>11</v>
      </c>
      <c r="BJ89" s="9">
        <v>1</v>
      </c>
      <c r="BK89" s="9">
        <v>2</v>
      </c>
      <c r="BL89" s="9">
        <v>12</v>
      </c>
      <c r="BM89" s="9">
        <v>4</v>
      </c>
      <c r="BN89" s="9">
        <v>14</v>
      </c>
      <c r="BO89" s="9">
        <v>11</v>
      </c>
      <c r="BP89" s="9">
        <v>11</v>
      </c>
      <c r="BQ89" s="9">
        <v>2</v>
      </c>
      <c r="BR89" s="9">
        <v>12</v>
      </c>
      <c r="BS89" s="9">
        <v>4</v>
      </c>
      <c r="BT89" s="9">
        <v>14</v>
      </c>
      <c r="BX89" s="8" t="s">
        <v>479</v>
      </c>
      <c r="BY89" s="8">
        <v>112058</v>
      </c>
      <c r="CI89" s="51"/>
      <c r="CJ89" s="8" t="b">
        <v>0</v>
      </c>
      <c r="CT89" s="8">
        <v>113580</v>
      </c>
      <c r="CV89" s="51" t="s">
        <v>524</v>
      </c>
      <c r="CW89" s="8" t="str">
        <f t="shared" si="3"/>
        <v>DEF.MFL.XYZ.10 </v>
      </c>
    </row>
    <row r="90" spans="1:101" s="8" customFormat="1" x14ac:dyDescent="0.25">
      <c r="A90" s="13">
        <v>113240</v>
      </c>
      <c r="B90" s="9">
        <v>10</v>
      </c>
      <c r="C90" s="9" t="s">
        <v>525</v>
      </c>
      <c r="D90" s="9" t="s">
        <v>94</v>
      </c>
      <c r="E90" s="9" t="s">
        <v>224</v>
      </c>
      <c r="F90" s="9"/>
      <c r="G90" s="33" t="s">
        <v>526</v>
      </c>
      <c r="H90" s="47" t="s">
        <v>527</v>
      </c>
      <c r="I90" s="9" t="s">
        <v>522</v>
      </c>
      <c r="J90" s="9">
        <f t="shared" si="2"/>
        <v>5</v>
      </c>
      <c r="K90" s="9" t="s">
        <v>172</v>
      </c>
      <c r="L90" s="9">
        <v>10.75</v>
      </c>
      <c r="M90" s="9">
        <v>9.1</v>
      </c>
      <c r="N90" s="9">
        <v>15.35</v>
      </c>
      <c r="P90" s="9">
        <v>9.75</v>
      </c>
      <c r="Q90" s="9" t="s">
        <v>99</v>
      </c>
      <c r="S90" s="9">
        <v>9.75</v>
      </c>
      <c r="U90" s="9" t="s">
        <v>99</v>
      </c>
      <c r="V90" s="9">
        <v>10</v>
      </c>
      <c r="W90" s="9">
        <v>10</v>
      </c>
      <c r="X90" s="9">
        <v>0.56200000000000006</v>
      </c>
      <c r="Y90" s="9">
        <v>1</v>
      </c>
      <c r="Z90" s="9">
        <v>0.56200000000000006</v>
      </c>
      <c r="AA90" s="9">
        <v>15</v>
      </c>
      <c r="AH90" s="9">
        <v>96</v>
      </c>
      <c r="AN90" s="9">
        <v>750</v>
      </c>
      <c r="AO90" s="9">
        <v>129</v>
      </c>
      <c r="AP90" s="9">
        <v>23</v>
      </c>
      <c r="AQ90" s="9">
        <v>384</v>
      </c>
      <c r="AR90" s="9">
        <v>55</v>
      </c>
      <c r="AT90" s="9">
        <v>63</v>
      </c>
      <c r="AV90" s="9">
        <v>13.8</v>
      </c>
      <c r="AW90" s="9">
        <v>1.1499999999999999</v>
      </c>
      <c r="AX90" s="9">
        <v>300</v>
      </c>
      <c r="AY90" s="9">
        <v>2000</v>
      </c>
      <c r="AZ90" s="9" t="s">
        <v>528</v>
      </c>
      <c r="BA90" s="9" t="s">
        <v>102</v>
      </c>
      <c r="BB90" s="9" t="s">
        <v>101</v>
      </c>
      <c r="BC90" s="9" t="s">
        <v>101</v>
      </c>
      <c r="BD90" s="9" t="s">
        <v>102</v>
      </c>
      <c r="BE90" s="9" t="s">
        <v>102</v>
      </c>
      <c r="BF90" s="9" t="s">
        <v>321</v>
      </c>
      <c r="BG90" s="9" t="s">
        <v>322</v>
      </c>
      <c r="BH90" s="9" t="s">
        <v>105</v>
      </c>
      <c r="BI90" s="9">
        <v>11</v>
      </c>
      <c r="BJ90" s="9">
        <v>1</v>
      </c>
      <c r="BK90" s="9">
        <v>2</v>
      </c>
      <c r="BL90" s="9">
        <v>12</v>
      </c>
      <c r="BM90" s="9">
        <v>4</v>
      </c>
      <c r="BN90" s="9">
        <v>14</v>
      </c>
      <c r="BO90" s="9">
        <v>11</v>
      </c>
      <c r="BP90" s="9">
        <v>11</v>
      </c>
      <c r="BQ90" s="9">
        <v>2</v>
      </c>
      <c r="BR90" s="9">
        <v>12</v>
      </c>
      <c r="BS90" s="9">
        <v>4</v>
      </c>
      <c r="BT90" s="9">
        <v>14</v>
      </c>
      <c r="BX90" s="8" t="s">
        <v>479</v>
      </c>
      <c r="BY90" s="8">
        <v>112058</v>
      </c>
      <c r="CI90" s="51"/>
      <c r="CJ90" s="8" t="b">
        <v>0</v>
      </c>
      <c r="CT90" s="8">
        <v>113240</v>
      </c>
      <c r="CV90" s="51" t="s">
        <v>529</v>
      </c>
      <c r="CW90" s="8" t="str">
        <f t="shared" si="3"/>
        <v>DEF.MFL.10 </v>
      </c>
    </row>
    <row r="91" spans="1:101" s="8" customFormat="1" x14ac:dyDescent="0.25">
      <c r="A91" s="13" t="s">
        <v>530</v>
      </c>
      <c r="B91" s="9">
        <v>10</v>
      </c>
      <c r="C91" s="9" t="s">
        <v>531</v>
      </c>
      <c r="D91" s="9" t="s">
        <v>94</v>
      </c>
      <c r="E91" s="9" t="s">
        <v>164</v>
      </c>
      <c r="F91" s="9"/>
      <c r="G91" s="33" t="s">
        <v>532</v>
      </c>
      <c r="H91" s="47" t="s">
        <v>533</v>
      </c>
      <c r="I91" s="9" t="str">
        <f>_xlfn.XLOOKUP(H91,'Alternative Tool Body Sheet'!A:A,'Alternative Tool Body Sheet'!C:C)</f>
        <v>8/10 LGT</v>
      </c>
      <c r="J91" s="9">
        <f t="shared" si="2"/>
        <v>5</v>
      </c>
      <c r="K91" s="9" t="s">
        <v>98</v>
      </c>
      <c r="L91" s="9">
        <v>10.75</v>
      </c>
      <c r="M91" s="9">
        <v>6.5</v>
      </c>
      <c r="N91" s="9">
        <v>39.53</v>
      </c>
      <c r="P91" s="9">
        <v>9.75</v>
      </c>
      <c r="Q91" s="9" t="s">
        <v>115</v>
      </c>
      <c r="R91" s="9">
        <v>7.13</v>
      </c>
      <c r="U91" s="9" t="s">
        <v>99</v>
      </c>
      <c r="V91" s="9">
        <v>15</v>
      </c>
      <c r="AG91" s="9">
        <v>19</v>
      </c>
      <c r="AN91" s="9">
        <v>750</v>
      </c>
      <c r="AO91" s="9">
        <v>72</v>
      </c>
      <c r="AP91" s="9">
        <v>19</v>
      </c>
      <c r="AQ91" s="9">
        <v>77</v>
      </c>
      <c r="AR91" s="9">
        <v>25</v>
      </c>
      <c r="AT91" s="9">
        <v>92</v>
      </c>
      <c r="AV91" s="9">
        <v>3.4</v>
      </c>
      <c r="AW91" s="9">
        <v>0.28000000000000003</v>
      </c>
      <c r="AX91" s="9">
        <v>300</v>
      </c>
      <c r="AY91" s="9">
        <v>2000</v>
      </c>
      <c r="AZ91" s="9" t="s">
        <v>534</v>
      </c>
      <c r="BA91" s="9" t="s">
        <v>102</v>
      </c>
      <c r="BB91" s="9" t="s">
        <v>101</v>
      </c>
      <c r="BC91" s="9" t="s">
        <v>101</v>
      </c>
      <c r="BD91" s="9" t="s">
        <v>102</v>
      </c>
      <c r="BE91" s="9" t="s">
        <v>102</v>
      </c>
      <c r="BF91" s="9" t="s">
        <v>183</v>
      </c>
      <c r="BG91" s="9" t="s">
        <v>162</v>
      </c>
      <c r="BH91" s="9" t="s">
        <v>105</v>
      </c>
      <c r="BI91" s="9">
        <v>6</v>
      </c>
      <c r="BJ91" s="9">
        <v>1</v>
      </c>
      <c r="BK91" s="9">
        <v>2</v>
      </c>
      <c r="BL91" s="9">
        <v>12</v>
      </c>
      <c r="BM91" s="9">
        <v>4</v>
      </c>
      <c r="BN91" s="9">
        <v>8</v>
      </c>
      <c r="BO91" s="9">
        <v>6</v>
      </c>
      <c r="BP91" s="9">
        <v>6</v>
      </c>
      <c r="BQ91" s="9">
        <v>2</v>
      </c>
      <c r="BR91" s="9">
        <v>12</v>
      </c>
      <c r="BS91" s="9">
        <v>4</v>
      </c>
      <c r="BT91" s="9">
        <v>8</v>
      </c>
      <c r="BY91" s="8">
        <v>112058</v>
      </c>
      <c r="CI91" s="51"/>
      <c r="CJ91" s="8" t="b">
        <v>0</v>
      </c>
      <c r="CT91" s="8" t="s">
        <v>530</v>
      </c>
      <c r="CV91" s="51" t="s">
        <v>535</v>
      </c>
      <c r="CW91" s="8" t="str">
        <f t="shared" si="3"/>
        <v>LGT.10 </v>
      </c>
    </row>
    <row r="92" spans="1:101" s="8" customFormat="1" x14ac:dyDescent="0.25">
      <c r="A92" s="13">
        <v>115144</v>
      </c>
      <c r="B92" s="9">
        <v>10</v>
      </c>
      <c r="C92" s="9" t="s">
        <v>536</v>
      </c>
      <c r="D92" s="9" t="s">
        <v>94</v>
      </c>
      <c r="E92" s="9" t="s">
        <v>199</v>
      </c>
      <c r="F92" s="9"/>
      <c r="G92" s="33" t="s">
        <v>537</v>
      </c>
      <c r="H92" s="47" t="s">
        <v>538</v>
      </c>
      <c r="I92" s="9" t="str">
        <f>_xlfn.XLOOKUP(H92,'Alternative Tool Body Sheet'!A:A,'Alternative Tool Body Sheet'!C:C)</f>
        <v>10 MFL</v>
      </c>
      <c r="J92" s="9">
        <f t="shared" si="2"/>
        <v>5</v>
      </c>
      <c r="K92" s="9" t="s">
        <v>114</v>
      </c>
      <c r="L92" s="9">
        <v>10.75</v>
      </c>
      <c r="M92" s="9">
        <v>9.1</v>
      </c>
      <c r="P92" s="9">
        <v>9.75</v>
      </c>
      <c r="Q92" s="9" t="s">
        <v>115</v>
      </c>
      <c r="R92" s="9">
        <v>9.75</v>
      </c>
      <c r="T92" s="9">
        <v>9.1999999999999993</v>
      </c>
      <c r="U92" s="9" t="s">
        <v>99</v>
      </c>
      <c r="V92" s="9">
        <v>10</v>
      </c>
      <c r="W92" s="9">
        <v>10</v>
      </c>
      <c r="X92" s="9">
        <v>0.56200000000000006</v>
      </c>
      <c r="Y92" s="9">
        <v>1</v>
      </c>
      <c r="Z92" s="9">
        <v>0.56200000000000006</v>
      </c>
      <c r="AD92" s="9">
        <v>32</v>
      </c>
      <c r="AH92" s="9">
        <v>96</v>
      </c>
      <c r="AN92" s="9">
        <v>750</v>
      </c>
      <c r="AO92" s="9">
        <v>128</v>
      </c>
      <c r="AP92" s="9">
        <v>23</v>
      </c>
      <c r="AQ92" s="9">
        <v>370</v>
      </c>
      <c r="AR92" s="9">
        <v>55</v>
      </c>
      <c r="AT92" s="9">
        <v>55</v>
      </c>
      <c r="AV92" s="9">
        <v>15.47</v>
      </c>
      <c r="AW92" s="9">
        <v>1.2</v>
      </c>
      <c r="AX92" s="9">
        <v>300</v>
      </c>
      <c r="AY92" s="9">
        <v>2000</v>
      </c>
      <c r="AZ92" s="9" t="s">
        <v>539</v>
      </c>
      <c r="BA92" s="9" t="s">
        <v>102</v>
      </c>
      <c r="BB92" s="9" t="s">
        <v>101</v>
      </c>
      <c r="BC92" s="9" t="s">
        <v>101</v>
      </c>
      <c r="BD92" s="9" t="s">
        <v>102</v>
      </c>
      <c r="BE92" s="9" t="s">
        <v>102</v>
      </c>
      <c r="BF92" s="9" t="s">
        <v>321</v>
      </c>
      <c r="BG92" s="9" t="s">
        <v>322</v>
      </c>
      <c r="BH92" s="9" t="s">
        <v>105</v>
      </c>
      <c r="BI92" s="9">
        <v>11</v>
      </c>
      <c r="BJ92" s="9">
        <v>1</v>
      </c>
      <c r="BK92" s="9">
        <v>2</v>
      </c>
      <c r="BL92" s="9">
        <v>12</v>
      </c>
      <c r="BM92" s="9">
        <v>4</v>
      </c>
      <c r="BN92" s="9">
        <v>14</v>
      </c>
      <c r="BO92" s="9">
        <v>11</v>
      </c>
      <c r="BP92" s="9">
        <v>11</v>
      </c>
      <c r="BQ92" s="9">
        <v>2</v>
      </c>
      <c r="BR92" s="9">
        <v>12</v>
      </c>
      <c r="BS92" s="9">
        <v>4</v>
      </c>
      <c r="BT92" s="9">
        <v>14</v>
      </c>
      <c r="BX92" s="8" t="s">
        <v>479</v>
      </c>
      <c r="CI92" s="51"/>
      <c r="CJ92" s="8" t="b">
        <v>0</v>
      </c>
      <c r="CT92" s="8">
        <v>115144</v>
      </c>
      <c r="CV92" s="51" t="s">
        <v>540</v>
      </c>
      <c r="CW92" s="8" t="str">
        <f t="shared" si="3"/>
        <v>MFL.XYZ.10 </v>
      </c>
    </row>
    <row r="93" spans="1:101" s="8" customFormat="1" x14ac:dyDescent="0.25">
      <c r="A93" s="13">
        <v>110864</v>
      </c>
      <c r="B93" s="9">
        <v>10</v>
      </c>
      <c r="C93" s="9" t="s">
        <v>541</v>
      </c>
      <c r="D93" s="9" t="s">
        <v>94</v>
      </c>
      <c r="E93" s="9" t="s">
        <v>169</v>
      </c>
      <c r="F93" s="9"/>
      <c r="G93" s="33" t="s">
        <v>542</v>
      </c>
      <c r="H93" s="47" t="s">
        <v>477</v>
      </c>
      <c r="I93" s="9" t="str">
        <f>_xlfn.XLOOKUP(H93,'Alternative Tool Body Sheet'!A:A,'Alternative Tool Body Sheet'!C:C)</f>
        <v>10 MFL</v>
      </c>
      <c r="J93" s="9">
        <f t="shared" si="2"/>
        <v>5</v>
      </c>
      <c r="K93" s="9" t="s">
        <v>114</v>
      </c>
      <c r="L93" s="9">
        <v>10.75</v>
      </c>
      <c r="M93" s="9">
        <v>9.1</v>
      </c>
      <c r="P93" s="9">
        <v>9.75</v>
      </c>
      <c r="Q93" s="9" t="s">
        <v>115</v>
      </c>
      <c r="R93" s="9">
        <v>9.75</v>
      </c>
      <c r="T93" s="9">
        <v>9.1999999999999993</v>
      </c>
      <c r="U93" s="9" t="s">
        <v>99</v>
      </c>
      <c r="V93" s="9">
        <v>10</v>
      </c>
      <c r="W93" s="9">
        <v>10</v>
      </c>
      <c r="X93" s="9">
        <v>0.56200000000000006</v>
      </c>
      <c r="Y93" s="9">
        <v>1</v>
      </c>
      <c r="Z93" s="9">
        <v>0.56200000000000006</v>
      </c>
      <c r="AD93" s="9">
        <v>32</v>
      </c>
      <c r="AH93" s="9">
        <v>96</v>
      </c>
      <c r="AN93" s="9">
        <v>750</v>
      </c>
      <c r="AO93" s="9">
        <v>108</v>
      </c>
      <c r="AP93" s="9">
        <v>23</v>
      </c>
      <c r="AQ93" s="9">
        <v>370</v>
      </c>
      <c r="AR93" s="9">
        <v>55</v>
      </c>
      <c r="AT93" s="9">
        <v>55</v>
      </c>
      <c r="AV93" s="9">
        <v>15.47</v>
      </c>
      <c r="AW93" s="9">
        <v>1.29</v>
      </c>
      <c r="AX93" s="9">
        <v>300</v>
      </c>
      <c r="AY93" s="9">
        <v>2000</v>
      </c>
      <c r="AZ93" s="9" t="s">
        <v>543</v>
      </c>
      <c r="BA93" s="9" t="s">
        <v>102</v>
      </c>
      <c r="BB93" s="9" t="s">
        <v>101</v>
      </c>
      <c r="BC93" s="9" t="s">
        <v>101</v>
      </c>
      <c r="BD93" s="9" t="s">
        <v>102</v>
      </c>
      <c r="BE93" s="9" t="s">
        <v>102</v>
      </c>
      <c r="BF93" s="9" t="s">
        <v>321</v>
      </c>
      <c r="BG93" s="9" t="s">
        <v>322</v>
      </c>
      <c r="BH93" s="9" t="s">
        <v>105</v>
      </c>
      <c r="BI93" s="9">
        <v>9</v>
      </c>
      <c r="BJ93" s="9">
        <v>1</v>
      </c>
      <c r="BK93" s="9">
        <v>2</v>
      </c>
      <c r="BL93" s="9">
        <v>12</v>
      </c>
      <c r="BM93" s="9">
        <v>4</v>
      </c>
      <c r="BN93" s="9">
        <v>12</v>
      </c>
      <c r="BO93" s="9">
        <v>9</v>
      </c>
      <c r="BP93" s="9">
        <v>9</v>
      </c>
      <c r="BQ93" s="9">
        <v>2</v>
      </c>
      <c r="BR93" s="9">
        <v>12</v>
      </c>
      <c r="BS93" s="9">
        <v>4</v>
      </c>
      <c r="BT93" s="9">
        <v>12</v>
      </c>
      <c r="BX93" s="8" t="s">
        <v>479</v>
      </c>
      <c r="CI93" s="51"/>
      <c r="CJ93" s="8" t="b">
        <v>0</v>
      </c>
      <c r="CT93" s="8">
        <v>110864</v>
      </c>
      <c r="CV93" s="51" t="s">
        <v>480</v>
      </c>
      <c r="CW93" s="8" t="str">
        <f t="shared" si="3"/>
        <v>MFL.10 </v>
      </c>
    </row>
    <row r="94" spans="1:101" s="8" customFormat="1" x14ac:dyDescent="0.25">
      <c r="A94" s="13">
        <v>113407</v>
      </c>
      <c r="B94" s="9">
        <v>10</v>
      </c>
      <c r="C94" s="9" t="s">
        <v>544</v>
      </c>
      <c r="D94" s="9" t="s">
        <v>94</v>
      </c>
      <c r="E94" s="9" t="s">
        <v>296</v>
      </c>
      <c r="F94" s="9"/>
      <c r="G94" s="33" t="s">
        <v>545</v>
      </c>
      <c r="H94" s="47" t="s">
        <v>546</v>
      </c>
      <c r="I94" s="9" t="str">
        <f>_xlfn.XLOOKUP(H94,'Alternative Tool Body Sheet'!A:A,'Alternative Tool Body Sheet'!C:C)</f>
        <v>10 GMFL</v>
      </c>
      <c r="J94" s="9">
        <f t="shared" si="2"/>
        <v>5</v>
      </c>
      <c r="K94" s="9" t="s">
        <v>114</v>
      </c>
      <c r="L94" s="9">
        <v>10.75</v>
      </c>
      <c r="M94" s="9">
        <v>8.1</v>
      </c>
      <c r="N94" s="9">
        <v>24.65</v>
      </c>
      <c r="P94" s="9">
        <v>9.75</v>
      </c>
      <c r="Q94" s="9" t="s">
        <v>115</v>
      </c>
      <c r="R94" s="9">
        <v>9.25</v>
      </c>
      <c r="T94" s="9">
        <v>8.5</v>
      </c>
      <c r="U94" s="9" t="s">
        <v>116</v>
      </c>
      <c r="V94" s="9">
        <v>10</v>
      </c>
      <c r="W94" s="9">
        <v>10</v>
      </c>
      <c r="X94" s="9">
        <v>0.45200000000000001</v>
      </c>
      <c r="Y94" s="9">
        <v>1</v>
      </c>
      <c r="Z94" s="9">
        <v>0.49399999999999999</v>
      </c>
      <c r="AC94" s="9">
        <v>96</v>
      </c>
      <c r="AD94" s="9">
        <v>32</v>
      </c>
      <c r="AN94" s="9">
        <v>750</v>
      </c>
      <c r="AO94" s="9">
        <v>135</v>
      </c>
      <c r="AP94" s="9">
        <v>24</v>
      </c>
      <c r="AQ94" s="9">
        <v>295</v>
      </c>
      <c r="AR94" s="9">
        <v>55</v>
      </c>
      <c r="AT94" s="9">
        <v>22</v>
      </c>
      <c r="AX94" s="9">
        <v>300</v>
      </c>
      <c r="AY94" s="9">
        <v>2000</v>
      </c>
      <c r="AZ94" s="9" t="s">
        <v>547</v>
      </c>
      <c r="BA94" s="9" t="s">
        <v>102</v>
      </c>
      <c r="BB94" s="9" t="s">
        <v>101</v>
      </c>
      <c r="BC94" s="9" t="s">
        <v>101</v>
      </c>
      <c r="BD94" s="9" t="s">
        <v>102</v>
      </c>
      <c r="BE94" s="9" t="s">
        <v>102</v>
      </c>
      <c r="BF94" s="9" t="s">
        <v>118</v>
      </c>
      <c r="BG94" s="9" t="s">
        <v>118</v>
      </c>
      <c r="BH94" s="9" t="s">
        <v>105</v>
      </c>
      <c r="BI94" s="9">
        <v>12</v>
      </c>
      <c r="BJ94" s="9">
        <v>1</v>
      </c>
      <c r="BK94" s="9">
        <v>2</v>
      </c>
      <c r="BL94" s="9">
        <v>12</v>
      </c>
      <c r="BM94" s="9">
        <v>4</v>
      </c>
      <c r="BN94" s="9">
        <v>15</v>
      </c>
      <c r="BO94" s="9">
        <v>12</v>
      </c>
      <c r="BP94" s="9">
        <v>12</v>
      </c>
      <c r="BQ94" s="9">
        <v>2</v>
      </c>
      <c r="BR94" s="9">
        <v>12</v>
      </c>
      <c r="BS94" s="9">
        <v>4</v>
      </c>
      <c r="BT94" s="9">
        <v>15</v>
      </c>
      <c r="CI94" s="51">
        <v>108557</v>
      </c>
      <c r="CJ94" s="8" t="b">
        <v>0</v>
      </c>
      <c r="CT94" s="8">
        <v>113407</v>
      </c>
      <c r="CV94" s="51" t="s">
        <v>548</v>
      </c>
      <c r="CW94" s="8" t="str">
        <f t="shared" si="3"/>
        <v>GMFL.XYZ.10 </v>
      </c>
    </row>
    <row r="95" spans="1:101" s="8" customFormat="1" x14ac:dyDescent="0.25">
      <c r="A95" s="13">
        <v>129298</v>
      </c>
      <c r="B95" s="9">
        <v>10</v>
      </c>
      <c r="C95" s="9" t="s">
        <v>549</v>
      </c>
      <c r="D95" s="9" t="s">
        <v>121</v>
      </c>
      <c r="E95" s="9" t="s">
        <v>122</v>
      </c>
      <c r="F95" s="9"/>
      <c r="G95" s="33" t="s">
        <v>550</v>
      </c>
      <c r="H95" s="47" t="s">
        <v>551</v>
      </c>
      <c r="I95" s="9" t="str">
        <f>_xlfn.XLOOKUP(H95,'Alternative Tool Body Sheet'!A:A,'Alternative Tool Body Sheet'!C:C)</f>
        <v>10 MDS</v>
      </c>
      <c r="J95" s="9">
        <f t="shared" si="2"/>
        <v>7</v>
      </c>
      <c r="K95" s="9" t="s">
        <v>114</v>
      </c>
      <c r="L95" s="9">
        <v>10.75</v>
      </c>
      <c r="M95" s="9">
        <v>9.1</v>
      </c>
      <c r="Q95" s="9" t="s">
        <v>115</v>
      </c>
      <c r="R95" s="9">
        <v>9.6</v>
      </c>
      <c r="U95" s="9" t="s">
        <v>99</v>
      </c>
      <c r="V95" s="9">
        <v>10</v>
      </c>
      <c r="W95" s="9">
        <v>10</v>
      </c>
      <c r="X95" s="9">
        <v>0.5</v>
      </c>
      <c r="Y95" s="9">
        <v>1</v>
      </c>
      <c r="Z95" s="9">
        <v>0.5</v>
      </c>
      <c r="AA95" s="9">
        <v>48</v>
      </c>
      <c r="AB95" s="9">
        <v>96</v>
      </c>
      <c r="AD95" s="9">
        <v>48</v>
      </c>
      <c r="AN95" s="9">
        <v>750</v>
      </c>
      <c r="AO95" s="9">
        <v>83</v>
      </c>
      <c r="AQ95" s="9">
        <v>318</v>
      </c>
      <c r="AT95" s="9">
        <v>90</v>
      </c>
      <c r="AX95" s="9">
        <v>375</v>
      </c>
      <c r="AY95" s="9">
        <v>2000</v>
      </c>
      <c r="AZ95" s="9" t="s">
        <v>552</v>
      </c>
      <c r="BA95" s="9" t="s">
        <v>102</v>
      </c>
      <c r="BB95" s="9" t="s">
        <v>101</v>
      </c>
      <c r="BC95" s="9" t="s">
        <v>101</v>
      </c>
      <c r="BD95" s="9" t="s">
        <v>101</v>
      </c>
      <c r="BE95" s="9" t="s">
        <v>102</v>
      </c>
      <c r="BF95" s="9" t="s">
        <v>118</v>
      </c>
      <c r="BG95" s="9" t="s">
        <v>118</v>
      </c>
      <c r="BH95" s="9" t="s">
        <v>105</v>
      </c>
      <c r="BI95" s="9">
        <v>7</v>
      </c>
      <c r="BJ95" s="9">
        <v>1</v>
      </c>
      <c r="BK95" s="9">
        <v>2</v>
      </c>
      <c r="BL95" s="9">
        <v>12</v>
      </c>
      <c r="BM95" s="9">
        <v>4</v>
      </c>
      <c r="BN95" s="9">
        <v>9</v>
      </c>
      <c r="BO95" s="9">
        <v>7</v>
      </c>
      <c r="BP95" s="9">
        <v>7</v>
      </c>
      <c r="BQ95" s="9">
        <v>2</v>
      </c>
      <c r="BR95" s="9">
        <v>12</v>
      </c>
      <c r="BS95" s="9">
        <v>4</v>
      </c>
      <c r="BT95" s="9">
        <v>9</v>
      </c>
      <c r="BX95" s="8">
        <v>108081</v>
      </c>
      <c r="BY95" s="8">
        <v>110257</v>
      </c>
      <c r="CI95" s="51"/>
      <c r="CJ95" s="8" t="b">
        <v>0</v>
      </c>
      <c r="CT95" s="8">
        <v>129298</v>
      </c>
      <c r="CV95" s="51" t="s">
        <v>553</v>
      </c>
      <c r="CW95" s="8" t="str">
        <f t="shared" si="3"/>
        <v>FLEX.DEF.MFL.10 </v>
      </c>
    </row>
    <row r="96" spans="1:101" s="8" customFormat="1" x14ac:dyDescent="0.25">
      <c r="A96" s="13">
        <v>110548</v>
      </c>
      <c r="B96" s="9">
        <v>10</v>
      </c>
      <c r="C96" s="9" t="s">
        <v>554</v>
      </c>
      <c r="D96" s="9" t="s">
        <v>94</v>
      </c>
      <c r="E96" s="9" t="s">
        <v>194</v>
      </c>
      <c r="F96" s="9"/>
      <c r="G96" s="33" t="s">
        <v>555</v>
      </c>
      <c r="H96" s="47" t="s">
        <v>556</v>
      </c>
      <c r="I96" s="9" t="str">
        <f>_xlfn.XLOOKUP(H96,'Alternative Tool Body Sheet'!A:A,'Alternative Tool Body Sheet'!C:C)</f>
        <v>10 DEF</v>
      </c>
      <c r="J96" s="9">
        <f t="shared" si="2"/>
        <v>5</v>
      </c>
      <c r="K96" s="9" t="s">
        <v>114</v>
      </c>
      <c r="L96" s="9">
        <v>10.75</v>
      </c>
      <c r="M96" s="9">
        <v>8.1</v>
      </c>
      <c r="N96" s="9">
        <v>24.65</v>
      </c>
      <c r="P96" s="9">
        <v>9.75</v>
      </c>
      <c r="Q96" s="9" t="s">
        <v>115</v>
      </c>
      <c r="R96" s="9">
        <v>9.25</v>
      </c>
      <c r="T96" s="9">
        <v>8.1</v>
      </c>
      <c r="U96" s="9" t="s">
        <v>99</v>
      </c>
      <c r="V96" s="9">
        <v>15</v>
      </c>
      <c r="AA96" s="9">
        <v>31</v>
      </c>
      <c r="AN96" s="9">
        <v>750</v>
      </c>
      <c r="AO96" s="9">
        <v>89</v>
      </c>
      <c r="AP96" s="9">
        <v>24</v>
      </c>
      <c r="AQ96" s="9">
        <v>192</v>
      </c>
      <c r="AR96" s="9">
        <v>55</v>
      </c>
      <c r="AT96" s="9">
        <v>17</v>
      </c>
      <c r="AV96" s="9">
        <v>15.84</v>
      </c>
      <c r="AW96" s="9">
        <v>1.32</v>
      </c>
      <c r="AX96" s="9">
        <v>300</v>
      </c>
      <c r="AY96" s="9">
        <v>2000</v>
      </c>
      <c r="AZ96" s="9" t="s">
        <v>557</v>
      </c>
      <c r="BA96" s="9" t="s">
        <v>102</v>
      </c>
      <c r="BB96" s="9" t="s">
        <v>102</v>
      </c>
      <c r="BC96" s="9" t="s">
        <v>102</v>
      </c>
      <c r="BD96" s="9" t="s">
        <v>102</v>
      </c>
      <c r="BE96" s="9" t="s">
        <v>102</v>
      </c>
      <c r="BF96" s="9" t="s">
        <v>118</v>
      </c>
      <c r="BG96" s="9" t="s">
        <v>322</v>
      </c>
      <c r="BH96" s="9" t="s">
        <v>105</v>
      </c>
      <c r="BI96" s="9">
        <v>8</v>
      </c>
      <c r="BJ96" s="9">
        <v>1</v>
      </c>
      <c r="BK96" s="9">
        <v>2</v>
      </c>
      <c r="BL96" s="9">
        <v>12</v>
      </c>
      <c r="BM96" s="9">
        <v>4</v>
      </c>
      <c r="BN96" s="9">
        <v>10</v>
      </c>
      <c r="BO96" s="9">
        <v>8</v>
      </c>
      <c r="BP96" s="9">
        <v>8</v>
      </c>
      <c r="BQ96" s="9">
        <v>2</v>
      </c>
      <c r="BR96" s="9">
        <v>12</v>
      </c>
      <c r="BS96" s="9">
        <v>4</v>
      </c>
      <c r="BT96" s="9">
        <v>10</v>
      </c>
      <c r="BY96" s="8">
        <v>112058</v>
      </c>
      <c r="CI96" s="51"/>
      <c r="CJ96" s="8" t="b">
        <v>0</v>
      </c>
      <c r="CT96" s="8">
        <v>110548</v>
      </c>
      <c r="CV96" s="51" t="s">
        <v>558</v>
      </c>
      <c r="CW96" s="8" t="str">
        <f t="shared" si="3"/>
        <v>DEF.XYZ.10 </v>
      </c>
    </row>
    <row r="97" spans="1:101" s="8" customFormat="1" x14ac:dyDescent="0.25">
      <c r="A97" s="13">
        <v>108577</v>
      </c>
      <c r="B97" s="9">
        <v>10</v>
      </c>
      <c r="C97" s="9" t="s">
        <v>559</v>
      </c>
      <c r="D97" s="9" t="s">
        <v>94</v>
      </c>
      <c r="E97" s="9" t="s">
        <v>145</v>
      </c>
      <c r="F97" s="9"/>
      <c r="G97" s="33" t="s">
        <v>560</v>
      </c>
      <c r="H97" s="47" t="s">
        <v>527</v>
      </c>
      <c r="I97" s="9" t="s">
        <v>522</v>
      </c>
      <c r="J97" s="9">
        <f t="shared" si="2"/>
        <v>5</v>
      </c>
      <c r="K97" s="9" t="s">
        <v>114</v>
      </c>
      <c r="L97" s="9">
        <v>10.75</v>
      </c>
      <c r="M97" s="9">
        <v>9.1</v>
      </c>
      <c r="N97" s="9">
        <v>15.35</v>
      </c>
      <c r="P97" s="9">
        <v>9.75</v>
      </c>
      <c r="Q97" s="9" t="s">
        <v>115</v>
      </c>
      <c r="R97" s="9">
        <v>9.75</v>
      </c>
      <c r="S97" s="9">
        <v>9.75</v>
      </c>
      <c r="T97" s="9">
        <v>9.1999999999999993</v>
      </c>
      <c r="U97" s="9" t="s">
        <v>99</v>
      </c>
      <c r="V97" s="9">
        <v>10</v>
      </c>
      <c r="W97" s="9">
        <v>10</v>
      </c>
      <c r="X97" s="9">
        <v>0.56200000000000006</v>
      </c>
      <c r="Y97" s="9">
        <v>1</v>
      </c>
      <c r="Z97" s="9">
        <v>0.56200000000000006</v>
      </c>
      <c r="AA97" s="9">
        <v>31</v>
      </c>
      <c r="AD97" s="9">
        <v>32</v>
      </c>
      <c r="AH97" s="9">
        <v>96</v>
      </c>
      <c r="AN97" s="9">
        <v>750</v>
      </c>
      <c r="AO97" s="9">
        <v>106</v>
      </c>
      <c r="AP97" s="9">
        <v>23</v>
      </c>
      <c r="AQ97" s="9">
        <v>371</v>
      </c>
      <c r="AR97" s="9">
        <v>55</v>
      </c>
      <c r="AT97" s="9">
        <v>50</v>
      </c>
      <c r="AX97" s="9">
        <v>300</v>
      </c>
      <c r="AY97" s="9">
        <v>2000</v>
      </c>
      <c r="AZ97" s="9" t="s">
        <v>561</v>
      </c>
      <c r="BA97" s="9" t="s">
        <v>102</v>
      </c>
      <c r="BB97" s="9" t="s">
        <v>101</v>
      </c>
      <c r="BC97" s="9" t="s">
        <v>101</v>
      </c>
      <c r="BD97" s="9" t="s">
        <v>102</v>
      </c>
      <c r="BE97" s="9" t="s">
        <v>102</v>
      </c>
      <c r="BF97" s="9" t="s">
        <v>321</v>
      </c>
      <c r="BG97" s="9" t="s">
        <v>322</v>
      </c>
      <c r="BH97" s="9" t="s">
        <v>105</v>
      </c>
      <c r="BI97" s="9">
        <v>9</v>
      </c>
      <c r="BJ97" s="9">
        <v>1</v>
      </c>
      <c r="BK97" s="9">
        <v>2</v>
      </c>
      <c r="BL97" s="9">
        <v>12</v>
      </c>
      <c r="BM97" s="9">
        <v>4</v>
      </c>
      <c r="BN97" s="9">
        <v>12</v>
      </c>
      <c r="BO97" s="9">
        <v>9</v>
      </c>
      <c r="BP97" s="9">
        <v>9</v>
      </c>
      <c r="BQ97" s="9">
        <v>2</v>
      </c>
      <c r="BR97" s="9">
        <v>12</v>
      </c>
      <c r="BS97" s="9">
        <v>4</v>
      </c>
      <c r="BT97" s="9">
        <v>12</v>
      </c>
      <c r="BX97" s="8" t="s">
        <v>479</v>
      </c>
      <c r="BY97" s="8">
        <v>112058</v>
      </c>
      <c r="CI97" s="51"/>
      <c r="CJ97" s="8" t="b">
        <v>0</v>
      </c>
      <c r="CT97" s="8">
        <v>108577</v>
      </c>
      <c r="CV97" s="51" t="s">
        <v>529</v>
      </c>
      <c r="CW97" s="8" t="str">
        <f t="shared" si="3"/>
        <v>DEF.MFL.10 </v>
      </c>
    </row>
    <row r="98" spans="1:101" s="8" customFormat="1" x14ac:dyDescent="0.25">
      <c r="A98" s="13">
        <v>129299</v>
      </c>
      <c r="B98" s="9">
        <v>10</v>
      </c>
      <c r="C98" s="9" t="s">
        <v>562</v>
      </c>
      <c r="D98" s="9" t="s">
        <v>121</v>
      </c>
      <c r="E98" s="9" t="s">
        <v>152</v>
      </c>
      <c r="F98" s="9"/>
      <c r="G98" s="33" t="s">
        <v>563</v>
      </c>
      <c r="H98" s="47" t="s">
        <v>564</v>
      </c>
      <c r="I98" s="9" t="str">
        <f>_xlfn.XLOOKUP(H98,'Alternative Tool Body Sheet'!A:A,'Alternative Tool Body Sheet'!C:C)</f>
        <v>10 MDS</v>
      </c>
      <c r="J98" s="9">
        <f t="shared" si="2"/>
        <v>7</v>
      </c>
      <c r="K98" s="9" t="s">
        <v>114</v>
      </c>
      <c r="L98" s="9">
        <v>10.75</v>
      </c>
      <c r="M98" s="9">
        <v>9.1</v>
      </c>
      <c r="Q98" s="9" t="s">
        <v>115</v>
      </c>
      <c r="R98" s="9">
        <v>9.6</v>
      </c>
      <c r="U98" s="9" t="s">
        <v>99</v>
      </c>
      <c r="V98" s="9">
        <v>10</v>
      </c>
      <c r="W98" s="9">
        <v>10</v>
      </c>
      <c r="X98" s="9">
        <v>0.5</v>
      </c>
      <c r="Y98" s="9">
        <v>1</v>
      </c>
      <c r="Z98" s="9">
        <v>0.5</v>
      </c>
      <c r="AA98" s="9">
        <v>48</v>
      </c>
      <c r="AB98" s="9">
        <v>96</v>
      </c>
      <c r="AD98" s="9">
        <v>48</v>
      </c>
      <c r="AN98" s="9">
        <v>750</v>
      </c>
      <c r="AO98" s="9">
        <v>126</v>
      </c>
      <c r="AQ98" s="9">
        <v>437</v>
      </c>
      <c r="AT98" s="9">
        <v>21</v>
      </c>
      <c r="AX98" s="9">
        <v>375</v>
      </c>
      <c r="AY98" s="9">
        <v>2000</v>
      </c>
      <c r="AZ98" s="9" t="s">
        <v>565</v>
      </c>
      <c r="BA98" s="9" t="s">
        <v>102</v>
      </c>
      <c r="BB98" s="9" t="s">
        <v>102</v>
      </c>
      <c r="BC98" s="9" t="s">
        <v>101</v>
      </c>
      <c r="BD98" s="9" t="s">
        <v>102</v>
      </c>
      <c r="BE98" s="9" t="s">
        <v>101</v>
      </c>
      <c r="BF98" s="9" t="s">
        <v>126</v>
      </c>
      <c r="BG98" s="9" t="s">
        <v>126</v>
      </c>
      <c r="BH98" s="9" t="s">
        <v>105</v>
      </c>
      <c r="BI98" s="9">
        <v>11</v>
      </c>
      <c r="BJ98" s="9">
        <v>2</v>
      </c>
      <c r="BK98" s="9">
        <v>2</v>
      </c>
      <c r="BL98" s="9">
        <v>16</v>
      </c>
      <c r="BM98" s="9">
        <v>4</v>
      </c>
      <c r="BN98" s="9">
        <v>14</v>
      </c>
      <c r="BO98" s="9">
        <v>11</v>
      </c>
      <c r="BP98" s="9">
        <v>10</v>
      </c>
      <c r="BQ98" s="9">
        <v>2</v>
      </c>
      <c r="BR98" s="9">
        <v>16</v>
      </c>
      <c r="BS98" s="9">
        <v>4</v>
      </c>
      <c r="BT98" s="9">
        <v>14</v>
      </c>
      <c r="BX98" s="8">
        <v>108081</v>
      </c>
      <c r="BY98" s="8">
        <v>110257</v>
      </c>
      <c r="CI98" s="51"/>
      <c r="CJ98" s="8" t="b">
        <v>0</v>
      </c>
      <c r="CT98" s="8">
        <v>129299</v>
      </c>
      <c r="CV98" s="51" t="s">
        <v>566</v>
      </c>
      <c r="CW98" s="8" t="str">
        <f t="shared" si="3"/>
        <v>FLEX.DEF.MFL.XYZ.10 </v>
      </c>
    </row>
    <row r="99" spans="1:101" s="8" customFormat="1" x14ac:dyDescent="0.25">
      <c r="A99" s="24">
        <v>130610</v>
      </c>
      <c r="B99" s="12">
        <v>10</v>
      </c>
      <c r="C99" s="12" t="s">
        <v>567</v>
      </c>
      <c r="D99" s="12" t="s">
        <v>121</v>
      </c>
      <c r="E99" s="12" t="s">
        <v>277</v>
      </c>
      <c r="F99" s="12"/>
      <c r="G99" s="37" t="s">
        <v>568</v>
      </c>
      <c r="H99" s="50" t="s">
        <v>569</v>
      </c>
      <c r="I99" s="9" t="str">
        <f>_xlfn.XLOOKUP(H99,'Alternative Tool Body Sheet'!A:A,'Alternative Tool Body Sheet'!C:C)</f>
        <v>10 MDS</v>
      </c>
      <c r="J99" s="12">
        <f t="shared" si="2"/>
        <v>7</v>
      </c>
      <c r="K99" s="12" t="s">
        <v>114</v>
      </c>
      <c r="L99" s="12">
        <v>10.75</v>
      </c>
      <c r="M99" s="12">
        <v>9.1</v>
      </c>
      <c r="N99" s="12"/>
      <c r="O99" s="12"/>
      <c r="P99" s="12"/>
      <c r="Q99" s="12" t="s">
        <v>115</v>
      </c>
      <c r="R99" s="12">
        <v>9.6</v>
      </c>
      <c r="S99" s="12"/>
      <c r="T99" s="12"/>
      <c r="U99" s="12" t="s">
        <v>99</v>
      </c>
      <c r="V99" s="12">
        <v>10</v>
      </c>
      <c r="W99" s="12">
        <v>10</v>
      </c>
      <c r="X99" s="12">
        <v>0.5</v>
      </c>
      <c r="Y99" s="12">
        <v>1</v>
      </c>
      <c r="Z99" s="12">
        <v>0.5</v>
      </c>
      <c r="AA99" s="12">
        <v>48</v>
      </c>
      <c r="AB99" s="12"/>
      <c r="AC99" s="12"/>
      <c r="AD99" s="12">
        <v>48</v>
      </c>
      <c r="AE99" s="12"/>
      <c r="AF99" s="12"/>
      <c r="AG99" s="12"/>
      <c r="AH99" s="12">
        <v>192</v>
      </c>
      <c r="AI99" s="12">
        <v>96</v>
      </c>
      <c r="AJ99" s="12"/>
      <c r="AK99" s="12"/>
      <c r="AL99" s="12"/>
      <c r="AM99" s="12"/>
      <c r="AN99" s="12">
        <v>750</v>
      </c>
      <c r="AO99" s="12">
        <v>126</v>
      </c>
      <c r="AP99" s="12">
        <v>21</v>
      </c>
      <c r="AQ99" s="12">
        <v>450</v>
      </c>
      <c r="AR99" s="12">
        <v>54</v>
      </c>
      <c r="AS99" s="12"/>
      <c r="AT99" s="12">
        <v>32</v>
      </c>
      <c r="AU99" s="12"/>
      <c r="AV99" s="12">
        <v>7.5</v>
      </c>
      <c r="AW99" s="12">
        <v>0.39</v>
      </c>
      <c r="AX99" s="12">
        <v>375</v>
      </c>
      <c r="AY99" s="12">
        <v>2000</v>
      </c>
      <c r="AZ99" s="12" t="s">
        <v>570</v>
      </c>
      <c r="BA99" s="12" t="s">
        <v>102</v>
      </c>
      <c r="BB99" s="12" t="s">
        <v>102</v>
      </c>
      <c r="BC99" s="12" t="s">
        <v>102</v>
      </c>
      <c r="BD99" s="12" t="s">
        <v>102</v>
      </c>
      <c r="BE99" s="12" t="s">
        <v>102</v>
      </c>
      <c r="BF99" s="12" t="s">
        <v>118</v>
      </c>
      <c r="BG99" s="12" t="s">
        <v>466</v>
      </c>
      <c r="BH99" s="12" t="s">
        <v>105</v>
      </c>
      <c r="BI99" s="12">
        <v>11</v>
      </c>
      <c r="BJ99" s="12">
        <v>1</v>
      </c>
      <c r="BK99" s="12">
        <v>2</v>
      </c>
      <c r="BL99" s="12">
        <v>12</v>
      </c>
      <c r="BM99" s="12">
        <v>4</v>
      </c>
      <c r="BN99" s="12">
        <v>14</v>
      </c>
      <c r="BO99" s="12">
        <v>11</v>
      </c>
      <c r="BP99" s="12">
        <v>11</v>
      </c>
      <c r="BQ99" s="12">
        <v>2</v>
      </c>
      <c r="BR99" s="12">
        <v>12</v>
      </c>
      <c r="BS99" s="12">
        <v>4</v>
      </c>
      <c r="BT99" s="12">
        <v>14</v>
      </c>
      <c r="BX99" s="8">
        <v>130285</v>
      </c>
      <c r="BY99" s="8">
        <v>110257</v>
      </c>
      <c r="CI99" s="51"/>
      <c r="CJ99" s="8" t="b">
        <v>0</v>
      </c>
      <c r="CT99" s="8">
        <v>130610</v>
      </c>
      <c r="CV99" s="51" t="s">
        <v>571</v>
      </c>
      <c r="CW99" s="8" t="str">
        <f t="shared" si="3"/>
        <v>DEF.RES.UMFL.XYZ.10 </v>
      </c>
    </row>
    <row r="100" spans="1:101" s="8" customFormat="1" x14ac:dyDescent="0.25">
      <c r="A100" s="13">
        <v>122986</v>
      </c>
      <c r="B100" s="9">
        <v>10</v>
      </c>
      <c r="C100" s="9" t="s">
        <v>572</v>
      </c>
      <c r="D100" s="9" t="s">
        <v>94</v>
      </c>
      <c r="E100" s="9" t="s">
        <v>194</v>
      </c>
      <c r="F100" s="9"/>
      <c r="G100" s="33" t="s">
        <v>573</v>
      </c>
      <c r="H100" s="47" t="s">
        <v>556</v>
      </c>
      <c r="I100" s="9" t="str">
        <f>_xlfn.XLOOKUP(H100,'Alternative Tool Body Sheet'!A:A,'Alternative Tool Body Sheet'!C:C)</f>
        <v>10 DEF</v>
      </c>
      <c r="J100" s="9">
        <f t="shared" si="2"/>
        <v>5</v>
      </c>
      <c r="K100" s="9" t="s">
        <v>172</v>
      </c>
      <c r="L100" s="9">
        <v>10.75</v>
      </c>
      <c r="M100" s="9">
        <v>8.1</v>
      </c>
      <c r="N100" s="9">
        <v>24.65</v>
      </c>
      <c r="Q100" s="9" t="s">
        <v>115</v>
      </c>
      <c r="R100" s="9">
        <v>9.25</v>
      </c>
      <c r="U100" s="9" t="s">
        <v>99</v>
      </c>
      <c r="V100" s="9">
        <v>15</v>
      </c>
      <c r="AA100" s="9">
        <v>15</v>
      </c>
      <c r="AN100" s="9">
        <v>750</v>
      </c>
      <c r="AO100" s="9">
        <v>88</v>
      </c>
      <c r="AQ100" s="9">
        <v>183</v>
      </c>
      <c r="AS100" s="9">
        <v>44.87</v>
      </c>
      <c r="AX100" s="9">
        <v>300</v>
      </c>
      <c r="AY100" s="9">
        <v>2000</v>
      </c>
      <c r="AZ100" s="9" t="s">
        <v>574</v>
      </c>
      <c r="BA100" s="9" t="s">
        <v>102</v>
      </c>
      <c r="BB100" s="9" t="s">
        <v>102</v>
      </c>
      <c r="BC100" s="9" t="s">
        <v>102</v>
      </c>
      <c r="BD100" s="9" t="s">
        <v>102</v>
      </c>
      <c r="BE100" s="9" t="s">
        <v>102</v>
      </c>
      <c r="BF100" s="9" t="s">
        <v>118</v>
      </c>
      <c r="BG100" s="9" t="s">
        <v>118</v>
      </c>
      <c r="BH100" s="9" t="s">
        <v>105</v>
      </c>
      <c r="BI100" s="9">
        <v>8</v>
      </c>
      <c r="BJ100" s="9">
        <v>1</v>
      </c>
      <c r="BK100" s="9">
        <v>2</v>
      </c>
      <c r="BL100" s="9">
        <v>12</v>
      </c>
      <c r="BM100" s="9">
        <v>4</v>
      </c>
      <c r="BN100" s="9">
        <v>10</v>
      </c>
      <c r="BO100" s="9">
        <v>8</v>
      </c>
      <c r="BP100" s="9">
        <v>8</v>
      </c>
      <c r="BQ100" s="9">
        <v>2</v>
      </c>
      <c r="BR100" s="9">
        <v>12</v>
      </c>
      <c r="BS100" s="9">
        <v>4</v>
      </c>
      <c r="BT100" s="9">
        <v>10</v>
      </c>
      <c r="BY100" s="8">
        <v>112058</v>
      </c>
      <c r="CI100" s="51"/>
      <c r="CJ100" s="8" t="b">
        <v>0</v>
      </c>
      <c r="CT100" s="8">
        <v>122986</v>
      </c>
      <c r="CV100" s="51" t="s">
        <v>558</v>
      </c>
      <c r="CW100" s="8" t="str">
        <f t="shared" si="3"/>
        <v>DEF.XYZ.10 </v>
      </c>
    </row>
    <row r="101" spans="1:101" s="8" customFormat="1" x14ac:dyDescent="0.25">
      <c r="A101" s="24">
        <v>130609</v>
      </c>
      <c r="B101" s="12">
        <v>10</v>
      </c>
      <c r="C101" s="12" t="s">
        <v>575</v>
      </c>
      <c r="D101" s="12" t="s">
        <v>121</v>
      </c>
      <c r="E101" s="12" t="s">
        <v>314</v>
      </c>
      <c r="F101" s="12"/>
      <c r="G101" s="37" t="s">
        <v>576</v>
      </c>
      <c r="H101" s="50" t="s">
        <v>577</v>
      </c>
      <c r="I101" s="9" t="str">
        <f>_xlfn.XLOOKUP(H101,'Alternative Tool Body Sheet'!A:A,'Alternative Tool Body Sheet'!C:C)</f>
        <v>10 MDS</v>
      </c>
      <c r="J101" s="12">
        <f t="shared" si="2"/>
        <v>7</v>
      </c>
      <c r="K101" s="12" t="s">
        <v>114</v>
      </c>
      <c r="L101" s="12">
        <v>10.75</v>
      </c>
      <c r="M101" s="12">
        <v>9.1</v>
      </c>
      <c r="N101" s="12">
        <v>15.35</v>
      </c>
      <c r="O101" s="12"/>
      <c r="P101" s="12">
        <v>9.75</v>
      </c>
      <c r="Q101" s="12" t="s">
        <v>115</v>
      </c>
      <c r="R101" s="12">
        <v>9.6</v>
      </c>
      <c r="S101" s="12"/>
      <c r="T101" s="12"/>
      <c r="U101" s="12" t="s">
        <v>99</v>
      </c>
      <c r="V101" s="12">
        <v>10</v>
      </c>
      <c r="W101" s="12">
        <v>10</v>
      </c>
      <c r="X101" s="12">
        <v>0.5</v>
      </c>
      <c r="Y101" s="12">
        <v>1</v>
      </c>
      <c r="Z101" s="12">
        <v>0.5</v>
      </c>
      <c r="AA101" s="12">
        <v>48</v>
      </c>
      <c r="AB101" s="12"/>
      <c r="AC101" s="12"/>
      <c r="AD101" s="12">
        <v>48</v>
      </c>
      <c r="AE101" s="12"/>
      <c r="AF101" s="12"/>
      <c r="AG101" s="12"/>
      <c r="AH101" s="12">
        <v>192</v>
      </c>
      <c r="AI101" s="12">
        <v>96</v>
      </c>
      <c r="AJ101" s="12"/>
      <c r="AK101" s="12"/>
      <c r="AL101" s="12"/>
      <c r="AM101" s="12"/>
      <c r="AN101" s="12">
        <v>750</v>
      </c>
      <c r="AO101" s="12">
        <v>83</v>
      </c>
      <c r="AP101" s="12">
        <v>21</v>
      </c>
      <c r="AQ101" s="12">
        <v>332</v>
      </c>
      <c r="AR101" s="12">
        <v>54</v>
      </c>
      <c r="AS101" s="12"/>
      <c r="AT101" s="12">
        <v>43</v>
      </c>
      <c r="AU101" s="12"/>
      <c r="AV101" s="12">
        <v>4.7</v>
      </c>
      <c r="AW101" s="12">
        <v>0.39</v>
      </c>
      <c r="AX101" s="12">
        <v>375</v>
      </c>
      <c r="AY101" s="12">
        <v>2000</v>
      </c>
      <c r="AZ101" s="12" t="s">
        <v>578</v>
      </c>
      <c r="BA101" s="12" t="s">
        <v>102</v>
      </c>
      <c r="BB101" s="12" t="s">
        <v>102</v>
      </c>
      <c r="BC101" s="12" t="s">
        <v>101</v>
      </c>
      <c r="BD101" s="12" t="s">
        <v>102</v>
      </c>
      <c r="BE101" s="12" t="s">
        <v>101</v>
      </c>
      <c r="BF101" s="12" t="s">
        <v>118</v>
      </c>
      <c r="BG101" s="12" t="s">
        <v>104</v>
      </c>
      <c r="BH101" s="12" t="s">
        <v>105</v>
      </c>
      <c r="BI101" s="12">
        <v>7</v>
      </c>
      <c r="BJ101" s="12">
        <v>1</v>
      </c>
      <c r="BK101" s="12">
        <v>2</v>
      </c>
      <c r="BL101" s="12">
        <v>12</v>
      </c>
      <c r="BM101" s="12">
        <v>4</v>
      </c>
      <c r="BN101" s="12">
        <v>9</v>
      </c>
      <c r="BO101" s="12">
        <v>7</v>
      </c>
      <c r="BP101" s="12">
        <v>7</v>
      </c>
      <c r="BQ101" s="12">
        <v>2</v>
      </c>
      <c r="BR101" s="12">
        <v>12</v>
      </c>
      <c r="BS101" s="12">
        <v>4</v>
      </c>
      <c r="BT101" s="12">
        <v>9</v>
      </c>
      <c r="BX101" s="8">
        <v>130285</v>
      </c>
      <c r="BY101" s="8">
        <v>110257</v>
      </c>
      <c r="CI101" s="51"/>
      <c r="CJ101" s="8" t="b">
        <v>0</v>
      </c>
      <c r="CT101" s="8">
        <v>130609</v>
      </c>
      <c r="CV101" s="51" t="s">
        <v>579</v>
      </c>
      <c r="CW101" s="8" t="str">
        <f t="shared" si="3"/>
        <v>DEF.RES.UMFL.10 </v>
      </c>
    </row>
    <row r="102" spans="1:101" s="8" customFormat="1" x14ac:dyDescent="0.25">
      <c r="A102" s="13">
        <v>108923</v>
      </c>
      <c r="B102" s="9">
        <v>12</v>
      </c>
      <c r="C102" s="9" t="s">
        <v>580</v>
      </c>
      <c r="D102" s="9" t="s">
        <v>121</v>
      </c>
      <c r="E102" s="9" t="s">
        <v>272</v>
      </c>
      <c r="F102" s="9"/>
      <c r="G102" s="33" t="s">
        <v>581</v>
      </c>
      <c r="H102" s="47" t="s">
        <v>582</v>
      </c>
      <c r="I102" s="9" t="str">
        <f>_xlfn.XLOOKUP(H102,'Alternative Tool Body Sheet'!A:A,'Alternative Tool Body Sheet'!C:C)</f>
        <v>12 MDS</v>
      </c>
      <c r="J102" s="9">
        <f t="shared" si="2"/>
        <v>7</v>
      </c>
      <c r="K102" s="9" t="s">
        <v>114</v>
      </c>
      <c r="L102" s="9">
        <v>12.75</v>
      </c>
      <c r="M102" s="9">
        <v>11</v>
      </c>
      <c r="N102" s="9">
        <v>13.73</v>
      </c>
      <c r="P102" s="9">
        <v>11.25</v>
      </c>
      <c r="Q102" s="9" t="s">
        <v>115</v>
      </c>
      <c r="R102" s="9">
        <v>11.62</v>
      </c>
      <c r="U102" s="9" t="s">
        <v>99</v>
      </c>
      <c r="V102" s="9">
        <v>10</v>
      </c>
      <c r="W102" s="9">
        <v>10</v>
      </c>
      <c r="X102" s="9">
        <v>0.6</v>
      </c>
      <c r="Y102" s="9">
        <v>1</v>
      </c>
      <c r="Z102" s="9">
        <v>0.67</v>
      </c>
      <c r="AA102" s="9">
        <v>48</v>
      </c>
      <c r="AB102" s="9">
        <v>144</v>
      </c>
      <c r="AD102" s="9">
        <v>48</v>
      </c>
      <c r="AF102" s="9">
        <v>144</v>
      </c>
      <c r="AN102" s="9">
        <v>750</v>
      </c>
      <c r="AO102" s="9">
        <v>101</v>
      </c>
      <c r="AQ102" s="9">
        <v>542</v>
      </c>
      <c r="AT102" s="9">
        <v>45</v>
      </c>
      <c r="AV102" s="9">
        <v>8.02</v>
      </c>
      <c r="AW102" s="9">
        <v>0.67</v>
      </c>
      <c r="AX102" s="9">
        <v>375</v>
      </c>
      <c r="AY102" s="9">
        <v>2000</v>
      </c>
      <c r="AZ102" s="9" t="s">
        <v>583</v>
      </c>
      <c r="BA102" s="9" t="s">
        <v>102</v>
      </c>
      <c r="BB102" s="9" t="s">
        <v>102</v>
      </c>
      <c r="BC102" s="9" t="s">
        <v>101</v>
      </c>
      <c r="BD102" s="9" t="s">
        <v>102</v>
      </c>
      <c r="BE102" s="9" t="s">
        <v>101</v>
      </c>
      <c r="BF102" s="9" t="s">
        <v>118</v>
      </c>
      <c r="BG102" s="9" t="s">
        <v>104</v>
      </c>
      <c r="BH102" s="9" t="s">
        <v>105</v>
      </c>
      <c r="BI102" s="9">
        <v>9</v>
      </c>
      <c r="BJ102" s="9">
        <v>2</v>
      </c>
      <c r="BK102" s="9">
        <v>2</v>
      </c>
      <c r="BL102" s="9">
        <v>14</v>
      </c>
      <c r="BM102" s="9">
        <v>4</v>
      </c>
      <c r="BN102" s="9">
        <v>12</v>
      </c>
      <c r="BO102" s="9">
        <v>9</v>
      </c>
      <c r="BP102" s="9">
        <v>9</v>
      </c>
      <c r="BQ102" s="9">
        <v>2</v>
      </c>
      <c r="BR102" s="9">
        <v>14</v>
      </c>
      <c r="BS102" s="9">
        <v>4</v>
      </c>
      <c r="BT102" s="9">
        <v>12</v>
      </c>
      <c r="BX102" s="8">
        <v>113097</v>
      </c>
      <c r="BY102" s="8">
        <v>116405</v>
      </c>
      <c r="CI102" s="51"/>
      <c r="CJ102" s="8" t="b">
        <v>0</v>
      </c>
      <c r="CT102" s="8">
        <v>108923</v>
      </c>
      <c r="CV102" s="51" t="s">
        <v>584</v>
      </c>
      <c r="CW102" s="8" t="str">
        <f t="shared" si="3"/>
        <v>FLEX.DEF.LFM.MFL.12 </v>
      </c>
    </row>
    <row r="103" spans="1:101" s="8" customFormat="1" x14ac:dyDescent="0.25">
      <c r="A103" s="13">
        <v>115148</v>
      </c>
      <c r="B103" s="9">
        <v>12</v>
      </c>
      <c r="C103" s="9" t="s">
        <v>585</v>
      </c>
      <c r="D103" s="9" t="s">
        <v>94</v>
      </c>
      <c r="E103" s="9" t="s">
        <v>194</v>
      </c>
      <c r="F103" s="9"/>
      <c r="G103" s="33" t="s">
        <v>586</v>
      </c>
      <c r="H103" s="47" t="s">
        <v>587</v>
      </c>
      <c r="I103" s="9" t="str">
        <f>_xlfn.XLOOKUP(H103,'Alternative Tool Body Sheet'!A:A,'Alternative Tool Body Sheet'!C:C)</f>
        <v>12/14 DEF</v>
      </c>
      <c r="J103" s="9">
        <f t="shared" si="2"/>
        <v>5</v>
      </c>
      <c r="K103" s="9" t="s">
        <v>114</v>
      </c>
      <c r="L103" s="9">
        <v>12.75</v>
      </c>
      <c r="M103" s="9">
        <v>9.56</v>
      </c>
      <c r="N103" s="9">
        <v>25</v>
      </c>
      <c r="P103" s="9">
        <v>11.25</v>
      </c>
      <c r="Q103" s="9" t="s">
        <v>115</v>
      </c>
      <c r="R103" s="9">
        <v>10.75</v>
      </c>
      <c r="T103" s="9">
        <v>9.6300000000000008</v>
      </c>
      <c r="U103" s="9" t="s">
        <v>116</v>
      </c>
      <c r="V103" s="9">
        <v>15</v>
      </c>
      <c r="AA103" s="9">
        <v>40</v>
      </c>
      <c r="AN103" s="9">
        <v>750</v>
      </c>
      <c r="AO103" s="9">
        <v>93</v>
      </c>
      <c r="AP103" s="9">
        <v>25</v>
      </c>
      <c r="AQ103" s="9">
        <v>250</v>
      </c>
      <c r="AR103" s="9">
        <v>85</v>
      </c>
      <c r="AY103" s="9">
        <v>2000</v>
      </c>
      <c r="BA103" s="9" t="s">
        <v>102</v>
      </c>
      <c r="BB103" s="9" t="s">
        <v>101</v>
      </c>
      <c r="BC103" s="9" t="s">
        <v>101</v>
      </c>
      <c r="BD103" s="9" t="s">
        <v>102</v>
      </c>
      <c r="BE103" s="9" t="s">
        <v>102</v>
      </c>
      <c r="BF103" s="9" t="s">
        <v>118</v>
      </c>
      <c r="BG103" s="9" t="s">
        <v>118</v>
      </c>
      <c r="BH103" s="9" t="s">
        <v>105</v>
      </c>
      <c r="BI103" s="9">
        <v>8</v>
      </c>
      <c r="BJ103" s="9">
        <v>2</v>
      </c>
      <c r="BK103" s="9">
        <v>2</v>
      </c>
      <c r="BL103" s="9">
        <v>14</v>
      </c>
      <c r="BM103" s="9">
        <v>4</v>
      </c>
      <c r="BN103" s="9">
        <v>10</v>
      </c>
      <c r="BO103" s="9">
        <v>8</v>
      </c>
      <c r="BP103" s="9">
        <v>8</v>
      </c>
      <c r="BQ103" s="9">
        <v>2</v>
      </c>
      <c r="BR103" s="9">
        <v>14</v>
      </c>
      <c r="BS103" s="9">
        <v>4</v>
      </c>
      <c r="BT103" s="9">
        <v>10</v>
      </c>
      <c r="BY103" s="8">
        <v>112106</v>
      </c>
      <c r="CI103" s="51"/>
      <c r="CJ103" s="8" t="b">
        <v>0</v>
      </c>
      <c r="CT103" s="8">
        <v>115148</v>
      </c>
      <c r="CV103" s="51" t="s">
        <v>588</v>
      </c>
      <c r="CW103" s="8" t="str">
        <f t="shared" si="3"/>
        <v>DEF.XYZ.12 </v>
      </c>
    </row>
    <row r="104" spans="1:101" s="8" customFormat="1" x14ac:dyDescent="0.25">
      <c r="A104" s="13">
        <v>108740</v>
      </c>
      <c r="B104" s="9">
        <v>12</v>
      </c>
      <c r="C104" s="9" t="s">
        <v>589</v>
      </c>
      <c r="D104" s="9" t="s">
        <v>94</v>
      </c>
      <c r="E104" s="9" t="s">
        <v>258</v>
      </c>
      <c r="F104" s="9"/>
      <c r="G104" s="33" t="s">
        <v>590</v>
      </c>
      <c r="H104" s="47" t="s">
        <v>591</v>
      </c>
      <c r="I104" s="9" t="str">
        <f>_xlfn.XLOOKUP(H104,'Alternative Tool Body Sheet'!A:A,'Alternative Tool Body Sheet'!C:C)</f>
        <v>12 GMFL</v>
      </c>
      <c r="J104" s="9">
        <f t="shared" si="2"/>
        <v>5</v>
      </c>
      <c r="K104" s="9" t="s">
        <v>114</v>
      </c>
      <c r="L104" s="9">
        <v>12.75</v>
      </c>
      <c r="M104" s="9">
        <v>9.56</v>
      </c>
      <c r="P104" s="9">
        <v>11.25</v>
      </c>
      <c r="Q104" s="9" t="s">
        <v>115</v>
      </c>
      <c r="R104" s="9">
        <v>11.25</v>
      </c>
      <c r="T104" s="9">
        <v>9.75</v>
      </c>
      <c r="U104" s="9" t="s">
        <v>116</v>
      </c>
      <c r="V104" s="9">
        <v>10</v>
      </c>
      <c r="W104" s="9">
        <v>10</v>
      </c>
      <c r="X104" s="9">
        <v>0.5</v>
      </c>
      <c r="Y104" s="9">
        <v>1</v>
      </c>
      <c r="Z104" s="9">
        <v>0.55000000000000004</v>
      </c>
      <c r="AC104" s="9">
        <v>120</v>
      </c>
      <c r="AD104" s="9">
        <v>40</v>
      </c>
      <c r="AN104" s="9">
        <v>750</v>
      </c>
      <c r="AO104" s="9">
        <v>75</v>
      </c>
      <c r="AP104" s="9">
        <v>28</v>
      </c>
      <c r="AQ104" s="9">
        <v>280</v>
      </c>
      <c r="AR104" s="9">
        <v>60</v>
      </c>
      <c r="AT104" s="9">
        <v>52</v>
      </c>
      <c r="AX104" s="9">
        <v>300</v>
      </c>
      <c r="AY104" s="9">
        <v>2000</v>
      </c>
      <c r="AZ104" s="9" t="s">
        <v>592</v>
      </c>
      <c r="BA104" s="9" t="s">
        <v>102</v>
      </c>
      <c r="BB104" s="9" t="s">
        <v>102</v>
      </c>
      <c r="BC104" s="9" t="s">
        <v>101</v>
      </c>
      <c r="BD104" s="9" t="s">
        <v>101</v>
      </c>
      <c r="BE104" s="9" t="s">
        <v>101</v>
      </c>
      <c r="BF104" s="9" t="s">
        <v>593</v>
      </c>
      <c r="BG104" s="9" t="s">
        <v>594</v>
      </c>
      <c r="BH104" s="9" t="s">
        <v>105</v>
      </c>
      <c r="BI104" s="9">
        <v>7</v>
      </c>
      <c r="BJ104" s="9">
        <v>2</v>
      </c>
      <c r="BK104" s="9">
        <v>2</v>
      </c>
      <c r="BL104" s="9">
        <v>14</v>
      </c>
      <c r="BM104" s="9">
        <v>4</v>
      </c>
      <c r="BN104" s="9">
        <v>9</v>
      </c>
      <c r="BO104" s="9">
        <v>7</v>
      </c>
      <c r="BP104" s="9">
        <v>7</v>
      </c>
      <c r="BQ104" s="9">
        <v>2</v>
      </c>
      <c r="BR104" s="9">
        <v>14</v>
      </c>
      <c r="BS104" s="9">
        <v>4</v>
      </c>
      <c r="BT104" s="9">
        <v>9</v>
      </c>
      <c r="CI104" s="51">
        <v>109088</v>
      </c>
      <c r="CJ104" s="8" t="b">
        <v>0</v>
      </c>
      <c r="CT104" s="8">
        <v>108740</v>
      </c>
      <c r="CV104" s="51" t="s">
        <v>595</v>
      </c>
      <c r="CW104" s="8" t="str">
        <f t="shared" si="3"/>
        <v>GMFL.12 </v>
      </c>
    </row>
    <row r="105" spans="1:101" s="8" customFormat="1" x14ac:dyDescent="0.25">
      <c r="A105" s="13">
        <v>114421</v>
      </c>
      <c r="B105" s="9">
        <v>12</v>
      </c>
      <c r="C105" s="9" t="s">
        <v>596</v>
      </c>
      <c r="D105" s="9" t="s">
        <v>94</v>
      </c>
      <c r="E105" s="9" t="s">
        <v>95</v>
      </c>
      <c r="F105" s="9"/>
      <c r="G105" s="33" t="s">
        <v>597</v>
      </c>
      <c r="H105" s="47" t="s">
        <v>598</v>
      </c>
      <c r="I105" s="9" t="str">
        <f>_xlfn.XLOOKUP(H105,'Alternative Tool Body Sheet'!A:A,'Alternative Tool Body Sheet'!C:C)</f>
        <v>12/14 DEF</v>
      </c>
      <c r="J105" s="9">
        <f t="shared" si="2"/>
        <v>5</v>
      </c>
      <c r="K105" s="9" t="s">
        <v>114</v>
      </c>
      <c r="L105" s="9">
        <v>12.75</v>
      </c>
      <c r="M105" s="9">
        <v>9.56</v>
      </c>
      <c r="N105" s="9">
        <v>25</v>
      </c>
      <c r="P105" s="9">
        <v>11.25</v>
      </c>
      <c r="Q105" s="9" t="s">
        <v>99</v>
      </c>
      <c r="R105" s="9">
        <v>10.75</v>
      </c>
      <c r="T105" s="9">
        <v>9.56</v>
      </c>
      <c r="U105" s="9" t="s">
        <v>116</v>
      </c>
      <c r="V105" s="9">
        <v>15</v>
      </c>
      <c r="AA105" s="9">
        <v>40</v>
      </c>
      <c r="AN105" s="9">
        <v>750</v>
      </c>
      <c r="AO105" s="9">
        <v>48</v>
      </c>
      <c r="AQ105" s="9">
        <v>110</v>
      </c>
      <c r="AS105" s="9">
        <v>0</v>
      </c>
      <c r="AT105" s="9">
        <v>86</v>
      </c>
      <c r="AX105" s="9">
        <v>300</v>
      </c>
      <c r="AY105" s="9">
        <v>2000</v>
      </c>
      <c r="AZ105" s="9" t="s">
        <v>599</v>
      </c>
      <c r="BA105" s="9" t="s">
        <v>102</v>
      </c>
      <c r="BB105" s="9" t="s">
        <v>101</v>
      </c>
      <c r="BC105" s="9" t="s">
        <v>101</v>
      </c>
      <c r="BD105" s="9" t="s">
        <v>102</v>
      </c>
      <c r="BE105" s="9" t="s">
        <v>102</v>
      </c>
      <c r="BF105" s="9" t="s">
        <v>126</v>
      </c>
      <c r="BG105" s="9" t="s">
        <v>126</v>
      </c>
      <c r="BH105" s="9" t="s">
        <v>105</v>
      </c>
      <c r="BI105" s="9">
        <v>4</v>
      </c>
      <c r="BJ105" s="9">
        <v>2</v>
      </c>
      <c r="BK105" s="9">
        <v>2</v>
      </c>
      <c r="BL105" s="9">
        <v>14</v>
      </c>
      <c r="BM105" s="9">
        <v>4</v>
      </c>
      <c r="BN105" s="9">
        <v>6</v>
      </c>
      <c r="BO105" s="9">
        <v>4</v>
      </c>
      <c r="BP105" s="9">
        <v>4</v>
      </c>
      <c r="BQ105" s="9">
        <v>2</v>
      </c>
      <c r="BR105" s="9">
        <v>14</v>
      </c>
      <c r="BS105" s="9">
        <v>4</v>
      </c>
      <c r="BT105" s="9">
        <v>6</v>
      </c>
      <c r="BY105" s="8">
        <v>112106</v>
      </c>
      <c r="CI105" s="51"/>
      <c r="CJ105" s="8" t="b">
        <v>0</v>
      </c>
      <c r="CT105" s="8">
        <v>114421</v>
      </c>
      <c r="CV105" s="51" t="s">
        <v>600</v>
      </c>
      <c r="CW105" s="8" t="str">
        <f t="shared" si="3"/>
        <v>DEF.12 </v>
      </c>
    </row>
    <row r="106" spans="1:101" s="8" customFormat="1" x14ac:dyDescent="0.25">
      <c r="A106" s="13">
        <v>114577</v>
      </c>
      <c r="B106" s="9">
        <v>12</v>
      </c>
      <c r="C106" s="9" t="s">
        <v>601</v>
      </c>
      <c r="D106" s="9" t="s">
        <v>94</v>
      </c>
      <c r="E106" s="9" t="s">
        <v>199</v>
      </c>
      <c r="F106" s="9"/>
      <c r="G106" s="33" t="s">
        <v>602</v>
      </c>
      <c r="H106" s="47" t="s">
        <v>603</v>
      </c>
      <c r="I106" s="9" t="str">
        <f>_xlfn.XLOOKUP(H106,'Alternative Tool Body Sheet'!A:A,'Alternative Tool Body Sheet'!C:C)</f>
        <v>12/14 MFL</v>
      </c>
      <c r="J106" s="9">
        <f t="shared" si="2"/>
        <v>5</v>
      </c>
      <c r="K106" s="9" t="s">
        <v>114</v>
      </c>
      <c r="L106" s="9">
        <v>12.75</v>
      </c>
      <c r="M106" s="9">
        <v>11.03</v>
      </c>
      <c r="N106" s="9">
        <v>13.49</v>
      </c>
      <c r="P106" s="9">
        <v>11.25</v>
      </c>
      <c r="Q106" s="9" t="s">
        <v>115</v>
      </c>
      <c r="R106" s="9">
        <v>11.25</v>
      </c>
      <c r="T106" s="9">
        <v>11.1</v>
      </c>
      <c r="U106" s="9" t="s">
        <v>116</v>
      </c>
      <c r="V106" s="9">
        <v>10</v>
      </c>
      <c r="W106" s="9">
        <v>10</v>
      </c>
      <c r="X106" s="9">
        <v>0.5</v>
      </c>
      <c r="Y106" s="9">
        <v>1</v>
      </c>
      <c r="Z106" s="9">
        <v>0.55000000000000004</v>
      </c>
      <c r="AD106" s="9">
        <v>40</v>
      </c>
      <c r="AH106" s="9">
        <v>120</v>
      </c>
      <c r="AN106" s="9">
        <v>750</v>
      </c>
      <c r="AO106" s="9">
        <v>94</v>
      </c>
      <c r="AP106" s="9">
        <v>25</v>
      </c>
      <c r="AQ106" s="9">
        <v>423</v>
      </c>
      <c r="AR106" s="9">
        <v>85</v>
      </c>
      <c r="AS106" s="9">
        <v>0</v>
      </c>
      <c r="AT106" s="9">
        <v>72</v>
      </c>
      <c r="AX106" s="9">
        <v>300</v>
      </c>
      <c r="AY106" s="9">
        <v>2000</v>
      </c>
      <c r="AZ106" s="9" t="s">
        <v>604</v>
      </c>
      <c r="BA106" s="9" t="s">
        <v>102</v>
      </c>
      <c r="BB106" s="9" t="s">
        <v>101</v>
      </c>
      <c r="BC106" s="9" t="s">
        <v>101</v>
      </c>
      <c r="BD106" s="9" t="s">
        <v>102</v>
      </c>
      <c r="BE106" s="9" t="s">
        <v>102</v>
      </c>
      <c r="BF106" s="9" t="s">
        <v>126</v>
      </c>
      <c r="BG106" s="9" t="s">
        <v>126</v>
      </c>
      <c r="BH106" s="9" t="s">
        <v>105</v>
      </c>
      <c r="BI106" s="9">
        <v>8</v>
      </c>
      <c r="BJ106" s="9">
        <v>2</v>
      </c>
      <c r="BK106" s="9">
        <v>2</v>
      </c>
      <c r="BL106" s="9">
        <v>14</v>
      </c>
      <c r="BM106" s="9">
        <v>4</v>
      </c>
      <c r="BN106" s="9">
        <v>10</v>
      </c>
      <c r="BO106" s="9">
        <v>8</v>
      </c>
      <c r="BP106" s="9">
        <v>8</v>
      </c>
      <c r="BQ106" s="9">
        <v>2</v>
      </c>
      <c r="BR106" s="9">
        <v>14</v>
      </c>
      <c r="BS106" s="9">
        <v>4</v>
      </c>
      <c r="BT106" s="9">
        <v>10</v>
      </c>
      <c r="BX106" s="8" t="s">
        <v>605</v>
      </c>
      <c r="CI106" s="51"/>
      <c r="CJ106" s="8" t="b">
        <v>0</v>
      </c>
      <c r="CT106" s="8">
        <v>114577</v>
      </c>
      <c r="CV106" s="51" t="s">
        <v>606</v>
      </c>
      <c r="CW106" s="8" t="str">
        <f t="shared" si="3"/>
        <v>MFL.XYZ.12 </v>
      </c>
    </row>
    <row r="107" spans="1:101" s="8" customFormat="1" x14ac:dyDescent="0.25">
      <c r="A107" s="13">
        <v>110511</v>
      </c>
      <c r="B107" s="9">
        <v>12</v>
      </c>
      <c r="C107" s="9" t="s">
        <v>607</v>
      </c>
      <c r="D107" s="9" t="s">
        <v>121</v>
      </c>
      <c r="E107" s="9" t="s">
        <v>301</v>
      </c>
      <c r="F107" s="9"/>
      <c r="G107" s="33" t="s">
        <v>608</v>
      </c>
      <c r="H107" s="47" t="s">
        <v>609</v>
      </c>
      <c r="I107" s="9" t="str">
        <f>_xlfn.XLOOKUP(H107,'Alternative Tool Body Sheet'!A:A,'Alternative Tool Body Sheet'!C:C)</f>
        <v>12 MDS</v>
      </c>
      <c r="J107" s="9">
        <f t="shared" si="2"/>
        <v>7</v>
      </c>
      <c r="K107" s="9" t="s">
        <v>114</v>
      </c>
      <c r="L107" s="9">
        <v>12.75</v>
      </c>
      <c r="M107" s="9">
        <v>11</v>
      </c>
      <c r="N107" s="9">
        <v>13.73</v>
      </c>
      <c r="P107" s="9">
        <v>11.25</v>
      </c>
      <c r="Q107" s="9" t="s">
        <v>115</v>
      </c>
      <c r="R107" s="9">
        <v>11.62</v>
      </c>
      <c r="U107" s="9" t="s">
        <v>99</v>
      </c>
      <c r="V107" s="9">
        <v>10</v>
      </c>
      <c r="W107" s="9">
        <v>10</v>
      </c>
      <c r="X107" s="9">
        <v>0.6</v>
      </c>
      <c r="Y107" s="9">
        <v>1</v>
      </c>
      <c r="Z107" s="9">
        <v>0.67</v>
      </c>
      <c r="AA107" s="9">
        <v>48</v>
      </c>
      <c r="AD107" s="9">
        <v>48</v>
      </c>
      <c r="AF107" s="9">
        <v>144</v>
      </c>
      <c r="AH107" s="9">
        <v>144</v>
      </c>
      <c r="AJ107" s="9">
        <v>324</v>
      </c>
      <c r="AN107" s="9">
        <v>750</v>
      </c>
      <c r="AO107" s="9">
        <v>126</v>
      </c>
      <c r="AQ107" s="9">
        <v>785</v>
      </c>
      <c r="AT107" s="9">
        <v>40</v>
      </c>
      <c r="AV107" s="9">
        <v>11.52</v>
      </c>
      <c r="AW107" s="9">
        <v>0.96</v>
      </c>
      <c r="AX107" s="9">
        <v>375</v>
      </c>
      <c r="AY107" s="9">
        <v>2000</v>
      </c>
      <c r="AZ107" s="9" t="s">
        <v>610</v>
      </c>
      <c r="BA107" s="9" t="s">
        <v>102</v>
      </c>
      <c r="BB107" s="9" t="s">
        <v>102</v>
      </c>
      <c r="BC107" s="9" t="s">
        <v>101</v>
      </c>
      <c r="BD107" s="9" t="s">
        <v>102</v>
      </c>
      <c r="BE107" s="9" t="s">
        <v>101</v>
      </c>
      <c r="BF107" s="9" t="s">
        <v>118</v>
      </c>
      <c r="BG107" s="9" t="s">
        <v>104</v>
      </c>
      <c r="BH107" s="9" t="s">
        <v>105</v>
      </c>
      <c r="BI107" s="9">
        <v>11</v>
      </c>
      <c r="BJ107" s="9">
        <v>2</v>
      </c>
      <c r="BK107" s="9">
        <v>2</v>
      </c>
      <c r="BL107" s="9">
        <v>14</v>
      </c>
      <c r="BM107" s="9">
        <v>4</v>
      </c>
      <c r="BN107" s="9">
        <v>14</v>
      </c>
      <c r="BO107" s="9">
        <v>11</v>
      </c>
      <c r="BP107" s="9">
        <v>11</v>
      </c>
      <c r="BQ107" s="9">
        <v>2</v>
      </c>
      <c r="BR107" s="9">
        <v>14</v>
      </c>
      <c r="BS107" s="9">
        <v>4</v>
      </c>
      <c r="BT107" s="9">
        <v>14</v>
      </c>
      <c r="BX107" s="8">
        <v>113097</v>
      </c>
      <c r="BY107" s="8">
        <v>116405</v>
      </c>
      <c r="CD107" s="8">
        <v>120459</v>
      </c>
      <c r="CI107" s="51"/>
      <c r="CJ107" s="8" t="b">
        <v>0</v>
      </c>
      <c r="CT107" s="8">
        <v>110511</v>
      </c>
      <c r="CV107" s="51" t="s">
        <v>611</v>
      </c>
      <c r="CW107" s="8" t="str">
        <f t="shared" si="3"/>
        <v>DEF.LFM.MFL.SMFL.12 </v>
      </c>
    </row>
    <row r="108" spans="1:101" s="8" customFormat="1" x14ac:dyDescent="0.25">
      <c r="A108" s="13">
        <v>120710</v>
      </c>
      <c r="B108" s="9">
        <v>12</v>
      </c>
      <c r="C108" s="9" t="s">
        <v>612</v>
      </c>
      <c r="D108" s="9" t="s">
        <v>94</v>
      </c>
      <c r="E108" s="9" t="s">
        <v>194</v>
      </c>
      <c r="F108" s="9"/>
      <c r="G108" s="33" t="s">
        <v>613</v>
      </c>
      <c r="H108" s="47" t="s">
        <v>587</v>
      </c>
      <c r="I108" s="9" t="str">
        <f>_xlfn.XLOOKUP(H108,'Alternative Tool Body Sheet'!A:A,'Alternative Tool Body Sheet'!C:C)</f>
        <v>12/14 DEF</v>
      </c>
      <c r="J108" s="9">
        <f t="shared" si="2"/>
        <v>5</v>
      </c>
      <c r="K108" s="9" t="s">
        <v>114</v>
      </c>
      <c r="L108" s="9">
        <v>12.75</v>
      </c>
      <c r="M108" s="9">
        <v>9.56</v>
      </c>
      <c r="N108" s="9">
        <v>25.02</v>
      </c>
      <c r="P108" s="9">
        <v>11.25</v>
      </c>
      <c r="Q108" s="9" t="s">
        <v>115</v>
      </c>
      <c r="R108" s="9">
        <v>10.75</v>
      </c>
      <c r="U108" s="9" t="s">
        <v>116</v>
      </c>
      <c r="V108" s="9">
        <v>15</v>
      </c>
      <c r="AA108" s="9">
        <v>40</v>
      </c>
      <c r="AN108" s="9">
        <v>750</v>
      </c>
      <c r="AO108" s="9">
        <v>92</v>
      </c>
      <c r="AQ108" s="9">
        <v>250</v>
      </c>
      <c r="AT108" s="9">
        <v>23</v>
      </c>
      <c r="AX108" s="9">
        <v>300</v>
      </c>
      <c r="AY108" s="9">
        <v>2000</v>
      </c>
      <c r="BA108" s="9" t="s">
        <v>102</v>
      </c>
      <c r="BB108" s="9" t="s">
        <v>102</v>
      </c>
      <c r="BC108" s="9" t="s">
        <v>102</v>
      </c>
      <c r="BD108" s="9" t="s">
        <v>102</v>
      </c>
      <c r="BE108" s="9" t="s">
        <v>102</v>
      </c>
      <c r="BF108" s="9" t="s">
        <v>118</v>
      </c>
      <c r="BG108" s="9" t="s">
        <v>118</v>
      </c>
      <c r="BH108" s="9" t="s">
        <v>105</v>
      </c>
      <c r="BI108" s="9">
        <v>8</v>
      </c>
      <c r="BJ108" s="9">
        <v>2</v>
      </c>
      <c r="BK108" s="9">
        <v>2</v>
      </c>
      <c r="BL108" s="9">
        <v>14</v>
      </c>
      <c r="BM108" s="9">
        <v>4</v>
      </c>
      <c r="BN108" s="9">
        <v>11</v>
      </c>
      <c r="BO108" s="9">
        <v>8</v>
      </c>
      <c r="BP108" s="9">
        <v>8</v>
      </c>
      <c r="BQ108" s="9">
        <v>2</v>
      </c>
      <c r="BR108" s="9">
        <v>14</v>
      </c>
      <c r="BS108" s="9">
        <v>4</v>
      </c>
      <c r="BT108" s="9">
        <v>11</v>
      </c>
      <c r="BY108" s="8">
        <v>112106</v>
      </c>
      <c r="CI108" s="51"/>
      <c r="CJ108" s="8" t="b">
        <v>0</v>
      </c>
      <c r="CT108" s="8">
        <v>120710</v>
      </c>
      <c r="CV108" s="51" t="s">
        <v>588</v>
      </c>
      <c r="CW108" s="8" t="str">
        <f t="shared" si="3"/>
        <v>DEF.XYZ.12 </v>
      </c>
    </row>
    <row r="109" spans="1:101" s="8" customFormat="1" x14ac:dyDescent="0.25">
      <c r="A109" s="13">
        <v>108847</v>
      </c>
      <c r="B109" s="9">
        <v>12</v>
      </c>
      <c r="C109" s="9" t="s">
        <v>614</v>
      </c>
      <c r="D109" s="9" t="s">
        <v>94</v>
      </c>
      <c r="E109" s="9" t="s">
        <v>164</v>
      </c>
      <c r="F109" s="9"/>
      <c r="G109" s="33" t="s">
        <v>615</v>
      </c>
      <c r="H109" s="47" t="s">
        <v>616</v>
      </c>
      <c r="I109" s="9" t="str">
        <f>_xlfn.XLOOKUP(H109,'Alternative Tool Body Sheet'!A:A,'Alternative Tool Body Sheet'!C:C)</f>
        <v>12/14 LGT</v>
      </c>
      <c r="J109" s="9">
        <f t="shared" si="2"/>
        <v>5</v>
      </c>
      <c r="K109" s="9" t="s">
        <v>114</v>
      </c>
      <c r="L109" s="9">
        <v>12.75</v>
      </c>
      <c r="M109" s="9">
        <v>9.56</v>
      </c>
      <c r="N109" s="9">
        <v>25.02</v>
      </c>
      <c r="P109" s="9">
        <v>11.25</v>
      </c>
      <c r="Q109" s="9" t="s">
        <v>115</v>
      </c>
      <c r="R109" s="9">
        <v>10</v>
      </c>
      <c r="U109" s="9" t="s">
        <v>116</v>
      </c>
      <c r="V109" s="9">
        <v>15</v>
      </c>
      <c r="AG109" s="9">
        <v>31</v>
      </c>
      <c r="AN109" s="9">
        <v>750</v>
      </c>
      <c r="AO109" s="9">
        <v>68</v>
      </c>
      <c r="AP109" s="9">
        <v>22</v>
      </c>
      <c r="AQ109" s="9">
        <v>165</v>
      </c>
      <c r="AR109" s="9">
        <v>40</v>
      </c>
      <c r="AT109" s="9">
        <v>77</v>
      </c>
      <c r="AX109" s="9">
        <v>300</v>
      </c>
      <c r="AY109" s="9">
        <v>2000</v>
      </c>
      <c r="AZ109" s="9" t="s">
        <v>617</v>
      </c>
      <c r="BA109" s="9" t="s">
        <v>102</v>
      </c>
      <c r="BB109" s="9" t="s">
        <v>101</v>
      </c>
      <c r="BC109" s="9" t="s">
        <v>101</v>
      </c>
      <c r="BD109" s="9" t="s">
        <v>102</v>
      </c>
      <c r="BE109" s="9" t="s">
        <v>102</v>
      </c>
      <c r="BF109" s="9" t="s">
        <v>321</v>
      </c>
      <c r="BG109" s="9" t="s">
        <v>322</v>
      </c>
      <c r="BH109" s="9" t="s">
        <v>105</v>
      </c>
      <c r="BI109" s="9">
        <v>6</v>
      </c>
      <c r="BJ109" s="9">
        <v>2</v>
      </c>
      <c r="BK109" s="9">
        <v>2</v>
      </c>
      <c r="BL109" s="9">
        <v>14</v>
      </c>
      <c r="BM109" s="9">
        <v>4</v>
      </c>
      <c r="BN109" s="9">
        <v>8</v>
      </c>
      <c r="BO109" s="9">
        <v>6</v>
      </c>
      <c r="BP109" s="9">
        <v>6</v>
      </c>
      <c r="BQ109" s="9">
        <v>2</v>
      </c>
      <c r="BR109" s="9">
        <v>14</v>
      </c>
      <c r="BS109" s="9">
        <v>4</v>
      </c>
      <c r="BT109" s="9">
        <v>8</v>
      </c>
      <c r="BY109" s="8" t="s">
        <v>618</v>
      </c>
      <c r="CI109" s="51"/>
      <c r="CJ109" s="8" t="b">
        <v>0</v>
      </c>
      <c r="CT109" s="8">
        <v>108847</v>
      </c>
      <c r="CV109" s="51" t="s">
        <v>619</v>
      </c>
      <c r="CW109" s="8" t="str">
        <f t="shared" si="3"/>
        <v>LGT.12 </v>
      </c>
    </row>
    <row r="110" spans="1:101" s="8" customFormat="1" x14ac:dyDescent="0.25">
      <c r="A110" s="13">
        <v>108841</v>
      </c>
      <c r="B110" s="9">
        <v>12</v>
      </c>
      <c r="C110" s="9" t="s">
        <v>620</v>
      </c>
      <c r="D110" s="9" t="s">
        <v>94</v>
      </c>
      <c r="E110" s="9" t="s">
        <v>95</v>
      </c>
      <c r="F110" s="9"/>
      <c r="G110" s="33" t="s">
        <v>621</v>
      </c>
      <c r="H110" s="47" t="s">
        <v>598</v>
      </c>
      <c r="I110" s="9" t="str">
        <f>_xlfn.XLOOKUP(H110,'Alternative Tool Body Sheet'!A:A,'Alternative Tool Body Sheet'!C:C)</f>
        <v>12/14 DEF</v>
      </c>
      <c r="J110" s="9">
        <f t="shared" si="2"/>
        <v>5</v>
      </c>
      <c r="K110" s="9" t="s">
        <v>114</v>
      </c>
      <c r="L110" s="9">
        <v>12.75</v>
      </c>
      <c r="M110" s="9">
        <v>9.56</v>
      </c>
      <c r="N110" s="9">
        <v>25</v>
      </c>
      <c r="P110" s="9">
        <v>11.25</v>
      </c>
      <c r="Q110" s="9" t="s">
        <v>115</v>
      </c>
      <c r="R110" s="9">
        <v>10.75</v>
      </c>
      <c r="T110" s="9">
        <v>9.56</v>
      </c>
      <c r="U110" s="9" t="s">
        <v>116</v>
      </c>
      <c r="V110" s="9">
        <v>15</v>
      </c>
      <c r="AA110" s="9">
        <v>40</v>
      </c>
      <c r="AN110" s="9">
        <v>750</v>
      </c>
      <c r="AO110" s="9">
        <v>48</v>
      </c>
      <c r="AP110" s="9">
        <v>25</v>
      </c>
      <c r="AQ110" s="9">
        <v>135</v>
      </c>
      <c r="AR110" s="9">
        <v>55</v>
      </c>
      <c r="AT110" s="9">
        <v>74</v>
      </c>
      <c r="AV110" s="9">
        <v>2.54</v>
      </c>
      <c r="AW110" s="9">
        <v>0.21</v>
      </c>
      <c r="AX110" s="9">
        <v>300</v>
      </c>
      <c r="AY110" s="9">
        <v>2000</v>
      </c>
      <c r="AZ110" s="9" t="s">
        <v>622</v>
      </c>
      <c r="BA110" s="9" t="s">
        <v>102</v>
      </c>
      <c r="BB110" s="9" t="s">
        <v>101</v>
      </c>
      <c r="BC110" s="9" t="s">
        <v>101</v>
      </c>
      <c r="BD110" s="9" t="s">
        <v>102</v>
      </c>
      <c r="BE110" s="9" t="s">
        <v>102</v>
      </c>
      <c r="BF110" s="9" t="s">
        <v>321</v>
      </c>
      <c r="BG110" s="9" t="s">
        <v>322</v>
      </c>
      <c r="BH110" s="9" t="s">
        <v>105</v>
      </c>
      <c r="BI110" s="9">
        <v>4</v>
      </c>
      <c r="BJ110" s="9">
        <v>2</v>
      </c>
      <c r="BK110" s="9">
        <v>2</v>
      </c>
      <c r="BL110" s="9">
        <v>14</v>
      </c>
      <c r="BM110" s="9">
        <v>4</v>
      </c>
      <c r="BN110" s="9">
        <v>6</v>
      </c>
      <c r="BO110" s="9">
        <v>4</v>
      </c>
      <c r="BP110" s="9">
        <v>4</v>
      </c>
      <c r="BQ110" s="9">
        <v>2</v>
      </c>
      <c r="BR110" s="9">
        <v>14</v>
      </c>
      <c r="BS110" s="9">
        <v>4</v>
      </c>
      <c r="BT110" s="9">
        <v>6</v>
      </c>
      <c r="BY110" s="8">
        <v>112106</v>
      </c>
      <c r="CI110" s="51"/>
      <c r="CJ110" s="8" t="b">
        <v>0</v>
      </c>
      <c r="CT110" s="8">
        <v>108841</v>
      </c>
      <c r="CV110" s="51" t="s">
        <v>600</v>
      </c>
      <c r="CW110" s="8" t="str">
        <f t="shared" si="3"/>
        <v>DEF.12 </v>
      </c>
    </row>
    <row r="111" spans="1:101" s="8" customFormat="1" x14ac:dyDescent="0.25">
      <c r="A111" s="24" t="s">
        <v>623</v>
      </c>
      <c r="B111" s="12">
        <v>12</v>
      </c>
      <c r="C111" s="12" t="s">
        <v>624</v>
      </c>
      <c r="D111" s="12" t="s">
        <v>469</v>
      </c>
      <c r="E111" s="12" t="s">
        <v>469</v>
      </c>
      <c r="F111" s="12"/>
      <c r="G111" s="37" t="s">
        <v>625</v>
      </c>
      <c r="H111" s="50" t="s">
        <v>626</v>
      </c>
      <c r="I111" s="9" t="str">
        <f>_xlfn.XLOOKUP(H111,'Alternative Tool Body Sheet'!A:A,'Alternative Tool Body Sheet'!C:C)</f>
        <v>12 EMAT</v>
      </c>
      <c r="J111" s="12">
        <f t="shared" si="2"/>
        <v>7</v>
      </c>
      <c r="K111" s="12" t="s">
        <v>98</v>
      </c>
      <c r="L111" s="12">
        <v>12.75</v>
      </c>
      <c r="M111" s="12">
        <v>11</v>
      </c>
      <c r="N111" s="12">
        <v>13.73</v>
      </c>
      <c r="O111" s="12">
        <v>11.25</v>
      </c>
      <c r="P111" s="12">
        <v>11.25</v>
      </c>
      <c r="Q111" s="12" t="s">
        <v>99</v>
      </c>
      <c r="R111" s="12"/>
      <c r="S111" s="12">
        <v>11.2</v>
      </c>
      <c r="T111" s="12">
        <v>11.2</v>
      </c>
      <c r="U111" s="12" t="s">
        <v>99</v>
      </c>
      <c r="V111" s="12">
        <v>7.3</v>
      </c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>
        <v>750</v>
      </c>
      <c r="AO111" s="12">
        <v>153.5</v>
      </c>
      <c r="AP111" s="12">
        <v>26</v>
      </c>
      <c r="AQ111" s="12">
        <v>765</v>
      </c>
      <c r="AR111" s="12">
        <v>80</v>
      </c>
      <c r="AS111" s="12"/>
      <c r="AT111" s="12"/>
      <c r="AU111" s="12"/>
      <c r="AV111" s="12"/>
      <c r="AW111" s="12"/>
      <c r="AX111" s="12">
        <v>400</v>
      </c>
      <c r="AY111" s="12">
        <v>2000</v>
      </c>
      <c r="AZ111" s="12" t="s">
        <v>627</v>
      </c>
      <c r="BA111" s="12" t="s">
        <v>102</v>
      </c>
      <c r="BB111" s="12" t="s">
        <v>102</v>
      </c>
      <c r="BC111" s="12" t="s">
        <v>101</v>
      </c>
      <c r="BD111" s="12" t="s">
        <v>102</v>
      </c>
      <c r="BE111" s="12" t="s">
        <v>101</v>
      </c>
      <c r="BF111" s="12" t="s">
        <v>118</v>
      </c>
      <c r="BG111" s="12" t="s">
        <v>118</v>
      </c>
      <c r="BH111" s="12" t="s">
        <v>105</v>
      </c>
      <c r="BI111" s="12">
        <v>13</v>
      </c>
      <c r="BJ111" s="12">
        <v>2</v>
      </c>
      <c r="BK111" s="12">
        <v>2</v>
      </c>
      <c r="BL111" s="12">
        <v>14</v>
      </c>
      <c r="BM111" s="12">
        <v>4</v>
      </c>
      <c r="BN111" s="12">
        <v>18</v>
      </c>
      <c r="BO111" s="12">
        <v>13</v>
      </c>
      <c r="BP111" s="12">
        <v>13</v>
      </c>
      <c r="BQ111" s="12">
        <v>2</v>
      </c>
      <c r="BR111" s="12">
        <v>14</v>
      </c>
      <c r="BS111" s="12">
        <v>4</v>
      </c>
      <c r="BT111" s="12">
        <v>18</v>
      </c>
      <c r="CF111">
        <v>121994</v>
      </c>
      <c r="CI111" s="51"/>
      <c r="CJ111" s="8" t="b">
        <v>0</v>
      </c>
      <c r="CT111" s="8" t="s">
        <v>623</v>
      </c>
      <c r="CV111" s="51" t="s">
        <v>628</v>
      </c>
      <c r="CW111" s="8" t="str">
        <f t="shared" si="3"/>
        <v>EMAT.12 </v>
      </c>
    </row>
    <row r="112" spans="1:101" s="8" customFormat="1" x14ac:dyDescent="0.25">
      <c r="A112" s="13">
        <v>112100</v>
      </c>
      <c r="B112" s="9">
        <v>12</v>
      </c>
      <c r="C112" s="9" t="s">
        <v>629</v>
      </c>
      <c r="D112" s="9" t="s">
        <v>94</v>
      </c>
      <c r="E112" s="9" t="s">
        <v>95</v>
      </c>
      <c r="F112" s="9"/>
      <c r="G112" s="33" t="s">
        <v>630</v>
      </c>
      <c r="H112" s="47" t="s">
        <v>598</v>
      </c>
      <c r="I112" s="9" t="str">
        <f>_xlfn.XLOOKUP(H112,'Alternative Tool Body Sheet'!A:A,'Alternative Tool Body Sheet'!C:C)</f>
        <v>12/14 DEF</v>
      </c>
      <c r="J112" s="9">
        <f t="shared" si="2"/>
        <v>5</v>
      </c>
      <c r="K112" s="9" t="s">
        <v>114</v>
      </c>
      <c r="L112" s="9">
        <v>12.75</v>
      </c>
      <c r="M112" s="9">
        <v>9.56</v>
      </c>
      <c r="N112" s="9">
        <v>25</v>
      </c>
      <c r="P112" s="9">
        <v>11.25</v>
      </c>
      <c r="Q112" s="9" t="s">
        <v>115</v>
      </c>
      <c r="R112" s="9">
        <v>10.75</v>
      </c>
      <c r="T112" s="9">
        <v>9.56</v>
      </c>
      <c r="U112" s="9" t="s">
        <v>116</v>
      </c>
      <c r="V112" s="9">
        <v>15</v>
      </c>
      <c r="AA112" s="9">
        <v>40</v>
      </c>
      <c r="AN112" s="9">
        <v>750</v>
      </c>
      <c r="AO112" s="9">
        <v>49</v>
      </c>
      <c r="AP112" s="9">
        <v>25</v>
      </c>
      <c r="AQ112" s="9">
        <v>135</v>
      </c>
      <c r="AR112" s="9">
        <v>55</v>
      </c>
      <c r="AT112" s="9">
        <v>75</v>
      </c>
      <c r="AV112" s="9">
        <v>2.54</v>
      </c>
      <c r="AW112" s="9">
        <v>0.21</v>
      </c>
      <c r="AX112" s="9">
        <v>300</v>
      </c>
      <c r="AY112" s="9">
        <v>2000</v>
      </c>
      <c r="AZ112" s="9" t="s">
        <v>599</v>
      </c>
      <c r="BA112" s="9" t="s">
        <v>102</v>
      </c>
      <c r="BB112" s="9" t="s">
        <v>101</v>
      </c>
      <c r="BC112" s="9" t="s">
        <v>101</v>
      </c>
      <c r="BD112" s="9" t="s">
        <v>102</v>
      </c>
      <c r="BE112" s="9" t="s">
        <v>102</v>
      </c>
      <c r="BF112" s="9" t="s">
        <v>321</v>
      </c>
      <c r="BG112" s="9" t="s">
        <v>322</v>
      </c>
      <c r="BH112" s="9" t="s">
        <v>105</v>
      </c>
      <c r="BI112" s="9">
        <v>5</v>
      </c>
      <c r="BJ112" s="9">
        <v>2</v>
      </c>
      <c r="BK112" s="9">
        <v>2</v>
      </c>
      <c r="BL112" s="9">
        <v>14</v>
      </c>
      <c r="BM112" s="9">
        <v>4</v>
      </c>
      <c r="BN112" s="9">
        <v>7</v>
      </c>
      <c r="BO112" s="9">
        <v>5</v>
      </c>
      <c r="BP112" s="9">
        <v>5</v>
      </c>
      <c r="BQ112" s="9">
        <v>2</v>
      </c>
      <c r="BR112" s="9">
        <v>14</v>
      </c>
      <c r="BS112" s="9">
        <v>4</v>
      </c>
      <c r="BT112" s="9">
        <v>7</v>
      </c>
      <c r="BY112" s="8">
        <v>112106</v>
      </c>
      <c r="CI112" s="51"/>
      <c r="CJ112" s="8" t="b">
        <v>0</v>
      </c>
      <c r="CT112" s="8">
        <v>112100</v>
      </c>
      <c r="CV112" s="51" t="s">
        <v>600</v>
      </c>
      <c r="CW112" s="8" t="str">
        <f t="shared" si="3"/>
        <v>DEF.12 </v>
      </c>
    </row>
    <row r="113" spans="1:101" s="8" customFormat="1" x14ac:dyDescent="0.25">
      <c r="A113" s="13">
        <v>108768</v>
      </c>
      <c r="B113" s="9">
        <v>12</v>
      </c>
      <c r="C113" s="9" t="s">
        <v>631</v>
      </c>
      <c r="D113" s="9" t="s">
        <v>94</v>
      </c>
      <c r="E113" s="9" t="s">
        <v>145</v>
      </c>
      <c r="F113" s="9"/>
      <c r="G113" s="33" t="s">
        <v>632</v>
      </c>
      <c r="H113" s="47" t="s">
        <v>633</v>
      </c>
      <c r="I113" s="9" t="str">
        <f>_xlfn.XLOOKUP(H113,'Alternative Tool Body Sheet'!A:A,'Alternative Tool Body Sheet'!C:C)</f>
        <v>12/14 DEF</v>
      </c>
      <c r="J113" s="9">
        <f t="shared" si="2"/>
        <v>5</v>
      </c>
      <c r="K113" s="9" t="s">
        <v>114</v>
      </c>
      <c r="L113" s="9">
        <v>12.75</v>
      </c>
      <c r="M113" s="9">
        <v>11.03</v>
      </c>
      <c r="N113" s="9">
        <v>13.49</v>
      </c>
      <c r="P113" s="9">
        <v>11.25</v>
      </c>
      <c r="Q113" s="9" t="s">
        <v>115</v>
      </c>
      <c r="R113" s="9">
        <v>11.25</v>
      </c>
      <c r="T113" s="9">
        <v>11.1</v>
      </c>
      <c r="U113" s="9" t="s">
        <v>116</v>
      </c>
      <c r="V113" s="9">
        <v>10</v>
      </c>
      <c r="W113" s="9">
        <v>10</v>
      </c>
      <c r="X113" s="9">
        <v>0.5</v>
      </c>
      <c r="Y113" s="9">
        <v>1</v>
      </c>
      <c r="Z113" s="9">
        <v>0.55000000000000004</v>
      </c>
      <c r="AA113" s="9">
        <v>40</v>
      </c>
      <c r="AD113" s="9">
        <v>40</v>
      </c>
      <c r="AH113" s="9">
        <v>120</v>
      </c>
      <c r="AN113" s="9">
        <v>750</v>
      </c>
      <c r="AO113" s="9">
        <v>76</v>
      </c>
      <c r="AP113" s="9">
        <v>25</v>
      </c>
      <c r="AQ113" s="9">
        <v>391</v>
      </c>
      <c r="AR113" s="9">
        <v>85</v>
      </c>
      <c r="AT113" s="9">
        <v>34</v>
      </c>
      <c r="AX113" s="9">
        <v>300</v>
      </c>
      <c r="AY113" s="9">
        <v>2000</v>
      </c>
      <c r="AZ113" s="9" t="s">
        <v>634</v>
      </c>
      <c r="BA113" s="9" t="s">
        <v>102</v>
      </c>
      <c r="BB113" s="9" t="s">
        <v>101</v>
      </c>
      <c r="BC113" s="9" t="s">
        <v>101</v>
      </c>
      <c r="BD113" s="9" t="s">
        <v>102</v>
      </c>
      <c r="BE113" s="9" t="s">
        <v>102</v>
      </c>
      <c r="BF113" s="9" t="s">
        <v>126</v>
      </c>
      <c r="BG113" s="9" t="s">
        <v>126</v>
      </c>
      <c r="BH113" s="9" t="s">
        <v>105</v>
      </c>
      <c r="BI113" s="9">
        <v>7</v>
      </c>
      <c r="BJ113" s="9">
        <v>2</v>
      </c>
      <c r="BK113" s="9">
        <v>2</v>
      </c>
      <c r="BL113" s="9">
        <v>14</v>
      </c>
      <c r="BM113" s="9">
        <v>4</v>
      </c>
      <c r="BN113" s="9">
        <v>9</v>
      </c>
      <c r="BO113" s="9">
        <v>7</v>
      </c>
      <c r="BP113" s="9">
        <v>7</v>
      </c>
      <c r="BQ113" s="9">
        <v>2</v>
      </c>
      <c r="BR113" s="9">
        <v>14</v>
      </c>
      <c r="BS113" s="9">
        <v>4</v>
      </c>
      <c r="BT113" s="9">
        <v>9</v>
      </c>
      <c r="BX113" s="8" t="s">
        <v>605</v>
      </c>
      <c r="BY113" s="8">
        <v>112106</v>
      </c>
      <c r="CI113" s="51"/>
      <c r="CJ113" s="8" t="b">
        <v>0</v>
      </c>
      <c r="CT113" s="8">
        <v>108768</v>
      </c>
      <c r="CV113" s="51" t="s">
        <v>635</v>
      </c>
      <c r="CW113" s="8" t="str">
        <f t="shared" si="3"/>
        <v>DEF.MFL.12 </v>
      </c>
    </row>
    <row r="114" spans="1:101" s="8" customFormat="1" x14ac:dyDescent="0.25">
      <c r="A114" s="13">
        <v>129843</v>
      </c>
      <c r="B114" s="9">
        <v>12</v>
      </c>
      <c r="C114" s="9" t="s">
        <v>636</v>
      </c>
      <c r="D114" s="9" t="s">
        <v>121</v>
      </c>
      <c r="E114" s="9" t="s">
        <v>390</v>
      </c>
      <c r="F114" s="9"/>
      <c r="G114" s="33" t="s">
        <v>637</v>
      </c>
      <c r="H114" s="47" t="s">
        <v>638</v>
      </c>
      <c r="I114" s="9" t="str">
        <f>_xlfn.XLOOKUP(H114,'Alternative Tool Body Sheet'!A:A,'Alternative Tool Body Sheet'!C:C)</f>
        <v>12 MDS</v>
      </c>
      <c r="J114" s="9">
        <f t="shared" si="2"/>
        <v>7</v>
      </c>
      <c r="K114" s="9" t="s">
        <v>114</v>
      </c>
      <c r="L114" s="9">
        <v>12.75</v>
      </c>
      <c r="M114" s="9">
        <v>11</v>
      </c>
      <c r="N114" s="9">
        <v>13.73</v>
      </c>
      <c r="P114" s="9">
        <v>11.25</v>
      </c>
      <c r="Q114" s="9" t="s">
        <v>115</v>
      </c>
      <c r="R114" s="9">
        <v>11.62</v>
      </c>
      <c r="U114" s="9" t="s">
        <v>99</v>
      </c>
      <c r="V114" s="9">
        <v>10</v>
      </c>
      <c r="W114" s="9">
        <v>10</v>
      </c>
      <c r="X114" s="9">
        <v>0.6</v>
      </c>
      <c r="Y114" s="9">
        <v>1</v>
      </c>
      <c r="Z114" s="9">
        <v>0.67</v>
      </c>
      <c r="AA114" s="9">
        <v>48</v>
      </c>
      <c r="AD114" s="9">
        <v>48</v>
      </c>
      <c r="AF114" s="9">
        <v>144</v>
      </c>
      <c r="AH114" s="9">
        <v>288</v>
      </c>
      <c r="AN114" s="9">
        <v>750</v>
      </c>
      <c r="AO114" s="9">
        <v>99</v>
      </c>
      <c r="AQ114" s="9">
        <v>522</v>
      </c>
      <c r="AT114" s="9">
        <v>51</v>
      </c>
      <c r="AV114" s="9">
        <v>25.52</v>
      </c>
      <c r="AW114" s="9">
        <v>2.13</v>
      </c>
      <c r="AX114" s="9">
        <v>375</v>
      </c>
      <c r="AY114" s="9">
        <v>2000</v>
      </c>
      <c r="AZ114" s="9" t="s">
        <v>639</v>
      </c>
      <c r="BA114" s="9" t="s">
        <v>102</v>
      </c>
      <c r="BB114" s="9" t="s">
        <v>102</v>
      </c>
      <c r="BC114" s="9" t="s">
        <v>101</v>
      </c>
      <c r="BD114" s="9" t="s">
        <v>102</v>
      </c>
      <c r="BE114" s="9" t="s">
        <v>101</v>
      </c>
      <c r="BF114" s="9" t="s">
        <v>118</v>
      </c>
      <c r="BG114" s="9" t="s">
        <v>640</v>
      </c>
      <c r="BH114" s="9" t="s">
        <v>105</v>
      </c>
      <c r="BI114" s="9">
        <v>9</v>
      </c>
      <c r="BJ114" s="9">
        <v>2</v>
      </c>
      <c r="BK114" s="9">
        <v>2</v>
      </c>
      <c r="BL114" s="9">
        <v>14</v>
      </c>
      <c r="BM114" s="9">
        <v>4</v>
      </c>
      <c r="BN114" s="9">
        <v>12</v>
      </c>
      <c r="BO114" s="9">
        <v>9</v>
      </c>
      <c r="BP114" s="9">
        <v>9</v>
      </c>
      <c r="BQ114" s="9">
        <v>2</v>
      </c>
      <c r="BR114" s="9">
        <v>14</v>
      </c>
      <c r="BS114" s="9">
        <v>4</v>
      </c>
      <c r="BT114" s="9">
        <v>12</v>
      </c>
      <c r="BX114" s="8">
        <v>129645</v>
      </c>
      <c r="BY114" s="8">
        <v>116405</v>
      </c>
      <c r="CI114" s="51"/>
      <c r="CJ114" s="8" t="b">
        <v>0</v>
      </c>
      <c r="CT114" s="8">
        <v>129843</v>
      </c>
      <c r="CV114" s="51" t="s">
        <v>641</v>
      </c>
      <c r="CW114" s="8" t="str">
        <f t="shared" si="3"/>
        <v>DEF.LFM.UMFL.12 </v>
      </c>
    </row>
    <row r="115" spans="1:101" s="8" customFormat="1" x14ac:dyDescent="0.25">
      <c r="A115" s="13">
        <v>113940</v>
      </c>
      <c r="B115" s="9">
        <v>12</v>
      </c>
      <c r="C115" s="9" t="s">
        <v>642</v>
      </c>
      <c r="D115" s="9" t="s">
        <v>94</v>
      </c>
      <c r="E115" s="9" t="s">
        <v>169</v>
      </c>
      <c r="F115" s="9"/>
      <c r="G115" s="33" t="s">
        <v>643</v>
      </c>
      <c r="H115" s="47" t="s">
        <v>644</v>
      </c>
      <c r="I115" s="9" t="str">
        <f>_xlfn.XLOOKUP(H115,'Alternative Tool Body Sheet'!A:A,'Alternative Tool Body Sheet'!C:C)</f>
        <v>12/14 MFL</v>
      </c>
      <c r="J115" s="9">
        <f t="shared" si="2"/>
        <v>5</v>
      </c>
      <c r="K115" s="9" t="s">
        <v>114</v>
      </c>
      <c r="L115" s="9">
        <v>12.75</v>
      </c>
      <c r="M115" s="9">
        <v>11.03</v>
      </c>
      <c r="N115" s="9">
        <v>13.49</v>
      </c>
      <c r="P115" s="9">
        <v>11.25</v>
      </c>
      <c r="Q115" s="9" t="s">
        <v>115</v>
      </c>
      <c r="R115" s="9">
        <v>11.25</v>
      </c>
      <c r="T115" s="9">
        <v>11.1</v>
      </c>
      <c r="U115" s="9" t="s">
        <v>116</v>
      </c>
      <c r="V115" s="9">
        <v>10</v>
      </c>
      <c r="W115" s="9">
        <v>10</v>
      </c>
      <c r="X115" s="9">
        <v>0.5</v>
      </c>
      <c r="Y115" s="9">
        <v>1</v>
      </c>
      <c r="Z115" s="9">
        <v>0.55000000000000004</v>
      </c>
      <c r="AD115" s="9">
        <v>40</v>
      </c>
      <c r="AH115" s="9">
        <v>120</v>
      </c>
      <c r="AN115" s="9">
        <v>750</v>
      </c>
      <c r="AO115" s="9">
        <v>74</v>
      </c>
      <c r="AP115" s="9">
        <v>25</v>
      </c>
      <c r="AQ115" s="9">
        <v>365</v>
      </c>
      <c r="AR115" s="9">
        <v>85</v>
      </c>
      <c r="AT115" s="9">
        <v>52</v>
      </c>
      <c r="AX115" s="9">
        <v>300</v>
      </c>
      <c r="AY115" s="9">
        <v>2000</v>
      </c>
      <c r="AZ115" s="9" t="s">
        <v>645</v>
      </c>
      <c r="BA115" s="9" t="s">
        <v>102</v>
      </c>
      <c r="BB115" s="9" t="s">
        <v>101</v>
      </c>
      <c r="BC115" s="9" t="s">
        <v>101</v>
      </c>
      <c r="BD115" s="9" t="s">
        <v>102</v>
      </c>
      <c r="BE115" s="9" t="s">
        <v>102</v>
      </c>
      <c r="BF115" s="9" t="s">
        <v>593</v>
      </c>
      <c r="BG115" s="9" t="s">
        <v>594</v>
      </c>
      <c r="BH115" s="9" t="s">
        <v>105</v>
      </c>
      <c r="BI115" s="9">
        <v>7</v>
      </c>
      <c r="BJ115" s="9">
        <v>2</v>
      </c>
      <c r="BK115" s="9">
        <v>2</v>
      </c>
      <c r="BL115" s="9">
        <v>14</v>
      </c>
      <c r="BM115" s="9">
        <v>4</v>
      </c>
      <c r="BN115" s="9">
        <v>9</v>
      </c>
      <c r="BO115" s="9">
        <v>7</v>
      </c>
      <c r="BP115" s="9">
        <v>7</v>
      </c>
      <c r="BQ115" s="9">
        <v>2</v>
      </c>
      <c r="BR115" s="9">
        <v>14</v>
      </c>
      <c r="BS115" s="9">
        <v>4</v>
      </c>
      <c r="BT115" s="9">
        <v>9</v>
      </c>
      <c r="BX115" s="8" t="s">
        <v>605</v>
      </c>
      <c r="CI115" s="51"/>
      <c r="CJ115" s="8" t="b">
        <v>0</v>
      </c>
      <c r="CT115" s="8">
        <v>113940</v>
      </c>
      <c r="CV115" s="51" t="s">
        <v>646</v>
      </c>
      <c r="CW115" s="8" t="str">
        <f t="shared" si="3"/>
        <v>MFL.12 </v>
      </c>
    </row>
    <row r="116" spans="1:101" s="8" customFormat="1" x14ac:dyDescent="0.25">
      <c r="A116" s="13">
        <v>114371</v>
      </c>
      <c r="B116" s="9">
        <v>12</v>
      </c>
      <c r="C116" s="9" t="s">
        <v>647</v>
      </c>
      <c r="D116" s="9" t="s">
        <v>94</v>
      </c>
      <c r="E116" s="9" t="s">
        <v>212</v>
      </c>
      <c r="F116" s="9"/>
      <c r="G116" s="33" t="s">
        <v>648</v>
      </c>
      <c r="H116" s="47" t="s">
        <v>649</v>
      </c>
      <c r="I116" s="9" t="str">
        <f>_xlfn.XLOOKUP(H116,'Alternative Tool Body Sheet'!A:A,'Alternative Tool Body Sheet'!C:C)</f>
        <v>12/14 DEF</v>
      </c>
      <c r="J116" s="9">
        <f t="shared" si="2"/>
        <v>5</v>
      </c>
      <c r="K116" s="9" t="s">
        <v>114</v>
      </c>
      <c r="L116" s="9">
        <v>12.75</v>
      </c>
      <c r="M116" s="9">
        <v>11.03</v>
      </c>
      <c r="N116" s="9">
        <v>13.49</v>
      </c>
      <c r="P116" s="9">
        <v>11.25</v>
      </c>
      <c r="Q116" s="9" t="s">
        <v>115</v>
      </c>
      <c r="R116" s="9">
        <v>11.25</v>
      </c>
      <c r="T116" s="9">
        <v>11.1</v>
      </c>
      <c r="U116" s="9" t="s">
        <v>116</v>
      </c>
      <c r="V116" s="9">
        <v>10</v>
      </c>
      <c r="W116" s="9">
        <v>10</v>
      </c>
      <c r="X116" s="9">
        <v>0.5</v>
      </c>
      <c r="Y116" s="9">
        <v>1</v>
      </c>
      <c r="Z116" s="9">
        <v>0.55000000000000004</v>
      </c>
      <c r="AA116" s="9">
        <v>40</v>
      </c>
      <c r="AD116" s="9">
        <v>40</v>
      </c>
      <c r="AH116" s="9">
        <v>120</v>
      </c>
      <c r="AN116" s="9">
        <v>750</v>
      </c>
      <c r="AO116" s="9">
        <v>99</v>
      </c>
      <c r="AP116" s="9">
        <v>25</v>
      </c>
      <c r="AQ116" s="9">
        <v>430</v>
      </c>
      <c r="AR116" s="9">
        <v>85</v>
      </c>
      <c r="AS116" s="9">
        <v>0</v>
      </c>
      <c r="AT116" s="9">
        <v>16</v>
      </c>
      <c r="AX116" s="9">
        <v>300</v>
      </c>
      <c r="AY116" s="9">
        <v>2000</v>
      </c>
      <c r="AZ116" s="9" t="s">
        <v>650</v>
      </c>
      <c r="BA116" s="9" t="s">
        <v>102</v>
      </c>
      <c r="BB116" s="9" t="s">
        <v>101</v>
      </c>
      <c r="BC116" s="9" t="s">
        <v>101</v>
      </c>
      <c r="BD116" s="9" t="s">
        <v>102</v>
      </c>
      <c r="BE116" s="9" t="s">
        <v>102</v>
      </c>
      <c r="BF116" s="9" t="s">
        <v>126</v>
      </c>
      <c r="BG116" s="9" t="s">
        <v>126</v>
      </c>
      <c r="BH116" s="9" t="s">
        <v>105</v>
      </c>
      <c r="BI116" s="9">
        <v>9</v>
      </c>
      <c r="BJ116" s="9">
        <v>2</v>
      </c>
      <c r="BK116" s="9">
        <v>2</v>
      </c>
      <c r="BL116" s="9">
        <v>14</v>
      </c>
      <c r="BM116" s="9">
        <v>4</v>
      </c>
      <c r="BN116" s="9">
        <v>12</v>
      </c>
      <c r="BO116" s="9">
        <v>9</v>
      </c>
      <c r="BP116" s="9">
        <v>9</v>
      </c>
      <c r="BQ116" s="9">
        <v>2</v>
      </c>
      <c r="BR116" s="9">
        <v>14</v>
      </c>
      <c r="BS116" s="9">
        <v>4</v>
      </c>
      <c r="BT116" s="9">
        <v>12</v>
      </c>
      <c r="BX116" s="8" t="s">
        <v>605</v>
      </c>
      <c r="BY116" s="8">
        <v>112106</v>
      </c>
      <c r="CI116" s="51"/>
      <c r="CJ116" s="8" t="b">
        <v>0</v>
      </c>
      <c r="CT116" s="8">
        <v>114371</v>
      </c>
      <c r="CV116" s="51" t="s">
        <v>651</v>
      </c>
      <c r="CW116" s="8" t="str">
        <f t="shared" si="3"/>
        <v>DEF.MFL.XYZ.12 </v>
      </c>
    </row>
    <row r="117" spans="1:101" s="8" customFormat="1" x14ac:dyDescent="0.25">
      <c r="A117" s="13">
        <v>121052</v>
      </c>
      <c r="B117" s="9">
        <v>12</v>
      </c>
      <c r="C117" s="9" t="s">
        <v>652</v>
      </c>
      <c r="D117" s="9" t="s">
        <v>94</v>
      </c>
      <c r="E117" s="9" t="s">
        <v>95</v>
      </c>
      <c r="F117" s="9"/>
      <c r="G117" s="33" t="s">
        <v>653</v>
      </c>
      <c r="H117" s="47" t="s">
        <v>598</v>
      </c>
      <c r="I117" s="9" t="str">
        <f>_xlfn.XLOOKUP(H117,'Alternative Tool Body Sheet'!A:A,'Alternative Tool Body Sheet'!C:C)</f>
        <v>12/14 DEF</v>
      </c>
      <c r="J117" s="9">
        <f t="shared" si="2"/>
        <v>5</v>
      </c>
      <c r="K117" s="9" t="s">
        <v>114</v>
      </c>
      <c r="L117" s="9">
        <v>12.75</v>
      </c>
      <c r="M117" s="9">
        <v>9.56</v>
      </c>
      <c r="N117" s="9">
        <v>25.02</v>
      </c>
      <c r="P117" s="9">
        <v>11.25</v>
      </c>
      <c r="Q117" s="9" t="s">
        <v>115</v>
      </c>
      <c r="R117" s="9">
        <v>10.75</v>
      </c>
      <c r="U117" s="9" t="s">
        <v>99</v>
      </c>
      <c r="V117" s="9">
        <v>15</v>
      </c>
      <c r="AA117" s="9">
        <v>40</v>
      </c>
      <c r="AN117" s="9">
        <v>750</v>
      </c>
      <c r="AO117" s="9">
        <v>51</v>
      </c>
      <c r="AQ117" s="9">
        <v>147</v>
      </c>
      <c r="AT117" s="9">
        <v>74</v>
      </c>
      <c r="AX117" s="9">
        <v>300</v>
      </c>
      <c r="AY117" s="9">
        <v>2000</v>
      </c>
      <c r="AZ117" s="9" t="s">
        <v>654</v>
      </c>
      <c r="BA117" s="9" t="s">
        <v>102</v>
      </c>
      <c r="BB117" s="9" t="s">
        <v>102</v>
      </c>
      <c r="BC117" s="9" t="s">
        <v>102</v>
      </c>
      <c r="BD117" s="9" t="s">
        <v>102</v>
      </c>
      <c r="BE117" s="9" t="s">
        <v>102</v>
      </c>
      <c r="BF117" s="9" t="s">
        <v>118</v>
      </c>
      <c r="BG117" s="9" t="s">
        <v>118</v>
      </c>
      <c r="BH117" s="9" t="s">
        <v>105</v>
      </c>
      <c r="BI117" s="9">
        <v>5</v>
      </c>
      <c r="BJ117" s="9">
        <v>2</v>
      </c>
      <c r="BK117" s="9">
        <v>2</v>
      </c>
      <c r="BL117" s="9">
        <v>14</v>
      </c>
      <c r="BM117" s="9">
        <v>4</v>
      </c>
      <c r="BN117" s="9">
        <v>7</v>
      </c>
      <c r="BO117" s="9">
        <v>5</v>
      </c>
      <c r="BP117" s="9">
        <v>5</v>
      </c>
      <c r="BQ117" s="9">
        <v>2</v>
      </c>
      <c r="BR117" s="9">
        <v>14</v>
      </c>
      <c r="BS117" s="9">
        <v>4</v>
      </c>
      <c r="BT117" s="9">
        <v>7</v>
      </c>
      <c r="BY117" s="8">
        <v>112106</v>
      </c>
      <c r="CI117" s="51"/>
      <c r="CJ117" s="8" t="b">
        <v>0</v>
      </c>
      <c r="CT117" s="8">
        <v>121052</v>
      </c>
      <c r="CV117" s="51" t="s">
        <v>600</v>
      </c>
      <c r="CW117" s="8" t="str">
        <f t="shared" si="3"/>
        <v>DEF.12 </v>
      </c>
    </row>
    <row r="118" spans="1:101" s="8" customFormat="1" x14ac:dyDescent="0.25">
      <c r="A118" s="13">
        <v>114579</v>
      </c>
      <c r="B118" s="9">
        <v>12</v>
      </c>
      <c r="C118" s="9" t="s">
        <v>655</v>
      </c>
      <c r="D118" s="9" t="s">
        <v>94</v>
      </c>
      <c r="E118" s="9" t="s">
        <v>194</v>
      </c>
      <c r="F118" s="9"/>
      <c r="G118" s="33" t="s">
        <v>613</v>
      </c>
      <c r="H118" s="47" t="s">
        <v>587</v>
      </c>
      <c r="I118" s="9" t="str">
        <f>_xlfn.XLOOKUP(H118,'Alternative Tool Body Sheet'!A:A,'Alternative Tool Body Sheet'!C:C)</f>
        <v>12/14 DEF</v>
      </c>
      <c r="J118" s="9">
        <f t="shared" si="2"/>
        <v>5</v>
      </c>
      <c r="K118" s="9" t="s">
        <v>114</v>
      </c>
      <c r="L118" s="9">
        <v>12.75</v>
      </c>
      <c r="M118" s="9">
        <v>9.56</v>
      </c>
      <c r="N118" s="9">
        <v>25</v>
      </c>
      <c r="P118" s="9">
        <v>11.25</v>
      </c>
      <c r="Q118" s="9" t="s">
        <v>115</v>
      </c>
      <c r="R118" s="9">
        <v>10.75</v>
      </c>
      <c r="T118" s="9">
        <v>9.6300000000000008</v>
      </c>
      <c r="U118" s="9" t="s">
        <v>116</v>
      </c>
      <c r="V118" s="9">
        <v>15</v>
      </c>
      <c r="AA118" s="9">
        <v>40</v>
      </c>
      <c r="AN118" s="9">
        <v>750</v>
      </c>
      <c r="AO118" s="9">
        <v>73</v>
      </c>
      <c r="AP118" s="9">
        <v>25</v>
      </c>
      <c r="AQ118" s="9">
        <v>250</v>
      </c>
      <c r="AR118" s="9">
        <v>85</v>
      </c>
      <c r="AS118" s="9">
        <v>97</v>
      </c>
      <c r="AT118" s="9">
        <v>0</v>
      </c>
      <c r="AX118" s="9">
        <v>300</v>
      </c>
      <c r="AY118" s="9">
        <v>2000</v>
      </c>
      <c r="AZ118" s="9" t="s">
        <v>656</v>
      </c>
      <c r="BA118" s="9" t="s">
        <v>102</v>
      </c>
      <c r="BB118" s="9" t="s">
        <v>101</v>
      </c>
      <c r="BC118" s="9" t="s">
        <v>101</v>
      </c>
      <c r="BD118" s="9" t="s">
        <v>102</v>
      </c>
      <c r="BE118" s="9" t="s">
        <v>102</v>
      </c>
      <c r="BF118" s="9" t="s">
        <v>126</v>
      </c>
      <c r="BG118" s="9" t="s">
        <v>126</v>
      </c>
      <c r="BH118" s="9" t="s">
        <v>105</v>
      </c>
      <c r="BI118" s="9">
        <v>6</v>
      </c>
      <c r="BJ118" s="9">
        <v>2</v>
      </c>
      <c r="BK118" s="9">
        <v>2</v>
      </c>
      <c r="BL118" s="9">
        <v>14</v>
      </c>
      <c r="BM118" s="9">
        <v>4</v>
      </c>
      <c r="BN118" s="9">
        <v>9</v>
      </c>
      <c r="BO118" s="9">
        <v>6</v>
      </c>
      <c r="BP118" s="9">
        <v>6</v>
      </c>
      <c r="BQ118" s="9">
        <v>2</v>
      </c>
      <c r="BR118" s="9">
        <v>14</v>
      </c>
      <c r="BS118" s="9">
        <v>4</v>
      </c>
      <c r="BT118" s="9">
        <v>9</v>
      </c>
      <c r="BY118" s="8">
        <v>112106</v>
      </c>
      <c r="CI118" s="51"/>
      <c r="CJ118" s="8" t="b">
        <v>0</v>
      </c>
      <c r="CT118" s="8">
        <v>114579</v>
      </c>
      <c r="CV118" s="51" t="s">
        <v>588</v>
      </c>
      <c r="CW118" s="8" t="str">
        <f t="shared" si="3"/>
        <v>DEF.XYZ.12 </v>
      </c>
    </row>
    <row r="119" spans="1:101" s="8" customFormat="1" x14ac:dyDescent="0.25">
      <c r="A119" s="13">
        <v>129840</v>
      </c>
      <c r="B119" s="9">
        <v>12</v>
      </c>
      <c r="C119" s="9" t="s">
        <v>657</v>
      </c>
      <c r="D119" s="9" t="s">
        <v>121</v>
      </c>
      <c r="E119" s="9" t="s">
        <v>212</v>
      </c>
      <c r="F119" s="9"/>
      <c r="G119" s="33" t="s">
        <v>658</v>
      </c>
      <c r="H119" s="47" t="s">
        <v>659</v>
      </c>
      <c r="I119" s="9" t="str">
        <f>_xlfn.XLOOKUP(H119,'Alternative Tool Body Sheet'!A:A,'Alternative Tool Body Sheet'!C:C)</f>
        <v>12 MDS</v>
      </c>
      <c r="J119" s="9">
        <f t="shared" si="2"/>
        <v>7</v>
      </c>
      <c r="K119" s="9" t="s">
        <v>114</v>
      </c>
      <c r="L119" s="9">
        <v>12.75</v>
      </c>
      <c r="M119" s="9">
        <v>11</v>
      </c>
      <c r="N119" s="9">
        <v>13.73</v>
      </c>
      <c r="P119" s="9">
        <v>11.25</v>
      </c>
      <c r="Q119" s="9" t="s">
        <v>115</v>
      </c>
      <c r="R119" s="9">
        <v>11.62</v>
      </c>
      <c r="U119" s="9" t="s">
        <v>99</v>
      </c>
      <c r="V119" s="9">
        <v>10</v>
      </c>
      <c r="W119" s="9">
        <v>10</v>
      </c>
      <c r="X119" s="9">
        <v>0.6</v>
      </c>
      <c r="Y119" s="9">
        <v>1</v>
      </c>
      <c r="Z119" s="9">
        <v>0.67</v>
      </c>
      <c r="AA119" s="9">
        <v>48</v>
      </c>
      <c r="AD119" s="9">
        <v>48</v>
      </c>
      <c r="AH119" s="9">
        <v>288</v>
      </c>
      <c r="AN119" s="9">
        <v>750</v>
      </c>
      <c r="AO119" s="9">
        <v>99</v>
      </c>
      <c r="AQ119" s="9">
        <v>460</v>
      </c>
      <c r="AT119" s="9">
        <v>22</v>
      </c>
      <c r="AV119" s="9">
        <v>25.52</v>
      </c>
      <c r="AW119" s="9">
        <v>2.13</v>
      </c>
      <c r="AX119" s="9">
        <v>375</v>
      </c>
      <c r="AY119" s="9">
        <v>2000</v>
      </c>
      <c r="AZ119" s="9" t="s">
        <v>660</v>
      </c>
      <c r="BA119" s="9" t="s">
        <v>102</v>
      </c>
      <c r="BB119" s="9" t="s">
        <v>102</v>
      </c>
      <c r="BC119" s="9" t="s">
        <v>101</v>
      </c>
      <c r="BD119" s="9" t="s">
        <v>102</v>
      </c>
      <c r="BE119" s="9" t="s">
        <v>101</v>
      </c>
      <c r="BF119" s="9" t="s">
        <v>118</v>
      </c>
      <c r="BG119" s="9" t="s">
        <v>640</v>
      </c>
      <c r="BH119" s="9" t="s">
        <v>105</v>
      </c>
      <c r="BI119" s="9">
        <v>9</v>
      </c>
      <c r="BJ119" s="9">
        <v>2</v>
      </c>
      <c r="BK119" s="9">
        <v>2</v>
      </c>
      <c r="BL119" s="9">
        <v>14</v>
      </c>
      <c r="BM119" s="9">
        <v>4</v>
      </c>
      <c r="BN119" s="9">
        <v>12</v>
      </c>
      <c r="BO119" s="9">
        <v>9</v>
      </c>
      <c r="BP119" s="9">
        <v>9</v>
      </c>
      <c r="BQ119" s="9">
        <v>2</v>
      </c>
      <c r="BR119" s="9">
        <v>14</v>
      </c>
      <c r="BS119" s="9">
        <v>4</v>
      </c>
      <c r="BT119" s="9">
        <v>12</v>
      </c>
      <c r="BX119" s="8">
        <v>129645</v>
      </c>
      <c r="BY119" s="8">
        <v>116405</v>
      </c>
      <c r="CI119" s="51"/>
      <c r="CJ119" s="8" t="b">
        <v>0</v>
      </c>
      <c r="CT119" s="8">
        <v>129840</v>
      </c>
      <c r="CV119" s="51" t="s">
        <v>661</v>
      </c>
      <c r="CW119" s="8" t="str">
        <f t="shared" si="3"/>
        <v>DEF.UMFL.XYZ.12 </v>
      </c>
    </row>
    <row r="120" spans="1:101" s="8" customFormat="1" x14ac:dyDescent="0.25">
      <c r="A120" s="13">
        <v>114656</v>
      </c>
      <c r="B120" s="9">
        <v>12</v>
      </c>
      <c r="C120" s="9" t="s">
        <v>662</v>
      </c>
      <c r="D120" s="9" t="s">
        <v>94</v>
      </c>
      <c r="E120" s="9" t="s">
        <v>296</v>
      </c>
      <c r="F120" s="9"/>
      <c r="G120" s="33" t="s">
        <v>663</v>
      </c>
      <c r="H120" s="47" t="s">
        <v>664</v>
      </c>
      <c r="I120" s="9" t="str">
        <f>_xlfn.XLOOKUP(H120,'Alternative Tool Body Sheet'!A:A,'Alternative Tool Body Sheet'!C:C)</f>
        <v>12 GMFL</v>
      </c>
      <c r="J120" s="9">
        <f t="shared" si="2"/>
        <v>5</v>
      </c>
      <c r="K120" s="9" t="s">
        <v>114</v>
      </c>
      <c r="L120" s="9">
        <v>12.75</v>
      </c>
      <c r="M120" s="9">
        <v>9.56</v>
      </c>
      <c r="P120" s="9">
        <v>11.25</v>
      </c>
      <c r="Q120" s="9" t="s">
        <v>115</v>
      </c>
      <c r="R120" s="9">
        <v>11.25</v>
      </c>
      <c r="T120" s="9">
        <v>9.75</v>
      </c>
      <c r="U120" s="9" t="s">
        <v>116</v>
      </c>
      <c r="V120" s="9">
        <v>10</v>
      </c>
      <c r="W120" s="9">
        <v>10</v>
      </c>
      <c r="X120" s="9">
        <v>0.5</v>
      </c>
      <c r="Y120" s="9">
        <v>1</v>
      </c>
      <c r="Z120" s="9">
        <v>0.55000000000000004</v>
      </c>
      <c r="AC120" s="9">
        <v>120</v>
      </c>
      <c r="AD120" s="9">
        <v>40</v>
      </c>
      <c r="AN120" s="9">
        <v>750</v>
      </c>
      <c r="AO120" s="9">
        <v>97</v>
      </c>
      <c r="AP120" s="9">
        <v>24</v>
      </c>
      <c r="AQ120" s="9">
        <v>320</v>
      </c>
      <c r="AR120" s="9">
        <v>50</v>
      </c>
      <c r="AT120" s="9">
        <v>20</v>
      </c>
      <c r="AV120" s="9">
        <v>23.98</v>
      </c>
      <c r="AW120" s="9">
        <v>2</v>
      </c>
      <c r="AX120" s="9">
        <v>300</v>
      </c>
      <c r="AY120" s="9">
        <v>2000</v>
      </c>
      <c r="AZ120" s="9" t="s">
        <v>665</v>
      </c>
      <c r="BA120" s="9" t="s">
        <v>102</v>
      </c>
      <c r="BB120" s="9" t="s">
        <v>102</v>
      </c>
      <c r="BC120" s="9" t="s">
        <v>101</v>
      </c>
      <c r="BD120" s="9" t="s">
        <v>102</v>
      </c>
      <c r="BE120" s="9" t="s">
        <v>101</v>
      </c>
      <c r="BF120" s="9" t="s">
        <v>118</v>
      </c>
      <c r="BG120" s="9" t="s">
        <v>594</v>
      </c>
      <c r="BH120" s="9" t="s">
        <v>105</v>
      </c>
      <c r="BI120" s="9">
        <v>9</v>
      </c>
      <c r="BJ120" s="9">
        <v>2</v>
      </c>
      <c r="BK120" s="9">
        <v>2</v>
      </c>
      <c r="BL120" s="9">
        <v>14</v>
      </c>
      <c r="BM120" s="9">
        <v>4</v>
      </c>
      <c r="BN120" s="9">
        <v>12</v>
      </c>
      <c r="BO120" s="9">
        <v>9</v>
      </c>
      <c r="BP120" s="9">
        <v>9</v>
      </c>
      <c r="BQ120" s="9">
        <v>2</v>
      </c>
      <c r="BR120" s="9">
        <v>14</v>
      </c>
      <c r="BS120" s="9">
        <v>4</v>
      </c>
      <c r="BT120" s="9">
        <v>12</v>
      </c>
      <c r="CI120" s="51">
        <v>109088</v>
      </c>
      <c r="CJ120" s="8" t="b">
        <v>0</v>
      </c>
      <c r="CT120" s="8">
        <v>114656</v>
      </c>
      <c r="CV120" s="51" t="s">
        <v>666</v>
      </c>
      <c r="CW120" s="8" t="str">
        <f>TRIM(CV120)</f>
        <v>GMFL.XYZ.12 </v>
      </c>
    </row>
    <row r="121" spans="1:101" s="8" customFormat="1" x14ac:dyDescent="0.25">
      <c r="A121" s="13">
        <v>108922</v>
      </c>
      <c r="B121" s="9">
        <v>12</v>
      </c>
      <c r="C121" s="9" t="s">
        <v>667</v>
      </c>
      <c r="D121" s="9" t="s">
        <v>121</v>
      </c>
      <c r="E121" s="9" t="s">
        <v>410</v>
      </c>
      <c r="F121" s="9"/>
      <c r="G121" s="33" t="s">
        <v>668</v>
      </c>
      <c r="H121" s="47" t="s">
        <v>669</v>
      </c>
      <c r="I121" s="9" t="s">
        <v>670</v>
      </c>
      <c r="J121" s="9">
        <f t="shared" si="2"/>
        <v>7</v>
      </c>
      <c r="K121" s="9" t="s">
        <v>114</v>
      </c>
      <c r="L121" s="9">
        <v>12.75</v>
      </c>
      <c r="M121" s="9">
        <v>11</v>
      </c>
      <c r="N121" s="9">
        <v>13.73</v>
      </c>
      <c r="P121" s="9">
        <v>11.25</v>
      </c>
      <c r="Q121" s="9" t="s">
        <v>115</v>
      </c>
      <c r="R121" s="9">
        <v>11.62</v>
      </c>
      <c r="U121" s="9" t="s">
        <v>99</v>
      </c>
      <c r="V121" s="9">
        <v>10</v>
      </c>
      <c r="W121" s="9">
        <v>10</v>
      </c>
      <c r="X121" s="9">
        <v>0.6</v>
      </c>
      <c r="Y121" s="9">
        <v>1</v>
      </c>
      <c r="Z121" s="9">
        <v>0.67</v>
      </c>
      <c r="AA121" s="9">
        <v>48</v>
      </c>
      <c r="AB121" s="9">
        <v>144</v>
      </c>
      <c r="AD121" s="9">
        <v>48</v>
      </c>
      <c r="AF121" s="9">
        <v>144</v>
      </c>
      <c r="AN121" s="9">
        <v>750</v>
      </c>
      <c r="AO121" s="9">
        <v>101</v>
      </c>
      <c r="AQ121" s="9">
        <v>550</v>
      </c>
      <c r="AT121" s="9">
        <v>18</v>
      </c>
      <c r="AV121" s="9">
        <v>8.02</v>
      </c>
      <c r="AW121" s="9">
        <v>0.67</v>
      </c>
      <c r="AX121" s="9">
        <v>375</v>
      </c>
      <c r="AY121" s="9">
        <v>2000</v>
      </c>
      <c r="AZ121" s="9" t="s">
        <v>671</v>
      </c>
      <c r="BA121" s="9" t="s">
        <v>102</v>
      </c>
      <c r="BB121" s="9" t="s">
        <v>102</v>
      </c>
      <c r="BC121" s="9" t="s">
        <v>101</v>
      </c>
      <c r="BD121" s="9" t="s">
        <v>102</v>
      </c>
      <c r="BE121" s="9" t="s">
        <v>101</v>
      </c>
      <c r="BF121" s="9" t="s">
        <v>118</v>
      </c>
      <c r="BG121" s="9" t="s">
        <v>104</v>
      </c>
      <c r="BH121" s="9" t="s">
        <v>105</v>
      </c>
      <c r="BI121" s="9">
        <v>9</v>
      </c>
      <c r="BJ121" s="9">
        <v>2</v>
      </c>
      <c r="BK121" s="9">
        <v>2</v>
      </c>
      <c r="BL121" s="9">
        <v>14</v>
      </c>
      <c r="BM121" s="9">
        <v>4</v>
      </c>
      <c r="BN121" s="9">
        <v>12</v>
      </c>
      <c r="BO121" s="9">
        <v>9</v>
      </c>
      <c r="BP121" s="9">
        <v>9</v>
      </c>
      <c r="BQ121" s="9">
        <v>2</v>
      </c>
      <c r="BR121" s="9">
        <v>14</v>
      </c>
      <c r="BS121" s="9">
        <v>4</v>
      </c>
      <c r="BT121" s="9">
        <v>12</v>
      </c>
      <c r="BX121" s="8">
        <v>113097</v>
      </c>
      <c r="BY121" s="8">
        <v>116405</v>
      </c>
      <c r="CI121" s="51"/>
      <c r="CJ121" s="8" t="b">
        <v>0</v>
      </c>
      <c r="CT121" s="8">
        <v>108922</v>
      </c>
      <c r="CV121" s="51" t="s">
        <v>672</v>
      </c>
      <c r="CW121" s="8" t="str">
        <f t="shared" si="3"/>
        <v>FLEXDEFLFMMFLXYZ.12 </v>
      </c>
    </row>
    <row r="122" spans="1:101" s="8" customFormat="1" x14ac:dyDescent="0.25">
      <c r="A122" s="24" t="s">
        <v>673</v>
      </c>
      <c r="B122" s="12">
        <v>12</v>
      </c>
      <c r="C122" s="12" t="s">
        <v>674</v>
      </c>
      <c r="D122" s="9" t="s">
        <v>469</v>
      </c>
      <c r="E122" s="12" t="s">
        <v>469</v>
      </c>
      <c r="F122" s="12"/>
      <c r="G122" s="37" t="s">
        <v>625</v>
      </c>
      <c r="H122" s="50" t="s">
        <v>626</v>
      </c>
      <c r="I122" s="9" t="str">
        <f>_xlfn.XLOOKUP(H122,'Alternative Tool Body Sheet'!A:A,'Alternative Tool Body Sheet'!C:C)</f>
        <v>12 EMAT</v>
      </c>
      <c r="J122" s="12">
        <f t="shared" si="2"/>
        <v>7</v>
      </c>
      <c r="K122" s="12" t="s">
        <v>98</v>
      </c>
      <c r="L122" s="12">
        <v>12.75</v>
      </c>
      <c r="M122" s="12">
        <v>11</v>
      </c>
      <c r="N122" s="12">
        <v>13.73</v>
      </c>
      <c r="O122" s="12">
        <v>11.25</v>
      </c>
      <c r="P122" s="12">
        <v>11.25</v>
      </c>
      <c r="Q122" s="12" t="s">
        <v>99</v>
      </c>
      <c r="R122" s="12"/>
      <c r="S122" s="12">
        <v>11.2</v>
      </c>
      <c r="T122" s="12">
        <v>11.2</v>
      </c>
      <c r="U122" s="12" t="s">
        <v>99</v>
      </c>
      <c r="V122" s="12">
        <v>7.3</v>
      </c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>
        <v>750</v>
      </c>
      <c r="AO122" s="12">
        <v>127</v>
      </c>
      <c r="AP122" s="12">
        <v>26</v>
      </c>
      <c r="AQ122" s="12">
        <v>685</v>
      </c>
      <c r="AR122" s="12">
        <v>80</v>
      </c>
      <c r="AS122" s="12"/>
      <c r="AT122" s="12"/>
      <c r="AU122" s="12"/>
      <c r="AV122" s="12"/>
      <c r="AW122" s="12"/>
      <c r="AX122" s="12">
        <v>400</v>
      </c>
      <c r="AY122" s="12">
        <v>2000</v>
      </c>
      <c r="AZ122" s="12" t="s">
        <v>675</v>
      </c>
      <c r="BA122" s="12" t="s">
        <v>102</v>
      </c>
      <c r="BB122" s="12" t="s">
        <v>102</v>
      </c>
      <c r="BC122" s="12" t="s">
        <v>101</v>
      </c>
      <c r="BD122" s="12" t="s">
        <v>102</v>
      </c>
      <c r="BE122" s="12" t="s">
        <v>101</v>
      </c>
      <c r="BF122" s="12" t="s">
        <v>118</v>
      </c>
      <c r="BG122" s="12" t="s">
        <v>118</v>
      </c>
      <c r="BH122" s="12" t="s">
        <v>105</v>
      </c>
      <c r="BI122" s="12">
        <v>11</v>
      </c>
      <c r="BJ122" s="12">
        <v>2</v>
      </c>
      <c r="BK122" s="12">
        <v>2</v>
      </c>
      <c r="BL122" s="12">
        <v>14</v>
      </c>
      <c r="BM122" s="12">
        <v>4</v>
      </c>
      <c r="BN122" s="12">
        <v>14</v>
      </c>
      <c r="BO122" s="12">
        <v>11</v>
      </c>
      <c r="BP122" s="12">
        <v>11</v>
      </c>
      <c r="BQ122" s="12">
        <v>2</v>
      </c>
      <c r="BR122" s="12">
        <v>14</v>
      </c>
      <c r="BS122" s="12">
        <v>4</v>
      </c>
      <c r="BT122" s="12">
        <v>14</v>
      </c>
      <c r="CF122">
        <v>121994</v>
      </c>
      <c r="CI122" s="51"/>
      <c r="CJ122" s="8" t="b">
        <v>0</v>
      </c>
      <c r="CT122" s="8" t="s">
        <v>673</v>
      </c>
      <c r="CV122" s="51" t="s">
        <v>628</v>
      </c>
      <c r="CW122" s="8" t="str">
        <f t="shared" si="3"/>
        <v>EMAT.12 </v>
      </c>
    </row>
    <row r="123" spans="1:101" s="8" customFormat="1" x14ac:dyDescent="0.25">
      <c r="A123" s="13">
        <v>129841</v>
      </c>
      <c r="B123" s="9">
        <v>12</v>
      </c>
      <c r="C123" s="9" t="s">
        <v>676</v>
      </c>
      <c r="D123" s="9" t="s">
        <v>121</v>
      </c>
      <c r="E123" s="9" t="s">
        <v>145</v>
      </c>
      <c r="F123" s="9"/>
      <c r="G123" s="33" t="s">
        <v>677</v>
      </c>
      <c r="H123" s="47" t="s">
        <v>678</v>
      </c>
      <c r="I123" s="9" t="str">
        <f>_xlfn.XLOOKUP(H123,'Alternative Tool Body Sheet'!A:A,'Alternative Tool Body Sheet'!C:C)</f>
        <v>12 MDS</v>
      </c>
      <c r="J123" s="9">
        <f t="shared" si="2"/>
        <v>7</v>
      </c>
      <c r="K123" s="9" t="s">
        <v>114</v>
      </c>
      <c r="L123" s="9">
        <v>12.75</v>
      </c>
      <c r="M123" s="9">
        <v>11</v>
      </c>
      <c r="N123" s="9">
        <v>13.73</v>
      </c>
      <c r="P123" s="9">
        <v>11.25</v>
      </c>
      <c r="Q123" s="9" t="s">
        <v>115</v>
      </c>
      <c r="R123" s="9">
        <v>11.62</v>
      </c>
      <c r="U123" s="9" t="s">
        <v>99</v>
      </c>
      <c r="V123" s="9">
        <v>10</v>
      </c>
      <c r="W123" s="9">
        <v>10</v>
      </c>
      <c r="X123" s="9">
        <v>0.6</v>
      </c>
      <c r="Y123" s="9">
        <v>1</v>
      </c>
      <c r="Z123" s="9">
        <v>0.67</v>
      </c>
      <c r="AA123" s="9">
        <v>48</v>
      </c>
      <c r="AD123" s="9">
        <v>48</v>
      </c>
      <c r="AH123" s="9">
        <v>288</v>
      </c>
      <c r="AN123" s="9">
        <v>750</v>
      </c>
      <c r="AO123" s="9">
        <v>99</v>
      </c>
      <c r="AQ123" s="9">
        <v>451</v>
      </c>
      <c r="AT123" s="9">
        <v>64</v>
      </c>
      <c r="AV123" s="9">
        <v>25.52</v>
      </c>
      <c r="AW123" s="9">
        <v>2.13</v>
      </c>
      <c r="AX123" s="9">
        <v>375</v>
      </c>
      <c r="AY123" s="9">
        <v>2000</v>
      </c>
      <c r="AZ123" s="9" t="s">
        <v>679</v>
      </c>
      <c r="BA123" s="9" t="s">
        <v>102</v>
      </c>
      <c r="BB123" s="9" t="s">
        <v>102</v>
      </c>
      <c r="BC123" s="9" t="s">
        <v>101</v>
      </c>
      <c r="BD123" s="9" t="s">
        <v>102</v>
      </c>
      <c r="BE123" s="9" t="s">
        <v>101</v>
      </c>
      <c r="BF123" s="9" t="s">
        <v>118</v>
      </c>
      <c r="BG123" s="9" t="s">
        <v>640</v>
      </c>
      <c r="BH123" s="9" t="s">
        <v>105</v>
      </c>
      <c r="BI123" s="9">
        <v>9</v>
      </c>
      <c r="BJ123" s="9">
        <v>2</v>
      </c>
      <c r="BK123" s="9">
        <v>2</v>
      </c>
      <c r="BL123" s="9">
        <v>14</v>
      </c>
      <c r="BM123" s="9">
        <v>4</v>
      </c>
      <c r="BN123" s="9">
        <v>12</v>
      </c>
      <c r="BO123" s="9">
        <v>9</v>
      </c>
      <c r="BP123" s="9">
        <v>9</v>
      </c>
      <c r="BQ123" s="9">
        <v>2</v>
      </c>
      <c r="BR123" s="9">
        <v>14</v>
      </c>
      <c r="BS123" s="9">
        <v>4</v>
      </c>
      <c r="BT123" s="9">
        <v>12</v>
      </c>
      <c r="BX123" s="8">
        <v>129645</v>
      </c>
      <c r="BY123" s="8">
        <v>116405</v>
      </c>
      <c r="CI123" s="51"/>
      <c r="CJ123" s="8" t="b">
        <v>0</v>
      </c>
      <c r="CT123" s="8">
        <v>129841</v>
      </c>
      <c r="CV123" s="51" t="s">
        <v>680</v>
      </c>
      <c r="CW123" s="8" t="str">
        <f t="shared" si="3"/>
        <v>DEF.UMFL.12 </v>
      </c>
    </row>
    <row r="124" spans="1:101" s="8" customFormat="1" x14ac:dyDescent="0.25">
      <c r="A124" s="13">
        <v>129301</v>
      </c>
      <c r="B124" s="9">
        <v>12</v>
      </c>
      <c r="C124" s="9" t="s">
        <v>681</v>
      </c>
      <c r="D124" s="9" t="s">
        <v>121</v>
      </c>
      <c r="E124" s="9" t="s">
        <v>152</v>
      </c>
      <c r="F124" s="9"/>
      <c r="G124" s="33" t="s">
        <v>682</v>
      </c>
      <c r="H124" s="47" t="s">
        <v>683</v>
      </c>
      <c r="I124" s="9" t="str">
        <f>_xlfn.XLOOKUP(H124,'Alternative Tool Body Sheet'!A:A,'Alternative Tool Body Sheet'!C:C)</f>
        <v>12 MDS</v>
      </c>
      <c r="J124" s="9">
        <f t="shared" si="2"/>
        <v>7</v>
      </c>
      <c r="K124" s="9" t="s">
        <v>114</v>
      </c>
      <c r="L124" s="9">
        <v>12.75</v>
      </c>
      <c r="M124" s="9">
        <v>11</v>
      </c>
      <c r="Q124" s="9" t="s">
        <v>115</v>
      </c>
      <c r="R124" s="9">
        <v>11.62</v>
      </c>
      <c r="U124" s="9" t="s">
        <v>99</v>
      </c>
      <c r="V124" s="9">
        <v>10</v>
      </c>
      <c r="W124" s="9">
        <v>10</v>
      </c>
      <c r="X124" s="9">
        <v>0.6</v>
      </c>
      <c r="Y124" s="9">
        <v>1</v>
      </c>
      <c r="Z124" s="9">
        <v>0.67</v>
      </c>
      <c r="AA124" s="9">
        <v>48</v>
      </c>
      <c r="AB124" s="9">
        <v>144</v>
      </c>
      <c r="AD124" s="9">
        <v>48</v>
      </c>
      <c r="AN124" s="9">
        <v>750</v>
      </c>
      <c r="AO124" s="9">
        <v>98</v>
      </c>
      <c r="AQ124" s="9">
        <v>456</v>
      </c>
      <c r="AT124" s="9">
        <v>18</v>
      </c>
      <c r="AX124" s="9">
        <v>375</v>
      </c>
      <c r="AY124" s="9">
        <v>2000</v>
      </c>
      <c r="AZ124" s="9" t="s">
        <v>684</v>
      </c>
      <c r="BA124" s="9" t="s">
        <v>102</v>
      </c>
      <c r="BB124" s="9" t="s">
        <v>101</v>
      </c>
      <c r="BC124" s="9" t="s">
        <v>101</v>
      </c>
      <c r="BD124" s="9" t="s">
        <v>101</v>
      </c>
      <c r="BE124" s="9" t="s">
        <v>102</v>
      </c>
      <c r="BF124" s="9" t="s">
        <v>118</v>
      </c>
      <c r="BG124" s="9" t="s">
        <v>118</v>
      </c>
      <c r="BH124" s="9" t="s">
        <v>105</v>
      </c>
      <c r="BI124" s="9">
        <v>9</v>
      </c>
      <c r="BJ124" s="9">
        <v>2</v>
      </c>
      <c r="BK124" s="9">
        <v>2</v>
      </c>
      <c r="BL124" s="9">
        <v>14</v>
      </c>
      <c r="BM124" s="9">
        <v>4</v>
      </c>
      <c r="BN124" s="9">
        <v>12</v>
      </c>
      <c r="BO124" s="9">
        <v>9</v>
      </c>
      <c r="BP124" s="9">
        <v>9</v>
      </c>
      <c r="BQ124" s="9">
        <v>2</v>
      </c>
      <c r="BR124" s="9">
        <v>14</v>
      </c>
      <c r="BS124" s="9">
        <v>4</v>
      </c>
      <c r="BT124" s="9">
        <v>12</v>
      </c>
      <c r="BX124" s="8">
        <v>113097</v>
      </c>
      <c r="BY124" s="8">
        <v>116405</v>
      </c>
      <c r="CI124" s="51"/>
      <c r="CJ124" s="8" t="b">
        <v>0</v>
      </c>
      <c r="CT124" s="8">
        <v>129301</v>
      </c>
      <c r="CV124" s="51" t="s">
        <v>685</v>
      </c>
      <c r="CW124" s="8" t="str">
        <f t="shared" si="3"/>
        <v>FLEX.DEF.MFL.XYZ.12 </v>
      </c>
    </row>
    <row r="125" spans="1:101" s="8" customFormat="1" x14ac:dyDescent="0.25">
      <c r="A125" s="13">
        <v>129842</v>
      </c>
      <c r="B125" s="9">
        <v>12</v>
      </c>
      <c r="C125" s="9" t="s">
        <v>686</v>
      </c>
      <c r="D125" s="9" t="s">
        <v>121</v>
      </c>
      <c r="E125" s="9" t="s">
        <v>301</v>
      </c>
      <c r="F125" s="9"/>
      <c r="G125" s="33" t="s">
        <v>687</v>
      </c>
      <c r="H125" s="47" t="s">
        <v>688</v>
      </c>
      <c r="I125" s="9" t="str">
        <f>_xlfn.XLOOKUP(H125,'Alternative Tool Body Sheet'!A:A,'Alternative Tool Body Sheet'!C:C)</f>
        <v>12 MDS</v>
      </c>
      <c r="J125" s="9">
        <f t="shared" si="2"/>
        <v>7</v>
      </c>
      <c r="K125" s="9" t="s">
        <v>114</v>
      </c>
      <c r="L125" s="9">
        <v>12.75</v>
      </c>
      <c r="M125" s="9">
        <v>11</v>
      </c>
      <c r="N125" s="9">
        <v>13.73</v>
      </c>
      <c r="P125" s="9">
        <v>11.25</v>
      </c>
      <c r="Q125" s="9" t="s">
        <v>115</v>
      </c>
      <c r="R125" s="9">
        <v>11.62</v>
      </c>
      <c r="U125" s="9" t="s">
        <v>99</v>
      </c>
      <c r="V125" s="9">
        <v>10</v>
      </c>
      <c r="W125" s="9">
        <v>10</v>
      </c>
      <c r="X125" s="9">
        <v>0.6</v>
      </c>
      <c r="Y125" s="9">
        <v>1</v>
      </c>
      <c r="Z125" s="9">
        <v>0.67</v>
      </c>
      <c r="AA125" s="9">
        <v>48</v>
      </c>
      <c r="AD125" s="9">
        <v>48</v>
      </c>
      <c r="AF125" s="9">
        <v>144</v>
      </c>
      <c r="AH125" s="9">
        <v>288</v>
      </c>
      <c r="AJ125" s="9">
        <v>324</v>
      </c>
      <c r="AN125" s="9">
        <v>750</v>
      </c>
      <c r="AO125" s="9">
        <v>125</v>
      </c>
      <c r="AQ125" s="9">
        <v>765</v>
      </c>
      <c r="AT125" s="9">
        <v>38</v>
      </c>
      <c r="AV125" s="9">
        <v>25.52</v>
      </c>
      <c r="AW125" s="9">
        <v>2.13</v>
      </c>
      <c r="AX125" s="9">
        <v>375</v>
      </c>
      <c r="AY125" s="9">
        <v>2000</v>
      </c>
      <c r="AZ125" s="9" t="s">
        <v>689</v>
      </c>
      <c r="BA125" s="9" t="s">
        <v>102</v>
      </c>
      <c r="BB125" s="9" t="s">
        <v>102</v>
      </c>
      <c r="BC125" s="9" t="s">
        <v>101</v>
      </c>
      <c r="BD125" s="9" t="s">
        <v>102</v>
      </c>
      <c r="BE125" s="9" t="s">
        <v>101</v>
      </c>
      <c r="BF125" s="9" t="s">
        <v>118</v>
      </c>
      <c r="BG125" s="9" t="s">
        <v>118</v>
      </c>
      <c r="BH125" s="9" t="s">
        <v>105</v>
      </c>
      <c r="BI125" s="9">
        <v>11</v>
      </c>
      <c r="BJ125" s="9">
        <v>2</v>
      </c>
      <c r="BK125" s="9">
        <v>2</v>
      </c>
      <c r="BL125" s="9">
        <v>14</v>
      </c>
      <c r="BM125" s="9">
        <v>4</v>
      </c>
      <c r="BN125" s="9">
        <v>14</v>
      </c>
      <c r="BO125" s="9">
        <v>11</v>
      </c>
      <c r="BP125" s="9">
        <v>11</v>
      </c>
      <c r="BQ125" s="9">
        <v>2</v>
      </c>
      <c r="BR125" s="9">
        <v>14</v>
      </c>
      <c r="BS125" s="9">
        <v>4</v>
      </c>
      <c r="BT125" s="9">
        <v>14</v>
      </c>
      <c r="BX125" s="8">
        <v>129645</v>
      </c>
      <c r="BY125" s="8">
        <v>116405</v>
      </c>
      <c r="CD125" s="8">
        <v>120459</v>
      </c>
      <c r="CI125" s="51"/>
      <c r="CJ125" s="8" t="b">
        <v>0</v>
      </c>
      <c r="CT125" s="8">
        <v>129842</v>
      </c>
      <c r="CV125" s="51" t="s">
        <v>690</v>
      </c>
      <c r="CW125" s="8" t="str">
        <f t="shared" si="3"/>
        <v>DEF.LFM.SMFL.UMFL.12 </v>
      </c>
    </row>
    <row r="126" spans="1:101" s="8" customFormat="1" x14ac:dyDescent="0.25">
      <c r="A126" s="13">
        <v>109090</v>
      </c>
      <c r="B126" s="9">
        <v>12</v>
      </c>
      <c r="C126" s="9" t="s">
        <v>691</v>
      </c>
      <c r="D126" s="9" t="s">
        <v>94</v>
      </c>
      <c r="E126" s="9" t="s">
        <v>349</v>
      </c>
      <c r="F126" s="9"/>
      <c r="G126" s="33" t="s">
        <v>692</v>
      </c>
      <c r="H126" s="47" t="s">
        <v>693</v>
      </c>
      <c r="I126" s="9" t="str">
        <f>_xlfn.XLOOKUP(H126,'Alternative Tool Body Sheet'!A:A,'Alternative Tool Body Sheet'!C:C)</f>
        <v>12 GMFL</v>
      </c>
      <c r="J126" s="9">
        <f t="shared" si="2"/>
        <v>5</v>
      </c>
      <c r="K126" s="9" t="s">
        <v>114</v>
      </c>
      <c r="L126" s="9">
        <v>12.75</v>
      </c>
      <c r="M126" s="9">
        <v>9.6</v>
      </c>
      <c r="N126" s="9">
        <v>24.71</v>
      </c>
      <c r="O126" s="9">
        <v>11.25</v>
      </c>
      <c r="P126" s="9">
        <v>11.25</v>
      </c>
      <c r="Q126" s="9" t="s">
        <v>115</v>
      </c>
      <c r="R126" s="9">
        <v>11.25</v>
      </c>
      <c r="T126" s="9">
        <v>9.75</v>
      </c>
      <c r="U126" s="9" t="s">
        <v>116</v>
      </c>
      <c r="V126" s="9">
        <v>10</v>
      </c>
      <c r="W126" s="9">
        <v>10</v>
      </c>
      <c r="X126" s="9">
        <v>0.5</v>
      </c>
      <c r="Y126" s="9">
        <v>1</v>
      </c>
      <c r="Z126" s="9">
        <v>0.55000000000000004</v>
      </c>
      <c r="AA126" s="9">
        <v>40</v>
      </c>
      <c r="AC126" s="9">
        <v>120</v>
      </c>
      <c r="AD126" s="9">
        <v>40</v>
      </c>
      <c r="AN126" s="9">
        <v>750</v>
      </c>
      <c r="AO126" s="9">
        <v>75</v>
      </c>
      <c r="AP126" s="9">
        <v>28</v>
      </c>
      <c r="AQ126" s="9">
        <v>345</v>
      </c>
      <c r="AR126" s="9">
        <v>60</v>
      </c>
      <c r="AT126" s="9">
        <v>34</v>
      </c>
      <c r="AV126" s="9">
        <v>17.7</v>
      </c>
      <c r="AW126" s="9">
        <v>1.48</v>
      </c>
      <c r="AX126" s="9">
        <v>300</v>
      </c>
      <c r="AY126" s="9">
        <v>2000</v>
      </c>
      <c r="AZ126" s="9" t="s">
        <v>694</v>
      </c>
      <c r="BA126" s="9" t="s">
        <v>102</v>
      </c>
      <c r="BB126" s="9" t="s">
        <v>102</v>
      </c>
      <c r="BC126" s="9" t="s">
        <v>102</v>
      </c>
      <c r="BD126" s="9" t="s">
        <v>102</v>
      </c>
      <c r="BE126" s="9" t="s">
        <v>102</v>
      </c>
      <c r="BF126" s="9" t="s">
        <v>118</v>
      </c>
      <c r="BG126" s="9" t="s">
        <v>594</v>
      </c>
      <c r="BH126" s="9" t="s">
        <v>105</v>
      </c>
      <c r="BI126" s="9">
        <v>7</v>
      </c>
      <c r="BJ126" s="9">
        <v>2</v>
      </c>
      <c r="BK126" s="9">
        <v>2</v>
      </c>
      <c r="BL126" s="9">
        <v>14</v>
      </c>
      <c r="BM126" s="9">
        <v>4</v>
      </c>
      <c r="BN126" s="9">
        <v>9</v>
      </c>
      <c r="BO126" s="9">
        <v>7</v>
      </c>
      <c r="BP126" s="9">
        <v>7</v>
      </c>
      <c r="BQ126" s="9">
        <v>2</v>
      </c>
      <c r="BR126" s="9">
        <v>14</v>
      </c>
      <c r="BS126" s="9">
        <v>4</v>
      </c>
      <c r="BT126" s="9">
        <v>9</v>
      </c>
      <c r="BY126" s="8">
        <v>114368</v>
      </c>
      <c r="CI126" s="51">
        <v>109088</v>
      </c>
      <c r="CJ126" s="8" t="b">
        <v>0</v>
      </c>
      <c r="CT126" s="8">
        <v>109090</v>
      </c>
      <c r="CV126" s="51" t="s">
        <v>695</v>
      </c>
      <c r="CW126" s="8" t="str">
        <f t="shared" si="3"/>
        <v>DEF.GMFL.12 </v>
      </c>
    </row>
    <row r="127" spans="1:101" s="8" customFormat="1" x14ac:dyDescent="0.25">
      <c r="A127" s="13">
        <v>129300</v>
      </c>
      <c r="B127" s="9">
        <v>12</v>
      </c>
      <c r="C127" s="9" t="s">
        <v>696</v>
      </c>
      <c r="D127" s="9" t="s">
        <v>121</v>
      </c>
      <c r="E127" s="9" t="s">
        <v>122</v>
      </c>
      <c r="F127" s="9"/>
      <c r="G127" s="33" t="s">
        <v>697</v>
      </c>
      <c r="H127" s="47" t="s">
        <v>698</v>
      </c>
      <c r="I127" s="9" t="str">
        <f>_xlfn.XLOOKUP(H127,'Alternative Tool Body Sheet'!A:A,'Alternative Tool Body Sheet'!C:C)</f>
        <v>12 MDS</v>
      </c>
      <c r="J127" s="9">
        <f t="shared" si="2"/>
        <v>7</v>
      </c>
      <c r="K127" s="9" t="s">
        <v>114</v>
      </c>
      <c r="L127" s="9">
        <v>12.75</v>
      </c>
      <c r="M127" s="9">
        <v>11</v>
      </c>
      <c r="Q127" s="9" t="s">
        <v>115</v>
      </c>
      <c r="R127" s="9">
        <v>11.62</v>
      </c>
      <c r="U127" s="9" t="s">
        <v>99</v>
      </c>
      <c r="V127" s="9">
        <v>10</v>
      </c>
      <c r="W127" s="9">
        <v>10</v>
      </c>
      <c r="X127" s="9">
        <v>0.6</v>
      </c>
      <c r="Y127" s="9">
        <v>1</v>
      </c>
      <c r="Z127" s="9">
        <v>0.67</v>
      </c>
      <c r="AA127" s="9">
        <v>48</v>
      </c>
      <c r="AB127" s="9">
        <v>144</v>
      </c>
      <c r="AD127" s="9">
        <v>48</v>
      </c>
      <c r="AN127" s="9">
        <v>750</v>
      </c>
      <c r="AO127" s="9">
        <v>98</v>
      </c>
      <c r="AQ127" s="9">
        <v>447</v>
      </c>
      <c r="AS127" s="9">
        <v>0</v>
      </c>
      <c r="AT127" s="9">
        <v>45</v>
      </c>
      <c r="AX127" s="9">
        <v>375</v>
      </c>
      <c r="AY127" s="9">
        <v>2000</v>
      </c>
      <c r="AZ127" s="9" t="s">
        <v>699</v>
      </c>
      <c r="BA127" s="9" t="s">
        <v>102</v>
      </c>
      <c r="BB127" s="9" t="s">
        <v>101</v>
      </c>
      <c r="BC127" s="9" t="s">
        <v>101</v>
      </c>
      <c r="BD127" s="9" t="s">
        <v>101</v>
      </c>
      <c r="BE127" s="9" t="s">
        <v>102</v>
      </c>
      <c r="BF127" s="9" t="s">
        <v>118</v>
      </c>
      <c r="BG127" s="9" t="s">
        <v>118</v>
      </c>
      <c r="BH127" s="9" t="s">
        <v>105</v>
      </c>
      <c r="BI127" s="9">
        <v>9</v>
      </c>
      <c r="BJ127" s="9">
        <v>2</v>
      </c>
      <c r="BK127" s="9">
        <v>2</v>
      </c>
      <c r="BL127" s="9">
        <v>14</v>
      </c>
      <c r="BM127" s="9">
        <v>4</v>
      </c>
      <c r="BN127" s="9">
        <v>12</v>
      </c>
      <c r="BO127" s="9">
        <v>9</v>
      </c>
      <c r="BP127" s="9">
        <v>9</v>
      </c>
      <c r="BQ127" s="9">
        <v>2</v>
      </c>
      <c r="BR127" s="9">
        <v>14</v>
      </c>
      <c r="BS127" s="9">
        <v>4</v>
      </c>
      <c r="BT127" s="9">
        <v>12</v>
      </c>
      <c r="BX127" s="8">
        <v>113097</v>
      </c>
      <c r="BY127" s="8">
        <v>116405</v>
      </c>
      <c r="CI127" s="51"/>
      <c r="CJ127" s="8" t="b">
        <v>0</v>
      </c>
      <c r="CT127" s="8">
        <v>129300</v>
      </c>
      <c r="CV127" s="51" t="s">
        <v>700</v>
      </c>
      <c r="CW127" s="8" t="str">
        <f t="shared" si="3"/>
        <v>FLEX.DEF.MFL.12 </v>
      </c>
    </row>
    <row r="128" spans="1:101" s="8" customFormat="1" x14ac:dyDescent="0.25">
      <c r="A128" s="13">
        <v>120733</v>
      </c>
      <c r="B128" s="9">
        <v>12</v>
      </c>
      <c r="C128" s="9" t="s">
        <v>701</v>
      </c>
      <c r="D128" s="9" t="s">
        <v>121</v>
      </c>
      <c r="E128" s="9" t="s">
        <v>331</v>
      </c>
      <c r="F128" s="9"/>
      <c r="G128" s="33" t="s">
        <v>702</v>
      </c>
      <c r="H128" s="47" t="s">
        <v>703</v>
      </c>
      <c r="I128" s="9" t="str">
        <f>_xlfn.XLOOKUP(H128,'Alternative Tool Body Sheet'!A:A,'Alternative Tool Body Sheet'!C:C)</f>
        <v xml:space="preserve">12 MDS </v>
      </c>
      <c r="J128" s="9">
        <f t="shared" si="2"/>
        <v>7</v>
      </c>
      <c r="K128" s="9" t="s">
        <v>114</v>
      </c>
      <c r="L128" s="9">
        <v>12.75</v>
      </c>
      <c r="M128" s="9">
        <v>11</v>
      </c>
      <c r="N128" s="9">
        <v>13.73</v>
      </c>
      <c r="P128" s="9">
        <v>11.25</v>
      </c>
      <c r="Q128" s="9" t="s">
        <v>115</v>
      </c>
      <c r="R128" s="9">
        <v>11.62</v>
      </c>
      <c r="U128" s="9" t="s">
        <v>99</v>
      </c>
      <c r="V128" s="9">
        <v>10</v>
      </c>
      <c r="W128" s="9">
        <v>10</v>
      </c>
      <c r="X128" s="9">
        <v>0.6</v>
      </c>
      <c r="Y128" s="9">
        <v>1</v>
      </c>
      <c r="Z128" s="9">
        <v>0.67</v>
      </c>
      <c r="AA128" s="9">
        <v>48</v>
      </c>
      <c r="AD128" s="9">
        <v>48</v>
      </c>
      <c r="AF128" s="9">
        <v>144</v>
      </c>
      <c r="AH128" s="9">
        <v>144</v>
      </c>
      <c r="AJ128" s="9">
        <v>324</v>
      </c>
      <c r="AN128" s="9">
        <v>750</v>
      </c>
      <c r="AO128" s="9">
        <v>126</v>
      </c>
      <c r="AQ128" s="9">
        <v>765</v>
      </c>
      <c r="AT128" s="9">
        <v>24</v>
      </c>
      <c r="AV128" s="9">
        <v>25.52</v>
      </c>
      <c r="AW128" s="9">
        <v>2.13</v>
      </c>
      <c r="AX128" s="9">
        <v>375</v>
      </c>
      <c r="AY128" s="9">
        <v>2000</v>
      </c>
      <c r="AZ128" s="9" t="s">
        <v>704</v>
      </c>
      <c r="BA128" s="9" t="s">
        <v>102</v>
      </c>
      <c r="BB128" s="9" t="s">
        <v>102</v>
      </c>
      <c r="BC128" s="9" t="s">
        <v>101</v>
      </c>
      <c r="BD128" s="9" t="s">
        <v>102</v>
      </c>
      <c r="BE128" s="9" t="s">
        <v>101</v>
      </c>
      <c r="BF128" s="9" t="s">
        <v>118</v>
      </c>
      <c r="BG128" s="9" t="s">
        <v>104</v>
      </c>
      <c r="BH128" s="9" t="s">
        <v>105</v>
      </c>
      <c r="BI128" s="9">
        <v>11</v>
      </c>
      <c r="BJ128" s="9">
        <v>2</v>
      </c>
      <c r="BK128" s="9">
        <v>2</v>
      </c>
      <c r="BL128" s="9">
        <v>14</v>
      </c>
      <c r="BM128" s="9">
        <v>4</v>
      </c>
      <c r="BN128" s="9">
        <v>14</v>
      </c>
      <c r="BO128" s="9">
        <v>11</v>
      </c>
      <c r="BP128" s="9">
        <v>11</v>
      </c>
      <c r="BQ128" s="9">
        <v>2</v>
      </c>
      <c r="BR128" s="9">
        <v>14</v>
      </c>
      <c r="BS128" s="9">
        <v>4</v>
      </c>
      <c r="BT128" s="9">
        <v>14</v>
      </c>
      <c r="BX128" s="8">
        <v>113097</v>
      </c>
      <c r="BY128" s="8">
        <v>116405</v>
      </c>
      <c r="CD128" s="8">
        <v>120459</v>
      </c>
      <c r="CI128" s="51"/>
      <c r="CJ128" s="8" t="b">
        <v>0</v>
      </c>
      <c r="CT128" s="8">
        <v>120733</v>
      </c>
      <c r="CV128" s="51" t="s">
        <v>705</v>
      </c>
      <c r="CW128" s="8" t="str">
        <f t="shared" si="3"/>
        <v>DEF.LFM.MFL.SMFL.XYZ.12 </v>
      </c>
    </row>
    <row r="129" spans="1:101" s="8" customFormat="1" x14ac:dyDescent="0.25">
      <c r="A129" s="13">
        <v>113938</v>
      </c>
      <c r="B129" s="9">
        <v>12</v>
      </c>
      <c r="C129" s="9" t="s">
        <v>706</v>
      </c>
      <c r="D129" s="9" t="s">
        <v>94</v>
      </c>
      <c r="E129" s="9" t="s">
        <v>421</v>
      </c>
      <c r="F129" s="9"/>
      <c r="G129" s="33" t="s">
        <v>707</v>
      </c>
      <c r="H129" s="47" t="s">
        <v>708</v>
      </c>
      <c r="I129" s="9" t="s">
        <v>709</v>
      </c>
      <c r="J129" s="9">
        <f t="shared" si="2"/>
        <v>5</v>
      </c>
      <c r="K129" s="9" t="s">
        <v>114</v>
      </c>
      <c r="L129" s="9">
        <v>12.75</v>
      </c>
      <c r="M129" s="9">
        <v>9.56</v>
      </c>
      <c r="Q129" s="9" t="s">
        <v>115</v>
      </c>
      <c r="R129" s="9">
        <v>11.25</v>
      </c>
      <c r="T129" s="9">
        <v>9.75</v>
      </c>
      <c r="U129" s="9" t="s">
        <v>116</v>
      </c>
      <c r="W129" s="9">
        <v>10</v>
      </c>
      <c r="X129" s="9">
        <v>0.5</v>
      </c>
      <c r="Y129" s="9">
        <v>1</v>
      </c>
      <c r="Z129" s="9">
        <v>0.55000000000000004</v>
      </c>
      <c r="AA129" s="9">
        <v>40</v>
      </c>
      <c r="AC129" s="9">
        <v>120</v>
      </c>
      <c r="AD129" s="9">
        <v>40</v>
      </c>
      <c r="AN129" s="9">
        <v>750</v>
      </c>
      <c r="AO129" s="9">
        <v>100</v>
      </c>
      <c r="AQ129" s="9">
        <v>340</v>
      </c>
      <c r="AT129" s="9">
        <v>58</v>
      </c>
      <c r="AX129" s="9">
        <v>300</v>
      </c>
      <c r="AY129" s="9">
        <v>2000</v>
      </c>
      <c r="AZ129" s="9" t="s">
        <v>710</v>
      </c>
      <c r="BA129" s="9" t="s">
        <v>102</v>
      </c>
      <c r="BB129" s="9" t="s">
        <v>102</v>
      </c>
      <c r="BC129" s="9" t="s">
        <v>102</v>
      </c>
      <c r="BD129" s="9" t="s">
        <v>102</v>
      </c>
      <c r="BE129" s="9" t="s">
        <v>102</v>
      </c>
      <c r="BF129" s="9" t="s">
        <v>118</v>
      </c>
      <c r="BG129" s="9" t="s">
        <v>118</v>
      </c>
      <c r="BH129" s="9" t="s">
        <v>105</v>
      </c>
      <c r="BI129" s="9">
        <v>9</v>
      </c>
      <c r="BJ129" s="9">
        <v>2</v>
      </c>
      <c r="BK129" s="9">
        <v>2</v>
      </c>
      <c r="BL129" s="9">
        <v>14</v>
      </c>
      <c r="BM129" s="9">
        <v>4</v>
      </c>
      <c r="BN129" s="9">
        <v>12</v>
      </c>
      <c r="BO129" s="9">
        <v>9</v>
      </c>
      <c r="BP129" s="9">
        <v>9</v>
      </c>
      <c r="BQ129" s="9">
        <v>2</v>
      </c>
      <c r="BR129" s="9">
        <v>14</v>
      </c>
      <c r="BS129" s="9">
        <v>4</v>
      </c>
      <c r="BT129" s="9">
        <v>12</v>
      </c>
      <c r="BY129" s="8">
        <v>114368</v>
      </c>
      <c r="CI129" s="51">
        <v>109088</v>
      </c>
      <c r="CJ129" s="8" t="b">
        <v>0</v>
      </c>
      <c r="CT129" s="8">
        <v>113938</v>
      </c>
      <c r="CV129" s="51" t="s">
        <v>711</v>
      </c>
      <c r="CW129" s="8" t="str">
        <f t="shared" si="3"/>
        <v>DEF.GFML.XYZ.12 </v>
      </c>
    </row>
    <row r="130" spans="1:101" s="8" customFormat="1" x14ac:dyDescent="0.25">
      <c r="A130" s="13">
        <v>114898</v>
      </c>
      <c r="B130" s="9">
        <v>12</v>
      </c>
      <c r="C130" s="9" t="s">
        <v>712</v>
      </c>
      <c r="D130" s="9" t="s">
        <v>94</v>
      </c>
      <c r="E130" s="9" t="s">
        <v>164</v>
      </c>
      <c r="F130" s="9"/>
      <c r="G130" s="33" t="s">
        <v>713</v>
      </c>
      <c r="H130" s="47" t="s">
        <v>616</v>
      </c>
      <c r="I130" s="9" t="str">
        <f>_xlfn.XLOOKUP(H130,'Alternative Tool Body Sheet'!A:A,'Alternative Tool Body Sheet'!C:C)</f>
        <v>12/14 LGT</v>
      </c>
      <c r="J130" s="9">
        <f t="shared" ref="J130:J188" si="4">IF(ISNUMBER(SEARCH("Legacy",D130)),5,
IF(OR(ISNUMBER(SEARCH("MDS",D130)),ISNUMBER(SEARCH("EMAT",D130))),7,""))</f>
        <v>5</v>
      </c>
      <c r="K130" s="9" t="s">
        <v>114</v>
      </c>
      <c r="L130" s="9">
        <v>12.75</v>
      </c>
      <c r="M130" s="9">
        <v>9.56</v>
      </c>
      <c r="N130" s="9">
        <v>25.02</v>
      </c>
      <c r="P130" s="9">
        <v>11.25</v>
      </c>
      <c r="Q130" s="9" t="s">
        <v>115</v>
      </c>
      <c r="R130" s="9">
        <v>10</v>
      </c>
      <c r="U130" s="9" t="s">
        <v>116</v>
      </c>
      <c r="V130" s="9">
        <v>15</v>
      </c>
      <c r="AG130" s="9">
        <v>31</v>
      </c>
      <c r="AN130" s="9">
        <v>750</v>
      </c>
      <c r="AO130" s="9">
        <v>69</v>
      </c>
      <c r="AP130" s="9">
        <v>22</v>
      </c>
      <c r="AQ130" s="9">
        <v>127</v>
      </c>
      <c r="AR130" s="9">
        <v>40</v>
      </c>
      <c r="AY130" s="9">
        <v>2000</v>
      </c>
      <c r="BA130" s="9" t="s">
        <v>102</v>
      </c>
      <c r="BB130" s="9" t="s">
        <v>101</v>
      </c>
      <c r="BC130" s="9" t="s">
        <v>101</v>
      </c>
      <c r="BD130" s="9" t="s">
        <v>102</v>
      </c>
      <c r="BE130" s="9" t="s">
        <v>102</v>
      </c>
      <c r="BF130" s="9" t="s">
        <v>126</v>
      </c>
      <c r="BG130" s="9" t="s">
        <v>126</v>
      </c>
      <c r="BH130" s="9" t="s">
        <v>105</v>
      </c>
      <c r="BI130" s="9">
        <v>6</v>
      </c>
      <c r="BJ130" s="9">
        <v>2</v>
      </c>
      <c r="BK130" s="9">
        <v>2</v>
      </c>
      <c r="BL130" s="9">
        <v>14</v>
      </c>
      <c r="BM130" s="9">
        <v>4</v>
      </c>
      <c r="BN130" s="9">
        <v>8</v>
      </c>
      <c r="BO130" s="9">
        <v>6</v>
      </c>
      <c r="BP130" s="9">
        <v>6</v>
      </c>
      <c r="BQ130" s="9">
        <v>2</v>
      </c>
      <c r="BR130" s="9">
        <v>14</v>
      </c>
      <c r="BS130" s="9">
        <v>4</v>
      </c>
      <c r="BT130" s="9">
        <v>8</v>
      </c>
      <c r="BY130" s="8" t="s">
        <v>618</v>
      </c>
      <c r="CI130" s="51"/>
      <c r="CJ130" s="8" t="b">
        <v>0</v>
      </c>
      <c r="CT130" s="8">
        <v>114898</v>
      </c>
      <c r="CV130" s="51" t="s">
        <v>619</v>
      </c>
      <c r="CW130" s="8" t="str">
        <f t="shared" si="3"/>
        <v>LGT.12 </v>
      </c>
    </row>
    <row r="131" spans="1:101" s="8" customFormat="1" x14ac:dyDescent="0.25">
      <c r="A131" s="13">
        <v>129647</v>
      </c>
      <c r="B131" s="9">
        <v>12</v>
      </c>
      <c r="C131" s="9" t="s">
        <v>714</v>
      </c>
      <c r="D131" s="9" t="s">
        <v>121</v>
      </c>
      <c r="E131" s="9" t="s">
        <v>331</v>
      </c>
      <c r="F131" s="9"/>
      <c r="G131" s="33" t="s">
        <v>715</v>
      </c>
      <c r="H131" s="47" t="s">
        <v>716</v>
      </c>
      <c r="I131" s="9" t="str">
        <f>_xlfn.XLOOKUP(H131,'Alternative Tool Body Sheet'!A:A,'Alternative Tool Body Sheet'!C:C)</f>
        <v>12 MDS</v>
      </c>
      <c r="J131" s="9">
        <f t="shared" si="4"/>
        <v>7</v>
      </c>
      <c r="K131" s="9" t="s">
        <v>114</v>
      </c>
      <c r="L131" s="9">
        <v>12.75</v>
      </c>
      <c r="M131" s="9">
        <v>11</v>
      </c>
      <c r="N131" s="9">
        <v>13.73</v>
      </c>
      <c r="P131" s="9">
        <v>11.25</v>
      </c>
      <c r="Q131" s="9" t="s">
        <v>115</v>
      </c>
      <c r="R131" s="9">
        <v>11.62</v>
      </c>
      <c r="U131" s="9" t="s">
        <v>99</v>
      </c>
      <c r="V131" s="9">
        <v>10</v>
      </c>
      <c r="W131" s="9">
        <v>10</v>
      </c>
      <c r="X131" s="9">
        <v>0.6</v>
      </c>
      <c r="Y131" s="9">
        <v>1</v>
      </c>
      <c r="Z131" s="9">
        <v>0.67</v>
      </c>
      <c r="AA131" s="9">
        <v>48</v>
      </c>
      <c r="AD131" s="9">
        <v>48</v>
      </c>
      <c r="AF131" s="9">
        <v>144</v>
      </c>
      <c r="AH131" s="9">
        <v>288</v>
      </c>
      <c r="AJ131" s="9">
        <v>324</v>
      </c>
      <c r="AN131" s="9">
        <v>750</v>
      </c>
      <c r="AO131" s="9">
        <v>125</v>
      </c>
      <c r="AQ131" s="9">
        <v>765</v>
      </c>
      <c r="AT131" s="9">
        <v>18</v>
      </c>
      <c r="AV131" s="9">
        <v>25.52</v>
      </c>
      <c r="AW131" s="9">
        <v>2.13</v>
      </c>
      <c r="AX131" s="9">
        <v>375</v>
      </c>
      <c r="AY131" s="9">
        <v>2000</v>
      </c>
      <c r="AZ131" s="9" t="s">
        <v>717</v>
      </c>
      <c r="BA131" s="9" t="s">
        <v>102</v>
      </c>
      <c r="BB131" s="9" t="s">
        <v>102</v>
      </c>
      <c r="BC131" s="9" t="s">
        <v>101</v>
      </c>
      <c r="BD131" s="9" t="s">
        <v>102</v>
      </c>
      <c r="BE131" s="9" t="s">
        <v>101</v>
      </c>
      <c r="BF131" s="9" t="s">
        <v>118</v>
      </c>
      <c r="BG131" s="9" t="s">
        <v>640</v>
      </c>
      <c r="BH131" s="9" t="s">
        <v>105</v>
      </c>
      <c r="BI131" s="9">
        <v>11</v>
      </c>
      <c r="BJ131" s="9">
        <v>2</v>
      </c>
      <c r="BK131" s="9">
        <v>2</v>
      </c>
      <c r="BL131" s="9">
        <v>14</v>
      </c>
      <c r="BM131" s="9">
        <v>4</v>
      </c>
      <c r="BN131" s="9">
        <v>14</v>
      </c>
      <c r="BO131" s="9">
        <v>11</v>
      </c>
      <c r="BP131" s="9">
        <v>11</v>
      </c>
      <c r="BQ131" s="9">
        <v>2</v>
      </c>
      <c r="BR131" s="9">
        <v>14</v>
      </c>
      <c r="BS131" s="9">
        <v>4</v>
      </c>
      <c r="BT131" s="9">
        <v>14</v>
      </c>
      <c r="BX131" s="8">
        <v>129645</v>
      </c>
      <c r="BY131" s="8">
        <v>116405</v>
      </c>
      <c r="CD131" s="8">
        <v>120459</v>
      </c>
      <c r="CI131" s="51"/>
      <c r="CJ131" s="8" t="b">
        <v>0</v>
      </c>
      <c r="CT131" s="8">
        <v>129647</v>
      </c>
      <c r="CV131" s="51" t="s">
        <v>718</v>
      </c>
      <c r="CW131" s="8" t="str">
        <f t="shared" ref="CW131:CW146" si="5">TRIM(CV131)</f>
        <v>DEF.LFM.SMFL.UMFL.XYZ.12 </v>
      </c>
    </row>
    <row r="132" spans="1:101" s="8" customFormat="1" x14ac:dyDescent="0.25">
      <c r="A132" s="13">
        <v>124963</v>
      </c>
      <c r="B132" s="9">
        <v>12</v>
      </c>
      <c r="C132" s="9" t="s">
        <v>719</v>
      </c>
      <c r="D132" s="9" t="s">
        <v>121</v>
      </c>
      <c r="E132" s="9" t="s">
        <v>301</v>
      </c>
      <c r="F132" s="9"/>
      <c r="G132" s="33" t="s">
        <v>720</v>
      </c>
      <c r="H132" s="47" t="s">
        <v>609</v>
      </c>
      <c r="I132" s="9" t="str">
        <f>_xlfn.XLOOKUP(H132,'Alternative Tool Body Sheet'!A:A,'Alternative Tool Body Sheet'!C:C)</f>
        <v>12 MDS</v>
      </c>
      <c r="J132" s="9">
        <f t="shared" si="4"/>
        <v>7</v>
      </c>
      <c r="K132" s="9" t="s">
        <v>114</v>
      </c>
      <c r="L132" s="9">
        <v>12.75</v>
      </c>
      <c r="M132" s="9">
        <v>11</v>
      </c>
      <c r="Q132" s="9" t="s">
        <v>115</v>
      </c>
      <c r="R132" s="9">
        <v>11.62</v>
      </c>
      <c r="U132" s="9" t="s">
        <v>99</v>
      </c>
      <c r="V132" s="9">
        <v>10</v>
      </c>
      <c r="W132" s="9">
        <v>10</v>
      </c>
      <c r="X132" s="9">
        <v>0.6</v>
      </c>
      <c r="Y132" s="9">
        <v>1</v>
      </c>
      <c r="Z132" s="9">
        <v>0.67</v>
      </c>
      <c r="AA132" s="9">
        <v>48</v>
      </c>
      <c r="AD132" s="9">
        <v>48</v>
      </c>
      <c r="AF132" s="9">
        <v>144</v>
      </c>
      <c r="AH132" s="9">
        <v>144</v>
      </c>
      <c r="AJ132" s="9">
        <v>324</v>
      </c>
      <c r="AN132" s="9">
        <v>750</v>
      </c>
      <c r="AO132" s="9">
        <v>126</v>
      </c>
      <c r="AQ132" s="9">
        <v>765</v>
      </c>
      <c r="AS132" s="9">
        <v>46</v>
      </c>
      <c r="AX132" s="9">
        <v>375</v>
      </c>
      <c r="AY132" s="9">
        <v>2000</v>
      </c>
      <c r="AZ132" s="9" t="s">
        <v>721</v>
      </c>
      <c r="BA132" s="9" t="s">
        <v>102</v>
      </c>
      <c r="BB132" s="9" t="s">
        <v>102</v>
      </c>
      <c r="BC132" s="9" t="s">
        <v>102</v>
      </c>
      <c r="BD132" s="9" t="s">
        <v>102</v>
      </c>
      <c r="BE132" s="9" t="s">
        <v>102</v>
      </c>
      <c r="BF132" s="9" t="s">
        <v>118</v>
      </c>
      <c r="BG132" s="9" t="s">
        <v>118</v>
      </c>
      <c r="BH132" s="9" t="s">
        <v>105</v>
      </c>
      <c r="BI132" s="9">
        <v>11</v>
      </c>
      <c r="BJ132" s="9">
        <v>2</v>
      </c>
      <c r="BK132" s="9">
        <v>2</v>
      </c>
      <c r="BL132" s="9">
        <v>14</v>
      </c>
      <c r="BM132" s="9">
        <v>4</v>
      </c>
      <c r="BN132" s="9">
        <v>14</v>
      </c>
      <c r="BO132" s="9">
        <v>11</v>
      </c>
      <c r="BP132" s="9">
        <v>11</v>
      </c>
      <c r="BQ132" s="9">
        <v>2</v>
      </c>
      <c r="BR132" s="9">
        <v>14</v>
      </c>
      <c r="BS132" s="9">
        <v>4</v>
      </c>
      <c r="BT132" s="9">
        <v>14</v>
      </c>
      <c r="BX132" s="8">
        <v>113097</v>
      </c>
      <c r="BY132" s="8">
        <v>116405</v>
      </c>
      <c r="CD132" s="8">
        <v>120459</v>
      </c>
      <c r="CI132" s="51"/>
      <c r="CJ132" s="8" t="b">
        <v>0</v>
      </c>
      <c r="CT132" s="8">
        <v>124963</v>
      </c>
      <c r="CV132" s="51" t="s">
        <v>611</v>
      </c>
      <c r="CW132" s="8" t="str">
        <f t="shared" si="5"/>
        <v>DEF.LFM.MFL.SMFL.12 </v>
      </c>
    </row>
    <row r="133" spans="1:101" s="8" customFormat="1" x14ac:dyDescent="0.25">
      <c r="A133" s="13">
        <v>108917</v>
      </c>
      <c r="B133" s="9">
        <v>12</v>
      </c>
      <c r="C133" s="9" t="s">
        <v>722</v>
      </c>
      <c r="D133" s="9" t="s">
        <v>121</v>
      </c>
      <c r="E133" s="9" t="s">
        <v>331</v>
      </c>
      <c r="F133" s="9"/>
      <c r="G133" s="33" t="s">
        <v>723</v>
      </c>
      <c r="H133" s="47" t="s">
        <v>703</v>
      </c>
      <c r="I133" s="9" t="str">
        <f>_xlfn.XLOOKUP(H133,'Alternative Tool Body Sheet'!A:A,'Alternative Tool Body Sheet'!C:C)</f>
        <v xml:space="preserve">12 MDS </v>
      </c>
      <c r="J133" s="9">
        <f t="shared" si="4"/>
        <v>7</v>
      </c>
      <c r="K133" s="9" t="s">
        <v>114</v>
      </c>
      <c r="L133" s="9">
        <v>12.75</v>
      </c>
      <c r="M133" s="9">
        <v>11</v>
      </c>
      <c r="N133" s="9">
        <v>13.73</v>
      </c>
      <c r="P133" s="9">
        <v>11.25</v>
      </c>
      <c r="Q133" s="9" t="s">
        <v>115</v>
      </c>
      <c r="R133" s="9">
        <v>11.62</v>
      </c>
      <c r="U133" s="9" t="s">
        <v>99</v>
      </c>
      <c r="V133" s="9">
        <v>10</v>
      </c>
      <c r="W133" s="9">
        <v>10</v>
      </c>
      <c r="X133" s="9">
        <v>0.6</v>
      </c>
      <c r="Y133" s="9">
        <v>1</v>
      </c>
      <c r="Z133" s="9">
        <v>0.67</v>
      </c>
      <c r="AA133" s="9">
        <v>48</v>
      </c>
      <c r="AD133" s="9">
        <v>48</v>
      </c>
      <c r="AF133" s="9">
        <v>144</v>
      </c>
      <c r="AH133" s="9">
        <v>144</v>
      </c>
      <c r="AJ133" s="9">
        <v>324</v>
      </c>
      <c r="AN133" s="9">
        <v>750</v>
      </c>
      <c r="AO133" s="9">
        <v>126</v>
      </c>
      <c r="AQ133" s="9">
        <v>765</v>
      </c>
      <c r="AT133" s="9">
        <v>24</v>
      </c>
      <c r="AV133" s="9">
        <v>25.52</v>
      </c>
      <c r="AW133" s="9">
        <v>2.13</v>
      </c>
      <c r="AX133" s="9">
        <v>375</v>
      </c>
      <c r="AY133" s="9">
        <v>2000</v>
      </c>
      <c r="AZ133" s="9" t="s">
        <v>724</v>
      </c>
      <c r="BA133" s="9" t="s">
        <v>102</v>
      </c>
      <c r="BB133" s="9" t="s">
        <v>102</v>
      </c>
      <c r="BC133" s="9" t="s">
        <v>101</v>
      </c>
      <c r="BD133" s="9" t="s">
        <v>102</v>
      </c>
      <c r="BE133" s="9" t="s">
        <v>101</v>
      </c>
      <c r="BF133" s="9" t="s">
        <v>118</v>
      </c>
      <c r="BG133" s="9" t="s">
        <v>104</v>
      </c>
      <c r="BH133" s="9" t="s">
        <v>105</v>
      </c>
      <c r="BI133" s="9">
        <v>11</v>
      </c>
      <c r="BJ133" s="9">
        <v>2</v>
      </c>
      <c r="BK133" s="9">
        <v>2</v>
      </c>
      <c r="BL133" s="9">
        <v>14</v>
      </c>
      <c r="BM133" s="9">
        <v>4</v>
      </c>
      <c r="BN133" s="9">
        <v>14</v>
      </c>
      <c r="BO133" s="9">
        <v>11</v>
      </c>
      <c r="BP133" s="9">
        <v>11</v>
      </c>
      <c r="BQ133" s="9">
        <v>2</v>
      </c>
      <c r="BR133" s="9">
        <v>14</v>
      </c>
      <c r="BS133" s="9">
        <v>4</v>
      </c>
      <c r="BT133" s="9">
        <v>14</v>
      </c>
      <c r="BX133" s="8">
        <v>113097</v>
      </c>
      <c r="BY133" s="8">
        <v>116405</v>
      </c>
      <c r="CD133" s="8">
        <v>120459</v>
      </c>
      <c r="CI133" s="51"/>
      <c r="CJ133" s="8" t="b">
        <v>0</v>
      </c>
      <c r="CT133" s="8">
        <v>108917</v>
      </c>
      <c r="CV133" s="51" t="s">
        <v>705</v>
      </c>
      <c r="CW133" s="8" t="str">
        <f t="shared" si="5"/>
        <v>DEF.LFM.MFL.SMFL.XYZ.12 </v>
      </c>
    </row>
    <row r="134" spans="1:101" s="8" customFormat="1" x14ac:dyDescent="0.25">
      <c r="A134" s="13">
        <v>129844</v>
      </c>
      <c r="B134" s="9">
        <v>12</v>
      </c>
      <c r="C134" s="9" t="s">
        <v>725</v>
      </c>
      <c r="D134" s="9" t="s">
        <v>121</v>
      </c>
      <c r="E134" s="9" t="s">
        <v>286</v>
      </c>
      <c r="F134" s="9"/>
      <c r="G134" s="33" t="s">
        <v>726</v>
      </c>
      <c r="H134" s="47" t="s">
        <v>727</v>
      </c>
      <c r="I134" s="9" t="str">
        <f>_xlfn.XLOOKUP(H134,'Alternative Tool Body Sheet'!A:A,'Alternative Tool Body Sheet'!C:C)</f>
        <v>12 MDS</v>
      </c>
      <c r="J134" s="9">
        <f t="shared" si="4"/>
        <v>7</v>
      </c>
      <c r="K134" s="9" t="s">
        <v>114</v>
      </c>
      <c r="L134" s="9">
        <v>12.75</v>
      </c>
      <c r="M134" s="9">
        <v>11</v>
      </c>
      <c r="N134" s="9">
        <v>13.73</v>
      </c>
      <c r="P134" s="9">
        <v>11.25</v>
      </c>
      <c r="Q134" s="9" t="s">
        <v>115</v>
      </c>
      <c r="R134" s="9">
        <v>11.62</v>
      </c>
      <c r="U134" s="9" t="s">
        <v>99</v>
      </c>
      <c r="V134" s="9">
        <v>10</v>
      </c>
      <c r="W134" s="9">
        <v>10</v>
      </c>
      <c r="X134" s="9">
        <v>0.6</v>
      </c>
      <c r="Y134" s="9">
        <v>1</v>
      </c>
      <c r="Z134" s="9">
        <v>0.67</v>
      </c>
      <c r="AA134" s="9">
        <v>48</v>
      </c>
      <c r="AD134" s="9">
        <v>48</v>
      </c>
      <c r="AF134" s="9">
        <v>144</v>
      </c>
      <c r="AH134" s="9">
        <v>288</v>
      </c>
      <c r="AN134" s="9">
        <v>750</v>
      </c>
      <c r="AO134" s="9">
        <v>99</v>
      </c>
      <c r="AQ134" s="9">
        <v>531</v>
      </c>
      <c r="AT134" s="9">
        <v>21</v>
      </c>
      <c r="AV134" s="9">
        <v>25.52</v>
      </c>
      <c r="AW134" s="9">
        <v>2.13</v>
      </c>
      <c r="AX134" s="9">
        <v>375</v>
      </c>
      <c r="AY134" s="9">
        <v>2000</v>
      </c>
      <c r="AZ134" s="9" t="s">
        <v>728</v>
      </c>
      <c r="BA134" s="9" t="s">
        <v>102</v>
      </c>
      <c r="BB134" s="9" t="s">
        <v>102</v>
      </c>
      <c r="BC134" s="9" t="s">
        <v>101</v>
      </c>
      <c r="BD134" s="9" t="s">
        <v>102</v>
      </c>
      <c r="BE134" s="9" t="s">
        <v>101</v>
      </c>
      <c r="BF134" s="9" t="s">
        <v>118</v>
      </c>
      <c r="BG134" s="9" t="s">
        <v>729</v>
      </c>
      <c r="BH134" s="9" t="s">
        <v>105</v>
      </c>
      <c r="BI134" s="9">
        <v>9</v>
      </c>
      <c r="BJ134" s="9">
        <v>2</v>
      </c>
      <c r="BK134" s="9">
        <v>2</v>
      </c>
      <c r="BL134" s="9">
        <v>14</v>
      </c>
      <c r="BM134" s="9">
        <v>4</v>
      </c>
      <c r="BN134" s="9">
        <v>12</v>
      </c>
      <c r="BO134" s="9">
        <v>9</v>
      </c>
      <c r="BP134" s="9">
        <v>9</v>
      </c>
      <c r="BQ134" s="9">
        <v>2</v>
      </c>
      <c r="BR134" s="9">
        <v>14</v>
      </c>
      <c r="BS134" s="9">
        <v>4</v>
      </c>
      <c r="BT134" s="9">
        <v>12</v>
      </c>
      <c r="BX134" s="8">
        <v>129645</v>
      </c>
      <c r="BY134" s="8">
        <v>116405</v>
      </c>
      <c r="CI134" s="51"/>
      <c r="CJ134" s="8" t="b">
        <v>0</v>
      </c>
      <c r="CT134" s="8">
        <v>129844</v>
      </c>
      <c r="CV134" s="51" t="s">
        <v>730</v>
      </c>
      <c r="CW134" s="8" t="str">
        <f t="shared" si="5"/>
        <v>DEF.LFM.UMFL.XYZ.12 </v>
      </c>
    </row>
    <row r="135" spans="1:101" s="8" customFormat="1" x14ac:dyDescent="0.25">
      <c r="A135" s="13">
        <v>114603</v>
      </c>
      <c r="B135" s="9">
        <v>14</v>
      </c>
      <c r="C135" s="9" t="s">
        <v>731</v>
      </c>
      <c r="D135" s="9" t="s">
        <v>94</v>
      </c>
      <c r="E135" s="9" t="s">
        <v>421</v>
      </c>
      <c r="F135" s="9"/>
      <c r="G135" s="33" t="s">
        <v>732</v>
      </c>
      <c r="H135" s="47" t="s">
        <v>733</v>
      </c>
      <c r="I135" s="9" t="str">
        <f>_xlfn.XLOOKUP(H135,'Alternative Tool Body Sheet'!A:A,'Alternative Tool Body Sheet'!C:C)</f>
        <v>14 GMFL</v>
      </c>
      <c r="J135" s="9">
        <f t="shared" si="4"/>
        <v>5</v>
      </c>
      <c r="K135" s="9" t="s">
        <v>114</v>
      </c>
      <c r="L135" s="9">
        <v>14</v>
      </c>
      <c r="M135" s="9">
        <v>10.56</v>
      </c>
      <c r="N135" s="9">
        <v>24.57</v>
      </c>
      <c r="P135" s="9">
        <v>12.5</v>
      </c>
      <c r="Q135" s="9" t="s">
        <v>115</v>
      </c>
      <c r="R135" s="9">
        <v>11.25</v>
      </c>
      <c r="T135" s="9">
        <v>10.6</v>
      </c>
      <c r="U135" s="9" t="s">
        <v>116</v>
      </c>
      <c r="V135" s="9">
        <v>10</v>
      </c>
      <c r="W135" s="9">
        <v>10</v>
      </c>
      <c r="X135" s="9">
        <v>0.5</v>
      </c>
      <c r="Y135" s="9">
        <v>1</v>
      </c>
      <c r="Z135" s="9">
        <v>0.55000000000000004</v>
      </c>
      <c r="AA135" s="9">
        <v>40</v>
      </c>
      <c r="AC135" s="9">
        <v>132</v>
      </c>
      <c r="AD135" s="9">
        <v>44</v>
      </c>
      <c r="AN135" s="9">
        <v>750</v>
      </c>
      <c r="AO135" s="9">
        <v>108</v>
      </c>
      <c r="AP135" s="9">
        <v>28</v>
      </c>
      <c r="AQ135" s="9">
        <v>440</v>
      </c>
      <c r="AR135" s="9">
        <v>60</v>
      </c>
      <c r="AT135" s="9">
        <v>14</v>
      </c>
      <c r="AX135" s="9">
        <v>300</v>
      </c>
      <c r="AY135" s="9">
        <v>2000</v>
      </c>
      <c r="AZ135" s="9" t="s">
        <v>734</v>
      </c>
      <c r="BA135" s="9" t="s">
        <v>102</v>
      </c>
      <c r="BB135" s="9" t="s">
        <v>101</v>
      </c>
      <c r="BC135" s="9" t="s">
        <v>101</v>
      </c>
      <c r="BD135" s="9" t="s">
        <v>102</v>
      </c>
      <c r="BE135" s="9" t="s">
        <v>102</v>
      </c>
      <c r="BF135" s="9" t="s">
        <v>126</v>
      </c>
      <c r="BG135" s="9" t="s">
        <v>126</v>
      </c>
      <c r="BH135" s="9" t="s">
        <v>105</v>
      </c>
      <c r="BI135" s="9">
        <v>9</v>
      </c>
      <c r="BJ135" s="9">
        <v>2</v>
      </c>
      <c r="BK135" s="9">
        <v>2</v>
      </c>
      <c r="BL135" s="9">
        <v>16</v>
      </c>
      <c r="BM135" s="9">
        <v>4</v>
      </c>
      <c r="BN135" s="9">
        <v>12</v>
      </c>
      <c r="BO135" s="9">
        <v>9</v>
      </c>
      <c r="BP135" s="9">
        <v>9</v>
      </c>
      <c r="BQ135" s="9">
        <v>2</v>
      </c>
      <c r="BR135" s="9">
        <v>16</v>
      </c>
      <c r="BS135" s="9">
        <v>4</v>
      </c>
      <c r="BT135" s="9">
        <v>12</v>
      </c>
      <c r="BY135" s="8">
        <v>114368</v>
      </c>
      <c r="CI135" s="25">
        <v>108764</v>
      </c>
      <c r="CJ135" s="8" t="b">
        <v>0</v>
      </c>
      <c r="CT135" s="8">
        <v>114603</v>
      </c>
      <c r="CV135" s="51" t="s">
        <v>735</v>
      </c>
      <c r="CW135" s="8" t="str">
        <f t="shared" si="5"/>
        <v>DEF.GMFL.XYZ.14 </v>
      </c>
    </row>
    <row r="136" spans="1:101" s="8" customFormat="1" x14ac:dyDescent="0.25">
      <c r="A136" s="13">
        <v>111456</v>
      </c>
      <c r="B136" s="9">
        <v>14</v>
      </c>
      <c r="C136" s="9" t="s">
        <v>736</v>
      </c>
      <c r="D136" s="9" t="s">
        <v>94</v>
      </c>
      <c r="E136" s="9" t="s">
        <v>258</v>
      </c>
      <c r="F136" s="9"/>
      <c r="G136" s="33" t="s">
        <v>737</v>
      </c>
      <c r="H136" s="47" t="s">
        <v>738</v>
      </c>
      <c r="I136" s="9" t="str">
        <f>_xlfn.XLOOKUP(H136,'Alternative Tool Body Sheet'!A:A,'Alternative Tool Body Sheet'!C:C)</f>
        <v>14 GMFL</v>
      </c>
      <c r="J136" s="9">
        <f t="shared" si="4"/>
        <v>5</v>
      </c>
      <c r="K136" s="9" t="s">
        <v>114</v>
      </c>
      <c r="L136" s="9">
        <v>14</v>
      </c>
      <c r="M136" s="9">
        <v>10.56</v>
      </c>
      <c r="P136" s="9">
        <v>12.5</v>
      </c>
      <c r="Q136" s="9" t="s">
        <v>115</v>
      </c>
      <c r="R136" s="9">
        <v>11.25</v>
      </c>
      <c r="T136" s="9">
        <v>10.6</v>
      </c>
      <c r="U136" s="9" t="s">
        <v>116</v>
      </c>
      <c r="V136" s="9">
        <v>10</v>
      </c>
      <c r="W136" s="9">
        <v>10</v>
      </c>
      <c r="X136" s="9">
        <v>0.5</v>
      </c>
      <c r="Y136" s="9">
        <v>1</v>
      </c>
      <c r="Z136" s="9">
        <v>0.55000000000000004</v>
      </c>
      <c r="AC136" s="9">
        <v>132</v>
      </c>
      <c r="AD136" s="9">
        <v>44</v>
      </c>
      <c r="AN136" s="9">
        <v>750</v>
      </c>
      <c r="AO136" s="9">
        <v>87</v>
      </c>
      <c r="AP136" s="9">
        <v>27</v>
      </c>
      <c r="AQ136" s="9">
        <v>378</v>
      </c>
      <c r="AR136" s="9">
        <v>60</v>
      </c>
      <c r="AS136" s="9">
        <v>0</v>
      </c>
      <c r="AT136" s="9">
        <v>45</v>
      </c>
      <c r="AY136" s="9">
        <v>2000</v>
      </c>
      <c r="BA136" s="9" t="s">
        <v>102</v>
      </c>
      <c r="BB136" s="9" t="s">
        <v>102</v>
      </c>
      <c r="BC136" s="9" t="s">
        <v>101</v>
      </c>
      <c r="BD136" s="9" t="s">
        <v>102</v>
      </c>
      <c r="BE136" s="9" t="s">
        <v>101</v>
      </c>
      <c r="BF136" s="9" t="s">
        <v>593</v>
      </c>
      <c r="BG136" s="9" t="s">
        <v>594</v>
      </c>
      <c r="BH136" s="9" t="s">
        <v>105</v>
      </c>
      <c r="BI136" s="9">
        <v>8</v>
      </c>
      <c r="BJ136" s="9">
        <v>2</v>
      </c>
      <c r="BK136" s="9">
        <v>2</v>
      </c>
      <c r="BL136" s="9">
        <v>16</v>
      </c>
      <c r="BM136" s="9">
        <v>4</v>
      </c>
      <c r="BN136" s="9">
        <v>10</v>
      </c>
      <c r="BO136" s="9">
        <v>8</v>
      </c>
      <c r="BP136" s="9">
        <v>8</v>
      </c>
      <c r="BQ136" s="9">
        <v>2</v>
      </c>
      <c r="BR136" s="9">
        <v>16</v>
      </c>
      <c r="BS136" s="9">
        <v>4</v>
      </c>
      <c r="BT136" s="9">
        <v>10</v>
      </c>
      <c r="CI136" s="25">
        <v>108764</v>
      </c>
      <c r="CJ136" s="8" t="b">
        <v>0</v>
      </c>
      <c r="CT136" s="8">
        <v>111456</v>
      </c>
      <c r="CV136" s="51" t="s">
        <v>739</v>
      </c>
      <c r="CW136" s="8" t="str">
        <f t="shared" si="5"/>
        <v>GMFL.14 </v>
      </c>
    </row>
    <row r="137" spans="1:101" s="8" customFormat="1" x14ac:dyDescent="0.25">
      <c r="A137" s="13">
        <v>108765</v>
      </c>
      <c r="B137" s="9">
        <v>14</v>
      </c>
      <c r="C137" s="9" t="s">
        <v>740</v>
      </c>
      <c r="D137" s="9" t="s">
        <v>94</v>
      </c>
      <c r="E137" s="9" t="s">
        <v>349</v>
      </c>
      <c r="F137" s="9"/>
      <c r="G137" s="33" t="s">
        <v>741</v>
      </c>
      <c r="H137" s="47" t="s">
        <v>742</v>
      </c>
      <c r="I137" s="9" t="str">
        <f>_xlfn.XLOOKUP(H137,'Alternative Tool Body Sheet'!A:A,'Alternative Tool Body Sheet'!C:C)</f>
        <v>14 GMFL</v>
      </c>
      <c r="J137" s="9">
        <f t="shared" si="4"/>
        <v>5</v>
      </c>
      <c r="K137" s="9" t="s">
        <v>114</v>
      </c>
      <c r="L137" s="9">
        <v>14</v>
      </c>
      <c r="M137" s="9">
        <v>10.56</v>
      </c>
      <c r="Q137" s="9" t="s">
        <v>115</v>
      </c>
      <c r="R137" s="9">
        <v>11.25</v>
      </c>
      <c r="U137" s="9" t="s">
        <v>116</v>
      </c>
      <c r="V137" s="9">
        <v>10</v>
      </c>
      <c r="W137" s="9">
        <v>10</v>
      </c>
      <c r="X137" s="9">
        <v>0.5</v>
      </c>
      <c r="Y137" s="9">
        <v>1</v>
      </c>
      <c r="Z137" s="9">
        <v>0.55000000000000004</v>
      </c>
      <c r="AA137" s="9">
        <v>40</v>
      </c>
      <c r="AC137" s="9">
        <v>132</v>
      </c>
      <c r="AD137" s="9">
        <v>44</v>
      </c>
      <c r="AN137" s="9">
        <v>750</v>
      </c>
      <c r="AO137" s="9">
        <v>89.5</v>
      </c>
      <c r="AQ137" s="9">
        <v>396</v>
      </c>
      <c r="AT137" s="9">
        <v>29</v>
      </c>
      <c r="AX137" s="9">
        <v>300</v>
      </c>
      <c r="AY137" s="9">
        <v>2000</v>
      </c>
      <c r="AZ137" s="9" t="s">
        <v>743</v>
      </c>
      <c r="BA137" s="9" t="s">
        <v>102</v>
      </c>
      <c r="BB137" s="9" t="s">
        <v>102</v>
      </c>
      <c r="BC137" s="9" t="s">
        <v>102</v>
      </c>
      <c r="BD137" s="9" t="s">
        <v>102</v>
      </c>
      <c r="BE137" s="9" t="s">
        <v>102</v>
      </c>
      <c r="BF137" s="9" t="s">
        <v>118</v>
      </c>
      <c r="BG137" s="9" t="s">
        <v>118</v>
      </c>
      <c r="BH137" s="9" t="s">
        <v>105</v>
      </c>
      <c r="BI137" s="9">
        <v>8</v>
      </c>
      <c r="BJ137" s="9">
        <v>2</v>
      </c>
      <c r="BK137" s="9">
        <v>2</v>
      </c>
      <c r="BL137" s="9">
        <v>16</v>
      </c>
      <c r="BM137" s="9">
        <v>4</v>
      </c>
      <c r="BN137" s="9">
        <v>10</v>
      </c>
      <c r="BO137" s="9">
        <v>8</v>
      </c>
      <c r="BP137" s="9">
        <v>8</v>
      </c>
      <c r="BQ137" s="9">
        <v>2</v>
      </c>
      <c r="BR137" s="9">
        <v>16</v>
      </c>
      <c r="BS137" s="9">
        <v>4</v>
      </c>
      <c r="BT137" s="9">
        <v>10</v>
      </c>
      <c r="BY137" s="8">
        <v>114368</v>
      </c>
      <c r="CI137" s="25">
        <v>108764</v>
      </c>
      <c r="CJ137" s="8" t="b">
        <v>0</v>
      </c>
      <c r="CT137" s="8">
        <v>108765</v>
      </c>
      <c r="CV137" s="51" t="s">
        <v>744</v>
      </c>
      <c r="CW137" s="8" t="str">
        <f t="shared" si="5"/>
        <v>DEF.GMFL.14 </v>
      </c>
    </row>
    <row r="138" spans="1:101" s="8" customFormat="1" x14ac:dyDescent="0.25">
      <c r="A138" s="13">
        <v>121043</v>
      </c>
      <c r="B138" s="9">
        <v>14</v>
      </c>
      <c r="C138" s="9" t="s">
        <v>745</v>
      </c>
      <c r="D138" s="9" t="s">
        <v>94</v>
      </c>
      <c r="E138" s="9" t="s">
        <v>212</v>
      </c>
      <c r="F138" s="9"/>
      <c r="G138" s="33" t="s">
        <v>746</v>
      </c>
      <c r="H138" s="47" t="s">
        <v>747</v>
      </c>
      <c r="I138" s="9" t="str">
        <f>_xlfn.XLOOKUP(H138,'Alternative Tool Body Sheet'!A:A,'Alternative Tool Body Sheet'!C:C)</f>
        <v>12/14 DEF</v>
      </c>
      <c r="J138" s="9">
        <f t="shared" si="4"/>
        <v>5</v>
      </c>
      <c r="K138" s="9" t="s">
        <v>114</v>
      </c>
      <c r="L138" s="9">
        <v>14</v>
      </c>
      <c r="M138" s="9">
        <v>12.15</v>
      </c>
      <c r="N138" s="9">
        <v>13.21</v>
      </c>
      <c r="P138" s="9">
        <v>12.5</v>
      </c>
      <c r="Q138" s="9" t="s">
        <v>115</v>
      </c>
      <c r="R138" s="9">
        <v>12.5</v>
      </c>
      <c r="U138" s="9" t="s">
        <v>99</v>
      </c>
      <c r="V138" s="9">
        <v>10</v>
      </c>
      <c r="W138" s="9">
        <v>10</v>
      </c>
      <c r="X138" s="9">
        <v>0.42199999999999999</v>
      </c>
      <c r="Y138" s="9">
        <v>1</v>
      </c>
      <c r="Z138" s="9">
        <v>0.5</v>
      </c>
      <c r="AA138" s="9">
        <v>40</v>
      </c>
      <c r="AD138" s="9">
        <v>44</v>
      </c>
      <c r="AH138" s="9">
        <v>132</v>
      </c>
      <c r="AN138" s="9">
        <v>750</v>
      </c>
      <c r="AO138" s="9">
        <v>98</v>
      </c>
      <c r="AQ138" s="9">
        <v>458</v>
      </c>
      <c r="AT138" s="9">
        <v>15</v>
      </c>
      <c r="AV138" s="9">
        <v>29</v>
      </c>
      <c r="AX138" s="9">
        <v>300</v>
      </c>
      <c r="AY138" s="9">
        <v>2000</v>
      </c>
      <c r="AZ138" s="9" t="s">
        <v>748</v>
      </c>
      <c r="BA138" s="9" t="s">
        <v>102</v>
      </c>
      <c r="BB138" s="9" t="s">
        <v>102</v>
      </c>
      <c r="BC138" s="9" t="s">
        <v>102</v>
      </c>
      <c r="BD138" s="9" t="s">
        <v>102</v>
      </c>
      <c r="BE138" s="9" t="s">
        <v>102</v>
      </c>
      <c r="BF138" s="9" t="s">
        <v>118</v>
      </c>
      <c r="BG138" s="9" t="s">
        <v>118</v>
      </c>
      <c r="BH138" s="9" t="s">
        <v>105</v>
      </c>
      <c r="BI138" s="9">
        <v>9</v>
      </c>
      <c r="BJ138" s="9">
        <v>2</v>
      </c>
      <c r="BK138" s="9">
        <v>2</v>
      </c>
      <c r="BL138" s="9">
        <v>16</v>
      </c>
      <c r="BM138" s="9">
        <v>4</v>
      </c>
      <c r="BN138" s="9">
        <v>12</v>
      </c>
      <c r="BO138" s="9">
        <v>9</v>
      </c>
      <c r="BP138" s="9">
        <v>9</v>
      </c>
      <c r="BQ138" s="9">
        <v>2</v>
      </c>
      <c r="BR138" s="9">
        <v>16</v>
      </c>
      <c r="BS138" s="9">
        <v>4</v>
      </c>
      <c r="BT138" s="9">
        <v>12</v>
      </c>
      <c r="BX138" s="8" t="s">
        <v>605</v>
      </c>
      <c r="BY138" s="8">
        <v>112106</v>
      </c>
      <c r="CI138" s="51"/>
      <c r="CJ138" s="8" t="b">
        <v>0</v>
      </c>
      <c r="CT138" s="8">
        <v>121043</v>
      </c>
      <c r="CV138" s="51" t="s">
        <v>749</v>
      </c>
      <c r="CW138" s="8" t="str">
        <f t="shared" si="5"/>
        <v>DEF.MFL.XYZ.14 </v>
      </c>
    </row>
    <row r="139" spans="1:101" s="8" customFormat="1" x14ac:dyDescent="0.25">
      <c r="A139" s="13">
        <v>120054</v>
      </c>
      <c r="B139" s="9">
        <v>14</v>
      </c>
      <c r="C139" s="9" t="s">
        <v>750</v>
      </c>
      <c r="D139" s="9" t="s">
        <v>94</v>
      </c>
      <c r="E139" s="9" t="s">
        <v>169</v>
      </c>
      <c r="F139" s="9"/>
      <c r="G139" s="33" t="s">
        <v>751</v>
      </c>
      <c r="H139" s="47" t="s">
        <v>752</v>
      </c>
      <c r="I139" s="9" t="str">
        <f>_xlfn.XLOOKUP(H139,'Alternative Tool Body Sheet'!A:A,'Alternative Tool Body Sheet'!C:C)</f>
        <v>12/14 MFL</v>
      </c>
      <c r="J139" s="9">
        <f t="shared" si="4"/>
        <v>5</v>
      </c>
      <c r="K139" s="9" t="s">
        <v>114</v>
      </c>
      <c r="L139" s="9">
        <v>14</v>
      </c>
      <c r="P139" s="9">
        <v>12.5</v>
      </c>
      <c r="V139" s="9">
        <v>10</v>
      </c>
      <c r="AD139" s="9">
        <v>44</v>
      </c>
      <c r="AH139" s="9">
        <v>132</v>
      </c>
      <c r="AN139" s="9">
        <v>750</v>
      </c>
      <c r="AO139" s="9">
        <v>73</v>
      </c>
      <c r="AQ139" s="9">
        <v>387</v>
      </c>
      <c r="AY139" s="9">
        <v>2000</v>
      </c>
      <c r="BA139" s="9" t="s">
        <v>102</v>
      </c>
      <c r="BB139" s="9" t="s">
        <v>101</v>
      </c>
      <c r="BC139" s="9" t="s">
        <v>101</v>
      </c>
      <c r="BD139" s="9" t="s">
        <v>102</v>
      </c>
      <c r="BE139" s="9" t="s">
        <v>102</v>
      </c>
      <c r="BF139" s="9" t="s">
        <v>118</v>
      </c>
      <c r="BG139" s="9" t="s">
        <v>118</v>
      </c>
      <c r="BH139" s="9" t="s">
        <v>105</v>
      </c>
      <c r="BI139" s="9">
        <v>7</v>
      </c>
      <c r="BJ139" s="9">
        <v>2</v>
      </c>
      <c r="BK139" s="9">
        <v>2</v>
      </c>
      <c r="BL139" s="9">
        <v>16</v>
      </c>
      <c r="BM139" s="9">
        <v>4</v>
      </c>
      <c r="BN139" s="9">
        <v>9</v>
      </c>
      <c r="BO139" s="9">
        <v>7</v>
      </c>
      <c r="BP139" s="9">
        <v>7</v>
      </c>
      <c r="BQ139" s="9">
        <v>2</v>
      </c>
      <c r="BR139" s="9">
        <v>16</v>
      </c>
      <c r="BS139" s="9">
        <v>4</v>
      </c>
      <c r="BT139" s="9">
        <v>9</v>
      </c>
      <c r="BX139" s="8" t="s">
        <v>605</v>
      </c>
      <c r="CI139" s="51"/>
      <c r="CJ139" s="8" t="b">
        <v>0</v>
      </c>
      <c r="CT139" s="8">
        <v>120054</v>
      </c>
      <c r="CV139" s="51" t="s">
        <v>753</v>
      </c>
      <c r="CW139" s="8" t="str">
        <f t="shared" si="5"/>
        <v>MFL.14 </v>
      </c>
    </row>
    <row r="140" spans="1:101" s="8" customFormat="1" x14ac:dyDescent="0.25">
      <c r="A140" s="13">
        <v>108769</v>
      </c>
      <c r="B140" s="9">
        <v>14</v>
      </c>
      <c r="C140" s="9" t="s">
        <v>754</v>
      </c>
      <c r="D140" s="9" t="s">
        <v>94</v>
      </c>
      <c r="E140" s="9" t="s">
        <v>145</v>
      </c>
      <c r="F140" s="9"/>
      <c r="G140" s="33" t="s">
        <v>755</v>
      </c>
      <c r="H140" s="47" t="s">
        <v>756</v>
      </c>
      <c r="I140" s="9" t="str">
        <f>_xlfn.XLOOKUP(H140,'Alternative Tool Body Sheet'!A:A,'Alternative Tool Body Sheet'!C:C)</f>
        <v>12/14 DEF</v>
      </c>
      <c r="J140" s="9">
        <f t="shared" si="4"/>
        <v>5</v>
      </c>
      <c r="K140" s="9" t="s">
        <v>114</v>
      </c>
      <c r="L140" s="9">
        <v>14</v>
      </c>
      <c r="M140" s="9">
        <v>12.15</v>
      </c>
      <c r="N140" s="9">
        <v>13.21</v>
      </c>
      <c r="P140" s="9">
        <v>12.5</v>
      </c>
      <c r="Q140" s="9" t="s">
        <v>115</v>
      </c>
      <c r="R140" s="9">
        <v>12.5</v>
      </c>
      <c r="T140" s="9">
        <v>12.2</v>
      </c>
      <c r="U140" s="9" t="s">
        <v>116</v>
      </c>
      <c r="V140" s="9">
        <v>10</v>
      </c>
      <c r="W140" s="9">
        <v>10</v>
      </c>
      <c r="X140" s="9">
        <v>0.42199999999999999</v>
      </c>
      <c r="Y140" s="9">
        <v>1</v>
      </c>
      <c r="Z140" s="9">
        <v>0.5</v>
      </c>
      <c r="AA140" s="9">
        <v>40</v>
      </c>
      <c r="AD140" s="9">
        <v>44</v>
      </c>
      <c r="AH140" s="9">
        <v>132</v>
      </c>
      <c r="AN140" s="9">
        <v>750</v>
      </c>
      <c r="AO140" s="9">
        <v>77</v>
      </c>
      <c r="AP140" s="9">
        <v>25</v>
      </c>
      <c r="AQ140" s="9">
        <v>420</v>
      </c>
      <c r="AR140" s="9">
        <v>85</v>
      </c>
      <c r="AT140" s="9">
        <v>29</v>
      </c>
      <c r="AX140" s="9">
        <v>300</v>
      </c>
      <c r="AY140" s="9">
        <v>2000</v>
      </c>
      <c r="AZ140" s="9" t="s">
        <v>757</v>
      </c>
      <c r="BA140" s="9" t="s">
        <v>102</v>
      </c>
      <c r="BB140" s="9" t="s">
        <v>101</v>
      </c>
      <c r="BC140" s="9" t="s">
        <v>101</v>
      </c>
      <c r="BD140" s="9" t="s">
        <v>102</v>
      </c>
      <c r="BE140" s="9" t="s">
        <v>102</v>
      </c>
      <c r="BF140" s="9" t="s">
        <v>126</v>
      </c>
      <c r="BG140" s="9" t="s">
        <v>126</v>
      </c>
      <c r="BH140" s="9" t="s">
        <v>105</v>
      </c>
      <c r="BI140" s="9">
        <v>7</v>
      </c>
      <c r="BJ140" s="9">
        <v>2</v>
      </c>
      <c r="BK140" s="9">
        <v>2</v>
      </c>
      <c r="BL140" s="9">
        <v>16</v>
      </c>
      <c r="BM140" s="9">
        <v>4</v>
      </c>
      <c r="BN140" s="9">
        <v>9</v>
      </c>
      <c r="BO140" s="9">
        <v>7</v>
      </c>
      <c r="BP140" s="9">
        <v>7</v>
      </c>
      <c r="BQ140" s="9">
        <v>2</v>
      </c>
      <c r="BR140" s="9">
        <v>16</v>
      </c>
      <c r="BS140" s="9">
        <v>4</v>
      </c>
      <c r="BT140" s="9">
        <v>9</v>
      </c>
      <c r="BX140" s="8" t="s">
        <v>605</v>
      </c>
      <c r="BY140" s="8">
        <v>112106</v>
      </c>
      <c r="CI140" s="51"/>
      <c r="CJ140" s="8" t="b">
        <v>0</v>
      </c>
      <c r="CT140" s="8">
        <v>108769</v>
      </c>
      <c r="CV140" s="51" t="s">
        <v>758</v>
      </c>
      <c r="CW140" s="8" t="str">
        <f t="shared" si="5"/>
        <v>DEF.MFL.14 </v>
      </c>
    </row>
    <row r="141" spans="1:101" s="8" customFormat="1" x14ac:dyDescent="0.25">
      <c r="A141" s="13">
        <v>108848</v>
      </c>
      <c r="B141" s="9">
        <v>14</v>
      </c>
      <c r="C141" s="9" t="s">
        <v>759</v>
      </c>
      <c r="D141" s="9" t="s">
        <v>94</v>
      </c>
      <c r="E141" s="9" t="s">
        <v>164</v>
      </c>
      <c r="F141" s="9"/>
      <c r="G141" s="33" t="s">
        <v>760</v>
      </c>
      <c r="H141" s="47" t="s">
        <v>761</v>
      </c>
      <c r="I141" s="9" t="str">
        <f>_xlfn.XLOOKUP(H141,'Alternative Tool Body Sheet'!A:A,'Alternative Tool Body Sheet'!C:C)</f>
        <v>12/14 LGT</v>
      </c>
      <c r="J141" s="9">
        <f t="shared" si="4"/>
        <v>5</v>
      </c>
      <c r="K141" s="9" t="s">
        <v>114</v>
      </c>
      <c r="L141" s="9">
        <v>14</v>
      </c>
      <c r="M141" s="9">
        <v>9.56</v>
      </c>
      <c r="N141" s="9">
        <v>31.71</v>
      </c>
      <c r="P141" s="9">
        <v>12.5</v>
      </c>
      <c r="Q141" s="9" t="s">
        <v>115</v>
      </c>
      <c r="R141" s="9">
        <v>10</v>
      </c>
      <c r="U141" s="9" t="s">
        <v>116</v>
      </c>
      <c r="V141" s="9">
        <v>15</v>
      </c>
      <c r="AG141" s="9">
        <v>31</v>
      </c>
      <c r="AN141" s="9">
        <v>750</v>
      </c>
      <c r="AO141" s="9">
        <v>71</v>
      </c>
      <c r="AP141" s="9">
        <v>22</v>
      </c>
      <c r="AQ141" s="9">
        <v>180</v>
      </c>
      <c r="AR141" s="9">
        <v>40</v>
      </c>
      <c r="AT141" s="9">
        <v>86</v>
      </c>
      <c r="AV141" s="9">
        <v>5.2</v>
      </c>
      <c r="AW141" s="9">
        <v>0.47</v>
      </c>
      <c r="AX141" s="9">
        <v>300</v>
      </c>
      <c r="AY141" s="9">
        <v>2000</v>
      </c>
      <c r="AZ141" s="9" t="s">
        <v>762</v>
      </c>
      <c r="BA141" s="9" t="s">
        <v>102</v>
      </c>
      <c r="BB141" s="9" t="s">
        <v>101</v>
      </c>
      <c r="BC141" s="9" t="s">
        <v>101</v>
      </c>
      <c r="BD141" s="9" t="s">
        <v>102</v>
      </c>
      <c r="BE141" s="9" t="s">
        <v>102</v>
      </c>
      <c r="BF141" s="9" t="s">
        <v>321</v>
      </c>
      <c r="BG141" s="9" t="s">
        <v>322</v>
      </c>
      <c r="BH141" s="9" t="s">
        <v>105</v>
      </c>
      <c r="BI141" s="9">
        <v>6</v>
      </c>
      <c r="BJ141" s="9">
        <v>2</v>
      </c>
      <c r="BK141" s="9">
        <v>2</v>
      </c>
      <c r="BL141" s="9">
        <v>16</v>
      </c>
      <c r="BM141" s="9">
        <v>4</v>
      </c>
      <c r="BN141" s="9">
        <v>8</v>
      </c>
      <c r="BO141" s="9">
        <v>6</v>
      </c>
      <c r="BP141" s="9">
        <v>6</v>
      </c>
      <c r="BQ141" s="9">
        <v>2</v>
      </c>
      <c r="BR141" s="9">
        <v>16</v>
      </c>
      <c r="BS141" s="9">
        <v>4</v>
      </c>
      <c r="BT141" s="9">
        <v>8</v>
      </c>
      <c r="CI141" s="51"/>
      <c r="CJ141" s="8" t="b">
        <v>0</v>
      </c>
      <c r="CT141" s="8">
        <v>108848</v>
      </c>
      <c r="CV141" s="51" t="s">
        <v>763</v>
      </c>
      <c r="CW141" s="8" t="str">
        <f t="shared" si="5"/>
        <v>LGT.14 </v>
      </c>
    </row>
    <row r="142" spans="1:101" s="8" customFormat="1" x14ac:dyDescent="0.25">
      <c r="A142" s="13">
        <v>121049</v>
      </c>
      <c r="B142" s="9">
        <v>14</v>
      </c>
      <c r="C142" s="9" t="s">
        <v>764</v>
      </c>
      <c r="D142" s="9" t="s">
        <v>94</v>
      </c>
      <c r="E142" s="9" t="s">
        <v>95</v>
      </c>
      <c r="F142" s="9"/>
      <c r="G142" s="33" t="s">
        <v>765</v>
      </c>
      <c r="H142" s="47" t="s">
        <v>766</v>
      </c>
      <c r="I142" s="9" t="str">
        <f>_xlfn.XLOOKUP(H142,'Alternative Tool Body Sheet'!A:A,'Alternative Tool Body Sheet'!C:C)</f>
        <v>12/14 DEF</v>
      </c>
      <c r="J142" s="9">
        <f t="shared" si="4"/>
        <v>5</v>
      </c>
      <c r="K142" s="9" t="s">
        <v>114</v>
      </c>
      <c r="L142" s="9">
        <v>14</v>
      </c>
      <c r="M142" s="9">
        <v>10.5</v>
      </c>
      <c r="N142" s="9">
        <v>25</v>
      </c>
      <c r="P142" s="9">
        <v>12.5</v>
      </c>
      <c r="Q142" s="9" t="s">
        <v>115</v>
      </c>
      <c r="R142" s="9">
        <v>12</v>
      </c>
      <c r="U142" s="9" t="s">
        <v>99</v>
      </c>
      <c r="V142" s="9">
        <v>15</v>
      </c>
      <c r="AA142" s="9">
        <v>40</v>
      </c>
      <c r="AN142" s="9">
        <v>750</v>
      </c>
      <c r="AO142" s="9">
        <v>55</v>
      </c>
      <c r="AQ142" s="9">
        <v>157</v>
      </c>
      <c r="AT142" s="9">
        <v>74</v>
      </c>
      <c r="AX142" s="9">
        <v>300</v>
      </c>
      <c r="AY142" s="9">
        <v>2000</v>
      </c>
      <c r="AZ142" s="9" t="s">
        <v>767</v>
      </c>
      <c r="BA142" s="9" t="s">
        <v>102</v>
      </c>
      <c r="BB142" s="9" t="s">
        <v>102</v>
      </c>
      <c r="BC142" s="9" t="s">
        <v>102</v>
      </c>
      <c r="BD142" s="9" t="s">
        <v>102</v>
      </c>
      <c r="BE142" s="9" t="s">
        <v>102</v>
      </c>
      <c r="BF142" s="9" t="s">
        <v>118</v>
      </c>
      <c r="BG142" s="9" t="s">
        <v>118</v>
      </c>
      <c r="BH142" s="9" t="s">
        <v>105</v>
      </c>
      <c r="BI142" s="9">
        <v>5</v>
      </c>
      <c r="BJ142" s="9">
        <v>2</v>
      </c>
      <c r="BK142" s="9">
        <v>2</v>
      </c>
      <c r="BL142" s="9">
        <v>16</v>
      </c>
      <c r="BM142" s="9">
        <v>4</v>
      </c>
      <c r="BN142" s="9">
        <v>7</v>
      </c>
      <c r="BO142" s="9">
        <v>5</v>
      </c>
      <c r="BP142" s="9">
        <v>5</v>
      </c>
      <c r="BQ142" s="9">
        <v>2</v>
      </c>
      <c r="BR142" s="9">
        <v>16</v>
      </c>
      <c r="BS142" s="9">
        <v>4</v>
      </c>
      <c r="BT142" s="9">
        <v>7</v>
      </c>
      <c r="BY142" s="8">
        <v>112106</v>
      </c>
      <c r="CI142" s="51"/>
      <c r="CJ142" s="8" t="b">
        <v>0</v>
      </c>
      <c r="CT142" s="8">
        <v>121049</v>
      </c>
      <c r="CV142" s="51" t="s">
        <v>766</v>
      </c>
      <c r="CW142" s="8" t="str">
        <f t="shared" si="5"/>
        <v>DEF.14</v>
      </c>
    </row>
    <row r="143" spans="1:101" s="8" customFormat="1" x14ac:dyDescent="0.25">
      <c r="A143" s="13">
        <v>114587</v>
      </c>
      <c r="B143" s="9">
        <v>14</v>
      </c>
      <c r="C143" s="9" t="s">
        <v>768</v>
      </c>
      <c r="D143" s="9" t="s">
        <v>94</v>
      </c>
      <c r="E143" s="9" t="s">
        <v>296</v>
      </c>
      <c r="F143" s="9"/>
      <c r="G143" s="33" t="s">
        <v>769</v>
      </c>
      <c r="H143" s="47" t="s">
        <v>770</v>
      </c>
      <c r="I143" s="9" t="str">
        <f>_xlfn.XLOOKUP(H143,'Alternative Tool Body Sheet'!A:A,'Alternative Tool Body Sheet'!C:C)</f>
        <v>14 GMFL</v>
      </c>
      <c r="J143" s="9">
        <f t="shared" si="4"/>
        <v>5</v>
      </c>
      <c r="K143" s="9" t="s">
        <v>114</v>
      </c>
      <c r="L143" s="9">
        <v>14</v>
      </c>
      <c r="M143" s="9">
        <v>10.56</v>
      </c>
      <c r="N143" s="9">
        <v>24.57</v>
      </c>
      <c r="P143" s="9">
        <v>12.5</v>
      </c>
      <c r="Q143" s="9" t="s">
        <v>115</v>
      </c>
      <c r="R143" s="9">
        <v>11.25</v>
      </c>
      <c r="T143" s="9">
        <v>10.6</v>
      </c>
      <c r="U143" s="9" t="s">
        <v>116</v>
      </c>
      <c r="V143" s="9">
        <v>10</v>
      </c>
      <c r="W143" s="9">
        <v>10</v>
      </c>
      <c r="X143" s="9">
        <v>0.5</v>
      </c>
      <c r="Y143" s="9">
        <v>1</v>
      </c>
      <c r="Z143" s="9">
        <v>0.55000000000000004</v>
      </c>
      <c r="AC143" s="9">
        <v>132</v>
      </c>
      <c r="AD143" s="9">
        <v>44</v>
      </c>
      <c r="AN143" s="9">
        <v>750</v>
      </c>
      <c r="AO143" s="9">
        <v>108</v>
      </c>
      <c r="AP143" s="9">
        <v>27</v>
      </c>
      <c r="AQ143" s="9">
        <v>415</v>
      </c>
      <c r="AR143" s="9">
        <v>50</v>
      </c>
      <c r="AT143" s="9">
        <v>20</v>
      </c>
      <c r="AY143" s="9">
        <v>2000</v>
      </c>
      <c r="BA143" s="9" t="s">
        <v>102</v>
      </c>
      <c r="BB143" s="9" t="s">
        <v>101</v>
      </c>
      <c r="BC143" s="9" t="s">
        <v>101</v>
      </c>
      <c r="BD143" s="9" t="s">
        <v>102</v>
      </c>
      <c r="BE143" s="9" t="s">
        <v>102</v>
      </c>
      <c r="BF143" s="9" t="s">
        <v>126</v>
      </c>
      <c r="BG143" s="9" t="s">
        <v>126</v>
      </c>
      <c r="BH143" s="9" t="s">
        <v>105</v>
      </c>
      <c r="BI143" s="9">
        <v>9</v>
      </c>
      <c r="BJ143" s="9">
        <v>2</v>
      </c>
      <c r="BK143" s="9">
        <v>2</v>
      </c>
      <c r="BL143" s="9">
        <v>16</v>
      </c>
      <c r="BM143" s="9">
        <v>4</v>
      </c>
      <c r="BN143" s="9">
        <v>12</v>
      </c>
      <c r="BO143" s="9">
        <v>9</v>
      </c>
      <c r="BP143" s="9">
        <v>9</v>
      </c>
      <c r="BQ143" s="9">
        <v>2</v>
      </c>
      <c r="BR143" s="9">
        <v>16</v>
      </c>
      <c r="BS143" s="9">
        <v>4</v>
      </c>
      <c r="BT143" s="9">
        <v>12</v>
      </c>
      <c r="CI143" s="25">
        <v>108764</v>
      </c>
      <c r="CJ143" s="8" t="b">
        <v>0</v>
      </c>
      <c r="CT143" s="8">
        <v>114587</v>
      </c>
      <c r="CV143" s="51" t="s">
        <v>770</v>
      </c>
      <c r="CW143" s="8" t="str">
        <f t="shared" si="5"/>
        <v>GMFL.XYZ.14</v>
      </c>
    </row>
    <row r="144" spans="1:101" s="8" customFormat="1" x14ac:dyDescent="0.25">
      <c r="A144" s="13">
        <v>118099</v>
      </c>
      <c r="B144" s="9">
        <v>14</v>
      </c>
      <c r="C144" s="9" t="s">
        <v>771</v>
      </c>
      <c r="D144" s="9" t="s">
        <v>94</v>
      </c>
      <c r="E144" s="9" t="s">
        <v>199</v>
      </c>
      <c r="F144" s="9"/>
      <c r="G144" s="33" t="s">
        <v>772</v>
      </c>
      <c r="H144" s="47" t="s">
        <v>773</v>
      </c>
      <c r="I144" s="9" t="str">
        <f>_xlfn.XLOOKUP(H144,'Alternative Tool Body Sheet'!A:A,'Alternative Tool Body Sheet'!C:C)</f>
        <v>12/14 MFL</v>
      </c>
      <c r="J144" s="9">
        <f t="shared" si="4"/>
        <v>5</v>
      </c>
      <c r="K144" s="9" t="s">
        <v>114</v>
      </c>
      <c r="L144" s="9">
        <v>14</v>
      </c>
      <c r="M144" s="9">
        <v>12.15</v>
      </c>
      <c r="N144" s="9">
        <v>13.21</v>
      </c>
      <c r="P144" s="9">
        <v>12.5</v>
      </c>
      <c r="Q144" s="9" t="s">
        <v>115</v>
      </c>
      <c r="R144" s="9">
        <v>12.5</v>
      </c>
      <c r="T144" s="9">
        <v>12.2</v>
      </c>
      <c r="U144" s="9" t="s">
        <v>116</v>
      </c>
      <c r="V144" s="9">
        <v>10</v>
      </c>
      <c r="W144" s="9">
        <v>10</v>
      </c>
      <c r="X144" s="9">
        <v>0.42199999999999999</v>
      </c>
      <c r="Y144" s="9">
        <v>1</v>
      </c>
      <c r="Z144" s="9">
        <v>0.5</v>
      </c>
      <c r="AD144" s="9">
        <v>44</v>
      </c>
      <c r="AH144" s="9">
        <v>132</v>
      </c>
      <c r="AN144" s="9">
        <v>750</v>
      </c>
      <c r="AO144" s="9">
        <v>96</v>
      </c>
      <c r="AP144" s="9">
        <v>25</v>
      </c>
      <c r="AQ144" s="9">
        <v>410</v>
      </c>
      <c r="AR144" s="9">
        <v>85</v>
      </c>
      <c r="AT144" s="9">
        <v>20</v>
      </c>
      <c r="AV144" s="9">
        <v>24</v>
      </c>
      <c r="AX144" s="9">
        <v>300</v>
      </c>
      <c r="AY144" s="9">
        <v>2000</v>
      </c>
      <c r="AZ144" s="9" t="s">
        <v>774</v>
      </c>
      <c r="BA144" s="9" t="s">
        <v>102</v>
      </c>
      <c r="BB144" s="9" t="s">
        <v>101</v>
      </c>
      <c r="BC144" s="9" t="s">
        <v>101</v>
      </c>
      <c r="BD144" s="9" t="s">
        <v>102</v>
      </c>
      <c r="BE144" s="9" t="s">
        <v>102</v>
      </c>
      <c r="BF144" s="9" t="s">
        <v>126</v>
      </c>
      <c r="BG144" s="9" t="s">
        <v>126</v>
      </c>
      <c r="BH144" s="9" t="s">
        <v>105</v>
      </c>
      <c r="BI144" s="9">
        <v>8</v>
      </c>
      <c r="BJ144" s="9">
        <v>2</v>
      </c>
      <c r="BK144" s="9">
        <v>2</v>
      </c>
      <c r="BL144" s="9">
        <v>16</v>
      </c>
      <c r="BM144" s="9">
        <v>4</v>
      </c>
      <c r="BN144" s="9">
        <v>10</v>
      </c>
      <c r="BO144" s="9">
        <v>8</v>
      </c>
      <c r="BP144" s="9">
        <v>8</v>
      </c>
      <c r="BQ144" s="9">
        <v>2</v>
      </c>
      <c r="BR144" s="9">
        <v>16</v>
      </c>
      <c r="BS144" s="9">
        <v>4</v>
      </c>
      <c r="BT144" s="9">
        <v>10</v>
      </c>
      <c r="BX144" s="8" t="s">
        <v>605</v>
      </c>
      <c r="CI144" s="51"/>
      <c r="CJ144" s="8" t="b">
        <v>0</v>
      </c>
      <c r="CT144" s="8">
        <v>118099</v>
      </c>
      <c r="CV144" s="51" t="s">
        <v>773</v>
      </c>
      <c r="CW144" s="8" t="str">
        <f t="shared" si="5"/>
        <v>MFL.XYZ.14</v>
      </c>
    </row>
    <row r="145" spans="1:101" s="8" customFormat="1" x14ac:dyDescent="0.25">
      <c r="A145" s="13">
        <v>120711</v>
      </c>
      <c r="B145" s="9">
        <v>14</v>
      </c>
      <c r="C145" s="9" t="s">
        <v>775</v>
      </c>
      <c r="D145" s="9" t="s">
        <v>94</v>
      </c>
      <c r="E145" s="9" t="s">
        <v>194</v>
      </c>
      <c r="F145" s="9"/>
      <c r="G145" s="33" t="s">
        <v>776</v>
      </c>
      <c r="H145" s="47" t="s">
        <v>777</v>
      </c>
      <c r="I145" s="9" t="str">
        <f>_xlfn.XLOOKUP(H145,'Alternative Tool Body Sheet'!A:A,'Alternative Tool Body Sheet'!C:C)</f>
        <v>12/14 DEF</v>
      </c>
      <c r="J145" s="9">
        <f t="shared" si="4"/>
        <v>5</v>
      </c>
      <c r="K145" s="9" t="s">
        <v>114</v>
      </c>
      <c r="L145" s="9">
        <v>14</v>
      </c>
      <c r="M145" s="9">
        <v>10.5</v>
      </c>
      <c r="N145" s="9">
        <v>25</v>
      </c>
      <c r="P145" s="9">
        <v>12.5</v>
      </c>
      <c r="Q145" s="9" t="s">
        <v>115</v>
      </c>
      <c r="R145" s="9">
        <v>12</v>
      </c>
      <c r="U145" s="9" t="s">
        <v>99</v>
      </c>
      <c r="V145" s="9">
        <v>15</v>
      </c>
      <c r="AA145" s="9">
        <v>40</v>
      </c>
      <c r="AN145" s="9">
        <v>750</v>
      </c>
      <c r="AO145" s="9">
        <v>71</v>
      </c>
      <c r="AQ145" s="9">
        <v>135</v>
      </c>
      <c r="AT145" s="9">
        <v>97</v>
      </c>
      <c r="AX145" s="9">
        <v>300</v>
      </c>
      <c r="AY145" s="9">
        <v>2000</v>
      </c>
      <c r="AZ145" s="9" t="s">
        <v>778</v>
      </c>
      <c r="BA145" s="9" t="s">
        <v>102</v>
      </c>
      <c r="BB145" s="9" t="s">
        <v>101</v>
      </c>
      <c r="BC145" s="9" t="s">
        <v>101</v>
      </c>
      <c r="BD145" s="9" t="s">
        <v>102</v>
      </c>
      <c r="BE145" s="9" t="s">
        <v>102</v>
      </c>
      <c r="BF145" s="9" t="s">
        <v>118</v>
      </c>
      <c r="BG145" s="9" t="s">
        <v>118</v>
      </c>
      <c r="BH145" s="9" t="s">
        <v>105</v>
      </c>
      <c r="BI145" s="9">
        <v>6</v>
      </c>
      <c r="BJ145" s="9">
        <v>2</v>
      </c>
      <c r="BK145" s="9">
        <v>2</v>
      </c>
      <c r="BL145" s="9">
        <v>16</v>
      </c>
      <c r="BM145" s="9">
        <v>4</v>
      </c>
      <c r="BN145" s="9">
        <v>8</v>
      </c>
      <c r="BO145" s="9">
        <v>6</v>
      </c>
      <c r="BP145" s="9">
        <v>6</v>
      </c>
      <c r="BQ145" s="9">
        <v>2</v>
      </c>
      <c r="BR145" s="9">
        <v>16</v>
      </c>
      <c r="BS145" s="9">
        <v>4</v>
      </c>
      <c r="BT145" s="9">
        <v>8</v>
      </c>
      <c r="BY145" s="8">
        <v>112106</v>
      </c>
      <c r="CI145" s="51"/>
      <c r="CJ145" s="8" t="b">
        <v>0</v>
      </c>
      <c r="CT145" s="8">
        <v>120711</v>
      </c>
      <c r="CV145" s="51" t="s">
        <v>777</v>
      </c>
      <c r="CW145" s="8" t="str">
        <f t="shared" si="5"/>
        <v>DEF.XYZ.14</v>
      </c>
    </row>
    <row r="146" spans="1:101" s="8" customFormat="1" x14ac:dyDescent="0.25">
      <c r="A146" s="13">
        <v>110410</v>
      </c>
      <c r="B146" s="9">
        <v>14</v>
      </c>
      <c r="C146" s="9" t="s">
        <v>779</v>
      </c>
      <c r="D146" s="9" t="s">
        <v>94</v>
      </c>
      <c r="E146" s="9" t="s">
        <v>194</v>
      </c>
      <c r="F146" s="9"/>
      <c r="G146" s="33" t="s">
        <v>780</v>
      </c>
      <c r="H146" s="47" t="s">
        <v>766</v>
      </c>
      <c r="I146" s="9" t="str">
        <f>_xlfn.XLOOKUP(H146,'Alternative Tool Body Sheet'!A:A,'Alternative Tool Body Sheet'!C:C)</f>
        <v>12/14 DEF</v>
      </c>
      <c r="J146" s="9">
        <f t="shared" si="4"/>
        <v>5</v>
      </c>
      <c r="K146" s="9" t="s">
        <v>114</v>
      </c>
      <c r="L146" s="9">
        <v>14</v>
      </c>
      <c r="M146" s="9">
        <v>10.5</v>
      </c>
      <c r="N146" s="9">
        <v>25</v>
      </c>
      <c r="P146" s="9">
        <v>12.5</v>
      </c>
      <c r="Q146" s="9" t="s">
        <v>115</v>
      </c>
      <c r="R146" s="9">
        <v>12</v>
      </c>
      <c r="T146" s="9">
        <v>10.75</v>
      </c>
      <c r="U146" s="9" t="s">
        <v>116</v>
      </c>
      <c r="V146" s="9">
        <v>15</v>
      </c>
      <c r="AA146" s="9">
        <v>40</v>
      </c>
      <c r="AN146" s="9">
        <v>750</v>
      </c>
      <c r="AO146" s="9">
        <v>68</v>
      </c>
      <c r="AP146" s="9">
        <v>25</v>
      </c>
      <c r="AQ146" s="9">
        <v>184</v>
      </c>
      <c r="AR146" s="9">
        <v>55</v>
      </c>
      <c r="AT146" s="9">
        <v>75</v>
      </c>
      <c r="AX146" s="9">
        <v>50</v>
      </c>
      <c r="AY146" s="9">
        <v>2000</v>
      </c>
      <c r="AZ146" s="9" t="s">
        <v>781</v>
      </c>
      <c r="BA146" s="9" t="s">
        <v>102</v>
      </c>
      <c r="BB146" s="9" t="s">
        <v>101</v>
      </c>
      <c r="BC146" s="9" t="s">
        <v>101</v>
      </c>
      <c r="BD146" s="9" t="s">
        <v>102</v>
      </c>
      <c r="BE146" s="9" t="s">
        <v>102</v>
      </c>
      <c r="BF146" s="9" t="s">
        <v>321</v>
      </c>
      <c r="BG146" s="9" t="s">
        <v>322</v>
      </c>
      <c r="BH146" s="9" t="s">
        <v>105</v>
      </c>
      <c r="BI146" s="9">
        <v>6</v>
      </c>
      <c r="BJ146" s="9">
        <v>2</v>
      </c>
      <c r="BK146" s="9">
        <v>2</v>
      </c>
      <c r="BL146" s="9">
        <v>16</v>
      </c>
      <c r="BM146" s="9">
        <v>4</v>
      </c>
      <c r="BN146" s="9">
        <v>8</v>
      </c>
      <c r="BO146" s="9">
        <v>6</v>
      </c>
      <c r="BP146" s="9">
        <v>6</v>
      </c>
      <c r="BQ146" s="9">
        <v>2</v>
      </c>
      <c r="BR146" s="9">
        <v>16</v>
      </c>
      <c r="BS146" s="9">
        <v>4</v>
      </c>
      <c r="BT146" s="9">
        <v>8</v>
      </c>
      <c r="BY146" s="8">
        <v>112106</v>
      </c>
      <c r="CI146" s="51"/>
      <c r="CJ146" s="8" t="b">
        <v>0</v>
      </c>
      <c r="CT146" s="8">
        <v>110410</v>
      </c>
      <c r="CV146" s="51" t="s">
        <v>766</v>
      </c>
      <c r="CW146" s="8" t="str">
        <f t="shared" si="5"/>
        <v>DEF.14</v>
      </c>
    </row>
    <row r="147" spans="1:101" s="8" customFormat="1" x14ac:dyDescent="0.25">
      <c r="A147" s="13">
        <v>108766</v>
      </c>
      <c r="B147" s="9">
        <v>14</v>
      </c>
      <c r="C147" s="9" t="s">
        <v>782</v>
      </c>
      <c r="D147" s="9" t="s">
        <v>94</v>
      </c>
      <c r="E147" s="9" t="s">
        <v>258</v>
      </c>
      <c r="F147" s="9"/>
      <c r="G147" s="38" t="s">
        <v>783</v>
      </c>
      <c r="H147" s="40" t="s">
        <v>738</v>
      </c>
      <c r="I147" s="9" t="str">
        <f>_xlfn.XLOOKUP(H147,'Alternative Tool Body Sheet'!A:A,'Alternative Tool Body Sheet'!C:C)</f>
        <v>14 GMFL</v>
      </c>
      <c r="J147" s="9">
        <f t="shared" si="4"/>
        <v>5</v>
      </c>
      <c r="K147" s="9" t="s">
        <v>114</v>
      </c>
      <c r="L147" s="9">
        <v>14</v>
      </c>
      <c r="M147" s="9">
        <v>10.56</v>
      </c>
      <c r="N147" s="9">
        <v>24.57</v>
      </c>
      <c r="P147" s="9">
        <v>12.5</v>
      </c>
      <c r="Q147" s="9" t="s">
        <v>115</v>
      </c>
      <c r="R147" s="9">
        <v>11.25</v>
      </c>
      <c r="T147" s="9">
        <v>10.6</v>
      </c>
      <c r="U147" s="9" t="s">
        <v>116</v>
      </c>
      <c r="V147" s="9">
        <v>10</v>
      </c>
      <c r="W147" s="9">
        <v>10</v>
      </c>
      <c r="X147" s="9">
        <v>0.5</v>
      </c>
      <c r="Y147" s="9">
        <v>1</v>
      </c>
      <c r="Z147" s="9">
        <v>0.55000000000000004</v>
      </c>
      <c r="AC147" s="9">
        <v>132</v>
      </c>
      <c r="AD147" s="9">
        <v>44</v>
      </c>
      <c r="AN147" s="9">
        <v>750</v>
      </c>
      <c r="AO147" s="9">
        <v>88</v>
      </c>
      <c r="AP147" s="9">
        <v>27</v>
      </c>
      <c r="AQ147" s="9">
        <v>380</v>
      </c>
      <c r="AR147" s="9">
        <v>60</v>
      </c>
      <c r="AT147" s="9">
        <v>45</v>
      </c>
      <c r="AX147" s="9">
        <v>300</v>
      </c>
      <c r="AY147" s="9">
        <v>2000</v>
      </c>
      <c r="AZ147" s="9" t="s">
        <v>784</v>
      </c>
      <c r="BA147" s="9" t="s">
        <v>102</v>
      </c>
      <c r="BB147" s="9" t="s">
        <v>102</v>
      </c>
      <c r="BC147" s="9" t="s">
        <v>101</v>
      </c>
      <c r="BD147" s="9" t="s">
        <v>102</v>
      </c>
      <c r="BE147" s="9" t="s">
        <v>101</v>
      </c>
      <c r="BF147" s="9" t="s">
        <v>126</v>
      </c>
      <c r="BG147" s="9" t="s">
        <v>594</v>
      </c>
      <c r="BH147" s="9" t="s">
        <v>105</v>
      </c>
      <c r="BI147" s="9">
        <v>8</v>
      </c>
      <c r="BJ147" s="9">
        <v>2</v>
      </c>
      <c r="BK147" s="9">
        <v>2</v>
      </c>
      <c r="BL147" s="9">
        <v>16</v>
      </c>
      <c r="BM147" s="9">
        <v>4</v>
      </c>
      <c r="BN147" s="9">
        <v>10</v>
      </c>
      <c r="BO147" s="9">
        <v>8</v>
      </c>
      <c r="BP147" s="9">
        <v>8</v>
      </c>
      <c r="BQ147" s="9">
        <v>2</v>
      </c>
      <c r="BR147" s="9">
        <v>16</v>
      </c>
      <c r="BS147" s="9">
        <v>4</v>
      </c>
      <c r="BT147" s="9">
        <v>10</v>
      </c>
      <c r="CI147" s="25">
        <v>108764</v>
      </c>
      <c r="CJ147" s="8" t="b">
        <v>0</v>
      </c>
      <c r="CT147" s="8">
        <v>108766</v>
      </c>
    </row>
    <row r="148" spans="1:101" s="8" customFormat="1" x14ac:dyDescent="0.25">
      <c r="A148" s="13">
        <v>110629</v>
      </c>
      <c r="B148" s="9">
        <v>14</v>
      </c>
      <c r="C148" s="9" t="s">
        <v>785</v>
      </c>
      <c r="D148" s="9" t="s">
        <v>94</v>
      </c>
      <c r="E148" s="9" t="s">
        <v>169</v>
      </c>
      <c r="F148" s="9"/>
      <c r="G148" s="33" t="s">
        <v>786</v>
      </c>
      <c r="H148" s="40" t="s">
        <v>752</v>
      </c>
      <c r="I148" s="9" t="str">
        <f>_xlfn.XLOOKUP(H148,'Alternative Tool Body Sheet'!A:A,'Alternative Tool Body Sheet'!C:C)</f>
        <v>12/14 MFL</v>
      </c>
      <c r="J148" s="9">
        <f t="shared" si="4"/>
        <v>5</v>
      </c>
      <c r="K148" s="9" t="s">
        <v>114</v>
      </c>
      <c r="L148" s="9">
        <v>14</v>
      </c>
      <c r="M148" s="9">
        <v>12.15</v>
      </c>
      <c r="N148" s="9">
        <v>13.21</v>
      </c>
      <c r="P148" s="9">
        <v>12.5</v>
      </c>
      <c r="Q148" s="9" t="s">
        <v>115</v>
      </c>
      <c r="R148" s="9">
        <v>12.5</v>
      </c>
      <c r="T148" s="9">
        <v>12.25</v>
      </c>
      <c r="U148" s="9" t="s">
        <v>116</v>
      </c>
      <c r="V148" s="9">
        <v>10</v>
      </c>
      <c r="W148" s="9">
        <v>10</v>
      </c>
      <c r="X148" s="9">
        <v>0.42199999999999999</v>
      </c>
      <c r="Y148" s="9">
        <v>1</v>
      </c>
      <c r="Z148" s="9">
        <v>0.5</v>
      </c>
      <c r="AD148" s="9">
        <v>44</v>
      </c>
      <c r="AH148" s="9">
        <v>132</v>
      </c>
      <c r="AN148" s="9">
        <v>750</v>
      </c>
      <c r="AO148" s="9">
        <v>76</v>
      </c>
      <c r="AP148" s="9">
        <v>29</v>
      </c>
      <c r="AQ148" s="9">
        <v>350</v>
      </c>
      <c r="AR148" s="9">
        <v>60</v>
      </c>
      <c r="AT148" s="9">
        <v>45</v>
      </c>
      <c r="AX148" s="9">
        <v>300</v>
      </c>
      <c r="AY148" s="9">
        <v>2000</v>
      </c>
      <c r="AZ148" s="9" t="s">
        <v>787</v>
      </c>
      <c r="BA148" s="9" t="s">
        <v>102</v>
      </c>
      <c r="BB148" s="9" t="s">
        <v>101</v>
      </c>
      <c r="BC148" s="9" t="s">
        <v>101</v>
      </c>
      <c r="BD148" s="9" t="s">
        <v>102</v>
      </c>
      <c r="BE148" s="9" t="s">
        <v>102</v>
      </c>
      <c r="BF148" s="9" t="s">
        <v>126</v>
      </c>
      <c r="BG148" s="9" t="s">
        <v>126</v>
      </c>
      <c r="BH148" s="9" t="s">
        <v>105</v>
      </c>
      <c r="BI148" s="9">
        <v>7</v>
      </c>
      <c r="BJ148" s="9">
        <v>2</v>
      </c>
      <c r="BK148" s="9">
        <v>2</v>
      </c>
      <c r="BL148" s="9">
        <v>16</v>
      </c>
      <c r="BM148" s="9">
        <v>4</v>
      </c>
      <c r="BN148" s="9">
        <v>9</v>
      </c>
      <c r="BO148" s="9">
        <v>7</v>
      </c>
      <c r="BP148" s="9">
        <v>7</v>
      </c>
      <c r="BQ148" s="9">
        <v>2</v>
      </c>
      <c r="BR148" s="9">
        <v>16</v>
      </c>
      <c r="BS148" s="9">
        <v>4</v>
      </c>
      <c r="BT148" s="9">
        <v>9</v>
      </c>
      <c r="BX148" s="8" t="s">
        <v>605</v>
      </c>
      <c r="CI148" s="51"/>
      <c r="CJ148" s="8" t="b">
        <v>0</v>
      </c>
      <c r="CT148" s="8">
        <v>110629</v>
      </c>
    </row>
    <row r="149" spans="1:101" s="8" customFormat="1" x14ac:dyDescent="0.25">
      <c r="A149" s="13">
        <v>120901</v>
      </c>
      <c r="B149" s="9">
        <v>16</v>
      </c>
      <c r="C149" s="9" t="s">
        <v>788</v>
      </c>
      <c r="D149" s="9" t="s">
        <v>121</v>
      </c>
      <c r="E149" s="9" t="s">
        <v>301</v>
      </c>
      <c r="F149" s="9"/>
      <c r="G149" s="33" t="s">
        <v>789</v>
      </c>
      <c r="H149" s="40" t="s">
        <v>790</v>
      </c>
      <c r="I149" s="9" t="str">
        <f>_xlfn.XLOOKUP(H149,'Alternative Tool Body Sheet'!A:A,'Alternative Tool Body Sheet'!C:C)</f>
        <v>16 MDS</v>
      </c>
      <c r="J149" s="9">
        <f t="shared" si="4"/>
        <v>7</v>
      </c>
      <c r="K149" s="9" t="s">
        <v>114</v>
      </c>
      <c r="L149" s="9">
        <v>16</v>
      </c>
      <c r="M149" s="9">
        <v>13.6</v>
      </c>
      <c r="N149" s="9">
        <v>15</v>
      </c>
      <c r="P149" s="9">
        <v>15</v>
      </c>
      <c r="Q149" s="9" t="s">
        <v>115</v>
      </c>
      <c r="R149" s="9">
        <v>14.5</v>
      </c>
      <c r="U149" s="9" t="s">
        <v>99</v>
      </c>
      <c r="V149" s="9">
        <v>10</v>
      </c>
      <c r="W149" s="9">
        <v>10</v>
      </c>
      <c r="X149" s="9">
        <v>0.625</v>
      </c>
      <c r="Y149" s="9">
        <v>1</v>
      </c>
      <c r="Z149" s="9">
        <v>0.625</v>
      </c>
      <c r="AA149" s="9">
        <v>60</v>
      </c>
      <c r="AD149" s="9">
        <v>60</v>
      </c>
      <c r="AF149" s="9">
        <v>180</v>
      </c>
      <c r="AH149" s="9">
        <v>180</v>
      </c>
      <c r="AJ149" s="9">
        <v>396</v>
      </c>
      <c r="AN149" s="9">
        <v>750</v>
      </c>
      <c r="AO149" s="9">
        <v>143</v>
      </c>
      <c r="AQ149" s="9">
        <v>1350</v>
      </c>
      <c r="AT149" s="9">
        <v>50</v>
      </c>
      <c r="AW149" s="9">
        <v>13.52</v>
      </c>
      <c r="AX149" s="9">
        <v>375</v>
      </c>
      <c r="AY149" s="9">
        <v>2000</v>
      </c>
      <c r="AZ149" s="9" t="s">
        <v>791</v>
      </c>
      <c r="BA149" s="9" t="s">
        <v>102</v>
      </c>
      <c r="BB149" s="9" t="s">
        <v>102</v>
      </c>
      <c r="BC149" s="9" t="s">
        <v>102</v>
      </c>
      <c r="BD149" s="9" t="s">
        <v>102</v>
      </c>
      <c r="BE149" s="9" t="s">
        <v>102</v>
      </c>
      <c r="BF149" s="9" t="s">
        <v>118</v>
      </c>
      <c r="BG149" s="9" t="s">
        <v>792</v>
      </c>
      <c r="BH149" s="9" t="s">
        <v>105</v>
      </c>
      <c r="BI149" s="9">
        <v>12</v>
      </c>
      <c r="BJ149" s="9">
        <v>2</v>
      </c>
      <c r="BK149" s="9">
        <v>2</v>
      </c>
      <c r="BL149" s="9">
        <v>18</v>
      </c>
      <c r="BM149" s="9">
        <v>4</v>
      </c>
      <c r="BN149" s="9">
        <v>15</v>
      </c>
      <c r="BO149" s="9">
        <v>12</v>
      </c>
      <c r="BP149" s="9">
        <v>12</v>
      </c>
      <c r="BQ149" s="9">
        <v>2</v>
      </c>
      <c r="BR149" s="9">
        <v>18</v>
      </c>
      <c r="BS149" s="9">
        <v>4</v>
      </c>
      <c r="BT149" s="9">
        <v>15</v>
      </c>
      <c r="BX149" s="8">
        <v>108959</v>
      </c>
      <c r="BY149" s="8">
        <v>109845</v>
      </c>
      <c r="CD149" s="8">
        <v>120589</v>
      </c>
      <c r="CI149" s="51"/>
      <c r="CJ149" s="8" t="b">
        <v>0</v>
      </c>
      <c r="CT149" s="8">
        <v>120901</v>
      </c>
    </row>
    <row r="150" spans="1:101" s="8" customFormat="1" x14ac:dyDescent="0.25">
      <c r="A150" s="13">
        <v>130183</v>
      </c>
      <c r="B150" s="9">
        <v>16</v>
      </c>
      <c r="C150" s="9" t="s">
        <v>793</v>
      </c>
      <c r="D150" s="9" t="s">
        <v>121</v>
      </c>
      <c r="E150" s="9" t="s">
        <v>145</v>
      </c>
      <c r="F150" s="9"/>
      <c r="G150" s="33" t="s">
        <v>794</v>
      </c>
      <c r="H150" s="47" t="s">
        <v>795</v>
      </c>
      <c r="I150" s="9" t="str">
        <f>_xlfn.XLOOKUP(H150,'Alternative Tool Body Sheet'!A:A,'Alternative Tool Body Sheet'!C:C)</f>
        <v>16 MDS</v>
      </c>
      <c r="J150" s="9">
        <f t="shared" si="4"/>
        <v>7</v>
      </c>
      <c r="K150" s="9" t="s">
        <v>114</v>
      </c>
      <c r="L150" s="9">
        <v>16</v>
      </c>
      <c r="M150" s="9">
        <v>13.6</v>
      </c>
      <c r="Q150" s="9" t="s">
        <v>115</v>
      </c>
      <c r="R150" s="9">
        <v>14.5</v>
      </c>
      <c r="U150" s="9" t="s">
        <v>99</v>
      </c>
      <c r="V150" s="9">
        <v>10</v>
      </c>
      <c r="W150" s="9">
        <v>10</v>
      </c>
      <c r="X150" s="9">
        <v>0.625</v>
      </c>
      <c r="Y150" s="9">
        <v>1</v>
      </c>
      <c r="Z150" s="9">
        <v>0.625</v>
      </c>
      <c r="AA150" s="9">
        <v>60</v>
      </c>
      <c r="AD150" s="9">
        <v>60</v>
      </c>
      <c r="AH150" s="9">
        <v>360</v>
      </c>
      <c r="AN150" s="9">
        <v>750</v>
      </c>
      <c r="AO150" s="9">
        <v>113</v>
      </c>
      <c r="AQ150" s="9">
        <v>726</v>
      </c>
      <c r="AT150" s="9">
        <v>51</v>
      </c>
      <c r="AX150" s="9">
        <v>375</v>
      </c>
      <c r="AY150" s="9">
        <v>2000</v>
      </c>
      <c r="AZ150" s="9" t="s">
        <v>796</v>
      </c>
      <c r="BA150" s="9" t="s">
        <v>102</v>
      </c>
      <c r="BB150" s="9" t="s">
        <v>101</v>
      </c>
      <c r="BC150" s="9" t="s">
        <v>101</v>
      </c>
      <c r="BD150" s="9" t="s">
        <v>101</v>
      </c>
      <c r="BE150" s="9" t="s">
        <v>102</v>
      </c>
      <c r="BF150" s="9" t="s">
        <v>118</v>
      </c>
      <c r="BG150" s="9" t="s">
        <v>118</v>
      </c>
      <c r="BH150" s="9" t="s">
        <v>105</v>
      </c>
      <c r="BI150" s="9">
        <v>10</v>
      </c>
      <c r="BJ150" s="9">
        <v>2</v>
      </c>
      <c r="BK150" s="9">
        <v>2</v>
      </c>
      <c r="BL150" s="9">
        <v>18</v>
      </c>
      <c r="BM150" s="9">
        <v>4</v>
      </c>
      <c r="BN150" s="9">
        <v>13</v>
      </c>
      <c r="BO150" s="9">
        <v>10</v>
      </c>
      <c r="BP150" s="9">
        <v>10</v>
      </c>
      <c r="BQ150" s="9">
        <v>2</v>
      </c>
      <c r="BR150" s="9">
        <v>18</v>
      </c>
      <c r="BS150" s="9">
        <v>4</v>
      </c>
      <c r="BT150" s="9">
        <v>13</v>
      </c>
      <c r="BX150" s="8">
        <v>129898</v>
      </c>
      <c r="BY150" s="8">
        <v>109845</v>
      </c>
      <c r="CI150" s="51"/>
      <c r="CJ150" s="8" t="b">
        <v>0</v>
      </c>
      <c r="CT150" s="8">
        <v>130183</v>
      </c>
    </row>
    <row r="151" spans="1:101" s="8" customFormat="1" x14ac:dyDescent="0.25">
      <c r="A151" s="13">
        <v>113514</v>
      </c>
      <c r="B151" s="9">
        <v>16</v>
      </c>
      <c r="C151" s="9" t="s">
        <v>797</v>
      </c>
      <c r="D151" s="9" t="s">
        <v>94</v>
      </c>
      <c r="E151" s="9" t="s">
        <v>95</v>
      </c>
      <c r="F151" s="9"/>
      <c r="G151" s="33" t="s">
        <v>798</v>
      </c>
      <c r="H151" s="47" t="s">
        <v>799</v>
      </c>
      <c r="I151" s="9" t="str">
        <f>_xlfn.XLOOKUP(H151,'Alternative Tool Body Sheet'!A:A,'Alternative Tool Body Sheet'!C:C)</f>
        <v>16/18 DEF</v>
      </c>
      <c r="J151" s="9">
        <f t="shared" si="4"/>
        <v>5</v>
      </c>
      <c r="K151" s="9" t="s">
        <v>114</v>
      </c>
      <c r="L151" s="9">
        <v>16</v>
      </c>
      <c r="M151" s="9">
        <v>13.5</v>
      </c>
      <c r="N151" s="9">
        <v>15.63</v>
      </c>
      <c r="P151" s="9">
        <v>15</v>
      </c>
      <c r="Q151" s="9" t="s">
        <v>99</v>
      </c>
      <c r="S151" s="9">
        <v>14.5</v>
      </c>
      <c r="T151" s="9">
        <v>13.5</v>
      </c>
      <c r="U151" s="9" t="s">
        <v>116</v>
      </c>
      <c r="V151" s="9">
        <v>15</v>
      </c>
      <c r="AA151" s="9">
        <v>54</v>
      </c>
      <c r="AN151" s="9">
        <v>750</v>
      </c>
      <c r="AO151" s="9">
        <v>70</v>
      </c>
      <c r="AP151" s="9">
        <v>32</v>
      </c>
      <c r="AQ151" s="9">
        <v>306</v>
      </c>
      <c r="AR151" s="9">
        <v>100</v>
      </c>
      <c r="AS151" s="9">
        <v>0</v>
      </c>
      <c r="AT151" s="9">
        <v>69</v>
      </c>
      <c r="AY151" s="9">
        <v>2000</v>
      </c>
      <c r="BA151" s="9" t="s">
        <v>102</v>
      </c>
      <c r="BB151" s="9" t="s">
        <v>102</v>
      </c>
      <c r="BC151" s="9" t="s">
        <v>102</v>
      </c>
      <c r="BD151" s="9" t="s">
        <v>102</v>
      </c>
      <c r="BE151" s="9" t="s">
        <v>102</v>
      </c>
      <c r="BF151" s="9" t="s">
        <v>593</v>
      </c>
      <c r="BG151" s="9" t="s">
        <v>594</v>
      </c>
      <c r="BH151" s="9" t="s">
        <v>105</v>
      </c>
      <c r="BI151" s="9">
        <v>6</v>
      </c>
      <c r="BJ151" s="9">
        <v>2</v>
      </c>
      <c r="BK151" s="9">
        <v>2</v>
      </c>
      <c r="BL151" s="9">
        <v>18</v>
      </c>
      <c r="BM151" s="9">
        <v>4</v>
      </c>
      <c r="BN151" s="9">
        <v>8</v>
      </c>
      <c r="BO151" s="9">
        <v>6</v>
      </c>
      <c r="BP151" s="9">
        <v>6</v>
      </c>
      <c r="BQ151" s="9">
        <v>2</v>
      </c>
      <c r="BR151" s="9">
        <v>18</v>
      </c>
      <c r="BS151" s="9">
        <v>4</v>
      </c>
      <c r="BT151" s="9">
        <v>8</v>
      </c>
      <c r="BY151" s="8">
        <v>109067</v>
      </c>
      <c r="CI151" s="51"/>
      <c r="CJ151" s="8" t="b">
        <v>0</v>
      </c>
      <c r="CT151" s="8">
        <v>113514</v>
      </c>
    </row>
    <row r="152" spans="1:101" s="8" customFormat="1" x14ac:dyDescent="0.25">
      <c r="A152" s="13" t="s">
        <v>800</v>
      </c>
      <c r="B152" s="9">
        <v>16</v>
      </c>
      <c r="C152" s="9" t="s">
        <v>801</v>
      </c>
      <c r="D152" s="9" t="s">
        <v>94</v>
      </c>
      <c r="E152" s="9" t="s">
        <v>145</v>
      </c>
      <c r="F152" s="9"/>
      <c r="G152" s="37" t="s">
        <v>802</v>
      </c>
      <c r="H152" s="40" t="s">
        <v>803</v>
      </c>
      <c r="I152" s="9" t="str">
        <f>_xlfn.XLOOKUP(H152,'Alternative Tool Body Sheet'!A:A,'Alternative Tool Body Sheet'!C:C)</f>
        <v>16/18 DEF</v>
      </c>
      <c r="J152" s="9">
        <f t="shared" si="4"/>
        <v>5</v>
      </c>
      <c r="K152" s="9" t="s">
        <v>114</v>
      </c>
      <c r="L152" s="9">
        <v>16</v>
      </c>
      <c r="M152" s="9">
        <v>13.95</v>
      </c>
      <c r="N152" s="9">
        <v>12.81</v>
      </c>
      <c r="P152" s="9">
        <v>15</v>
      </c>
      <c r="Q152" s="9" t="s">
        <v>115</v>
      </c>
      <c r="R152" s="9">
        <v>15</v>
      </c>
      <c r="S152" s="9">
        <v>14.25</v>
      </c>
      <c r="T152" s="9">
        <v>14.25</v>
      </c>
      <c r="U152" s="9" t="s">
        <v>116</v>
      </c>
      <c r="V152" s="9">
        <v>10</v>
      </c>
      <c r="W152" s="9">
        <v>10</v>
      </c>
      <c r="X152" s="9">
        <v>0.625</v>
      </c>
      <c r="Y152" s="9">
        <v>1</v>
      </c>
      <c r="Z152" s="9">
        <v>0.625</v>
      </c>
      <c r="AA152" s="9">
        <v>54</v>
      </c>
      <c r="AD152" s="9">
        <v>48</v>
      </c>
      <c r="AH152" s="9">
        <v>144</v>
      </c>
      <c r="AN152" s="9">
        <v>750</v>
      </c>
      <c r="AO152" s="9">
        <v>103</v>
      </c>
      <c r="AP152" s="9">
        <v>32</v>
      </c>
      <c r="AQ152" s="9">
        <v>740</v>
      </c>
      <c r="AR152" s="9">
        <v>100</v>
      </c>
      <c r="AT152" s="9">
        <v>35</v>
      </c>
      <c r="AV152" s="9">
        <v>15.67</v>
      </c>
      <c r="AW152" s="9">
        <v>1.31</v>
      </c>
      <c r="AX152" s="9">
        <v>300</v>
      </c>
      <c r="AY152" s="9">
        <v>2000</v>
      </c>
      <c r="AZ152" s="9" t="s">
        <v>804</v>
      </c>
      <c r="BA152" s="9" t="s">
        <v>102</v>
      </c>
      <c r="BB152" s="9" t="s">
        <v>101</v>
      </c>
      <c r="BC152" s="9" t="s">
        <v>101</v>
      </c>
      <c r="BD152" s="9" t="s">
        <v>102</v>
      </c>
      <c r="BE152" s="9" t="s">
        <v>102</v>
      </c>
      <c r="BF152" s="9" t="s">
        <v>805</v>
      </c>
      <c r="BG152" s="9" t="s">
        <v>594</v>
      </c>
      <c r="BH152" s="9" t="s">
        <v>105</v>
      </c>
      <c r="BI152" s="9">
        <v>9</v>
      </c>
      <c r="BJ152" s="9">
        <v>2</v>
      </c>
      <c r="BK152" s="9">
        <v>2</v>
      </c>
      <c r="BL152" s="9">
        <v>18</v>
      </c>
      <c r="BM152" s="9">
        <v>4</v>
      </c>
      <c r="BN152" s="9">
        <v>12</v>
      </c>
      <c r="BO152" s="9">
        <v>9</v>
      </c>
      <c r="BP152" s="9">
        <v>9</v>
      </c>
      <c r="BQ152" s="9">
        <v>2</v>
      </c>
      <c r="BR152" s="9">
        <v>18</v>
      </c>
      <c r="BS152" s="9">
        <v>4</v>
      </c>
      <c r="BT152" s="9">
        <v>12</v>
      </c>
      <c r="BX152" s="8" t="s">
        <v>806</v>
      </c>
      <c r="BY152" s="8">
        <v>109067</v>
      </c>
      <c r="CI152" s="51"/>
      <c r="CJ152" s="8" t="b">
        <v>0</v>
      </c>
      <c r="CT152" s="8" t="s">
        <v>800</v>
      </c>
    </row>
    <row r="153" spans="1:101" s="8" customFormat="1" x14ac:dyDescent="0.25">
      <c r="A153" s="13">
        <v>108734</v>
      </c>
      <c r="B153" s="9">
        <v>16</v>
      </c>
      <c r="C153" s="9" t="s">
        <v>807</v>
      </c>
      <c r="D153" s="9" t="s">
        <v>94</v>
      </c>
      <c r="E153" s="9" t="s">
        <v>169</v>
      </c>
      <c r="F153" s="9"/>
      <c r="G153" s="33" t="s">
        <v>808</v>
      </c>
      <c r="H153" s="40" t="s">
        <v>809</v>
      </c>
      <c r="I153" s="9" t="str">
        <f>_xlfn.XLOOKUP(H153,'Alternative Tool Body Sheet'!A:A,'Alternative Tool Body Sheet'!C:C)</f>
        <v>16/18 MFL</v>
      </c>
      <c r="J153" s="9">
        <f t="shared" si="4"/>
        <v>5</v>
      </c>
      <c r="K153" s="9" t="s">
        <v>114</v>
      </c>
      <c r="L153" s="9">
        <v>16</v>
      </c>
      <c r="M153" s="9">
        <v>13.95</v>
      </c>
      <c r="N153" s="9">
        <v>12.81</v>
      </c>
      <c r="P153" s="9">
        <v>15</v>
      </c>
      <c r="Q153" s="9" t="s">
        <v>115</v>
      </c>
      <c r="R153" s="9">
        <v>15</v>
      </c>
      <c r="S153" s="9">
        <v>14.25</v>
      </c>
      <c r="T153" s="9">
        <v>14.15</v>
      </c>
      <c r="U153" s="9" t="s">
        <v>116</v>
      </c>
      <c r="V153" s="9">
        <v>10</v>
      </c>
      <c r="W153" s="9">
        <v>10</v>
      </c>
      <c r="X153" s="9">
        <v>0.625</v>
      </c>
      <c r="Y153" s="9">
        <v>1</v>
      </c>
      <c r="Z153" s="9">
        <v>0.625</v>
      </c>
      <c r="AD153" s="9">
        <v>48</v>
      </c>
      <c r="AH153" s="9">
        <v>144</v>
      </c>
      <c r="AN153" s="9">
        <v>750</v>
      </c>
      <c r="AO153" s="9">
        <v>70</v>
      </c>
      <c r="AP153" s="9">
        <v>32</v>
      </c>
      <c r="AQ153" s="9">
        <v>572</v>
      </c>
      <c r="AR153" s="9">
        <v>100</v>
      </c>
      <c r="AS153" s="9">
        <v>42</v>
      </c>
      <c r="AT153" s="9">
        <v>144</v>
      </c>
      <c r="AV153" s="9">
        <v>13.16</v>
      </c>
      <c r="AW153" s="9">
        <v>1.1000000000000001</v>
      </c>
      <c r="AX153" s="9">
        <v>300</v>
      </c>
      <c r="AY153" s="9">
        <v>2000</v>
      </c>
      <c r="AZ153" s="9" t="s">
        <v>810</v>
      </c>
      <c r="BA153" s="9" t="s">
        <v>102</v>
      </c>
      <c r="BB153" s="9" t="s">
        <v>101</v>
      </c>
      <c r="BC153" s="9" t="s">
        <v>101</v>
      </c>
      <c r="BD153" s="9" t="s">
        <v>102</v>
      </c>
      <c r="BE153" s="9" t="s">
        <v>102</v>
      </c>
      <c r="BF153" s="9" t="s">
        <v>805</v>
      </c>
      <c r="BG153" s="9" t="s">
        <v>594</v>
      </c>
      <c r="BH153" s="9" t="s">
        <v>105</v>
      </c>
      <c r="BI153" s="9">
        <v>6</v>
      </c>
      <c r="BJ153" s="9">
        <v>2</v>
      </c>
      <c r="BK153" s="9">
        <v>2</v>
      </c>
      <c r="BL153" s="9">
        <v>18</v>
      </c>
      <c r="BM153" s="9">
        <v>4</v>
      </c>
      <c r="BN153" s="9">
        <v>8</v>
      </c>
      <c r="BO153" s="9">
        <v>6</v>
      </c>
      <c r="BP153" s="9">
        <v>6</v>
      </c>
      <c r="BQ153" s="9">
        <v>2</v>
      </c>
      <c r="BR153" s="9">
        <v>18</v>
      </c>
      <c r="BS153" s="9">
        <v>4</v>
      </c>
      <c r="BT153" s="9">
        <v>8</v>
      </c>
      <c r="BX153" s="8" t="s">
        <v>806</v>
      </c>
      <c r="CI153" s="51"/>
      <c r="CJ153" s="8" t="b">
        <v>0</v>
      </c>
      <c r="CT153" s="8">
        <v>108734</v>
      </c>
    </row>
    <row r="154" spans="1:101" s="8" customFormat="1" x14ac:dyDescent="0.25">
      <c r="A154" s="24" t="s">
        <v>811</v>
      </c>
      <c r="B154" s="12">
        <v>16</v>
      </c>
      <c r="C154" s="12" t="s">
        <v>812</v>
      </c>
      <c r="D154" s="12" t="s">
        <v>469</v>
      </c>
      <c r="E154" s="12" t="s">
        <v>469</v>
      </c>
      <c r="F154" s="12"/>
      <c r="G154" s="33" t="s">
        <v>813</v>
      </c>
      <c r="H154" s="40" t="s">
        <v>814</v>
      </c>
      <c r="I154" s="9" t="str">
        <f>_xlfn.XLOOKUP(H154,'Alternative Tool Body Sheet'!A:A,'Alternative Tool Body Sheet'!C:C)</f>
        <v>16 EMAT</v>
      </c>
      <c r="J154" s="12">
        <f t="shared" si="4"/>
        <v>7</v>
      </c>
      <c r="K154" s="12" t="s">
        <v>98</v>
      </c>
      <c r="L154" s="12">
        <v>16</v>
      </c>
      <c r="M154" s="12">
        <v>14</v>
      </c>
      <c r="N154" s="12">
        <v>12.5</v>
      </c>
      <c r="O154" s="12">
        <v>14.56</v>
      </c>
      <c r="P154" s="12">
        <v>14.56</v>
      </c>
      <c r="Q154" s="12" t="s">
        <v>115</v>
      </c>
      <c r="R154" s="12">
        <v>14.5</v>
      </c>
      <c r="S154" s="12">
        <v>14.5</v>
      </c>
      <c r="T154" s="12">
        <v>14.5</v>
      </c>
      <c r="U154" s="12" t="s">
        <v>99</v>
      </c>
      <c r="V154" s="12">
        <v>7.3</v>
      </c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>
        <v>750</v>
      </c>
      <c r="AO154" s="12">
        <v>136</v>
      </c>
      <c r="AP154" s="12">
        <v>26</v>
      </c>
      <c r="AQ154" s="12">
        <v>1105</v>
      </c>
      <c r="AR154" s="12">
        <v>87</v>
      </c>
      <c r="AS154" s="12"/>
      <c r="AT154" s="12"/>
      <c r="AU154" s="12"/>
      <c r="AV154" s="12"/>
      <c r="AW154" s="12"/>
      <c r="AX154" s="12">
        <v>400</v>
      </c>
      <c r="AY154" s="12">
        <v>2000</v>
      </c>
      <c r="AZ154" s="12" t="s">
        <v>815</v>
      </c>
      <c r="BA154" s="12" t="s">
        <v>102</v>
      </c>
      <c r="BB154" s="12" t="s">
        <v>102</v>
      </c>
      <c r="BC154" s="12" t="s">
        <v>102</v>
      </c>
      <c r="BD154" s="12" t="s">
        <v>102</v>
      </c>
      <c r="BE154" s="12" t="s">
        <v>102</v>
      </c>
      <c r="BF154" s="12" t="s">
        <v>118</v>
      </c>
      <c r="BG154" s="12" t="s">
        <v>118</v>
      </c>
      <c r="BH154" s="12" t="s">
        <v>105</v>
      </c>
      <c r="BI154" s="12">
        <v>12</v>
      </c>
      <c r="BJ154" s="12">
        <v>2</v>
      </c>
      <c r="BK154" s="12">
        <v>2</v>
      </c>
      <c r="BL154" s="12">
        <v>18</v>
      </c>
      <c r="BM154" s="12">
        <v>4</v>
      </c>
      <c r="BN154" s="12">
        <v>15</v>
      </c>
      <c r="BO154" s="12">
        <v>12</v>
      </c>
      <c r="BP154" s="12">
        <v>12</v>
      </c>
      <c r="BQ154" s="12">
        <v>2</v>
      </c>
      <c r="BR154" s="12">
        <v>18</v>
      </c>
      <c r="BS154" s="12">
        <v>4</v>
      </c>
      <c r="BT154" s="12">
        <v>15</v>
      </c>
      <c r="CF154" s="8">
        <v>123590</v>
      </c>
      <c r="CI154" s="51"/>
      <c r="CJ154" s="8" t="b">
        <v>0</v>
      </c>
      <c r="CT154" s="8" t="s">
        <v>811</v>
      </c>
    </row>
    <row r="155" spans="1:101" s="8" customFormat="1" x14ac:dyDescent="0.25">
      <c r="A155" s="13">
        <v>109575</v>
      </c>
      <c r="B155" s="9">
        <v>16</v>
      </c>
      <c r="C155" s="9" t="s">
        <v>816</v>
      </c>
      <c r="D155" s="9" t="s">
        <v>121</v>
      </c>
      <c r="E155" s="9" t="s">
        <v>272</v>
      </c>
      <c r="F155" s="9"/>
      <c r="G155" s="38" t="s">
        <v>817</v>
      </c>
      <c r="H155" s="40" t="s">
        <v>818</v>
      </c>
      <c r="I155" s="9" t="str">
        <f>_xlfn.XLOOKUP(H155,'Alternative Tool Body Sheet'!A:A,'Alternative Tool Body Sheet'!C:C)</f>
        <v>16 MDS</v>
      </c>
      <c r="J155" s="9">
        <f t="shared" si="4"/>
        <v>7</v>
      </c>
      <c r="K155" s="9" t="s">
        <v>114</v>
      </c>
      <c r="L155" s="9">
        <v>16</v>
      </c>
      <c r="M155" s="9">
        <v>13.6</v>
      </c>
      <c r="N155" s="9">
        <v>15</v>
      </c>
      <c r="P155" s="9">
        <v>15</v>
      </c>
      <c r="Q155" s="9" t="s">
        <v>115</v>
      </c>
      <c r="R155" s="9">
        <v>14.5</v>
      </c>
      <c r="U155" s="9" t="s">
        <v>99</v>
      </c>
      <c r="V155" s="9">
        <v>10</v>
      </c>
      <c r="W155" s="9">
        <v>10</v>
      </c>
      <c r="X155" s="9">
        <v>0.625</v>
      </c>
      <c r="Y155" s="9">
        <v>1</v>
      </c>
      <c r="Z155" s="9">
        <v>0.625</v>
      </c>
      <c r="AA155" s="9">
        <v>60</v>
      </c>
      <c r="AB155" s="9">
        <v>180</v>
      </c>
      <c r="AD155" s="9">
        <v>60</v>
      </c>
      <c r="AF155" s="9">
        <v>180</v>
      </c>
      <c r="AN155" s="9">
        <v>750</v>
      </c>
      <c r="AO155" s="9">
        <v>113</v>
      </c>
      <c r="AQ155" s="9">
        <v>885</v>
      </c>
      <c r="AS155" s="9">
        <v>0</v>
      </c>
      <c r="AT155" s="9">
        <v>150</v>
      </c>
      <c r="AV155" s="9">
        <v>9.52</v>
      </c>
      <c r="AW155" s="9">
        <v>0.79</v>
      </c>
      <c r="AX155" s="9">
        <v>375</v>
      </c>
      <c r="AY155" s="9">
        <v>2000</v>
      </c>
      <c r="AZ155" s="9" t="s">
        <v>819</v>
      </c>
      <c r="BA155" s="9" t="s">
        <v>102</v>
      </c>
      <c r="BB155" s="9" t="s">
        <v>102</v>
      </c>
      <c r="BC155" s="9" t="s">
        <v>101</v>
      </c>
      <c r="BD155" s="9" t="s">
        <v>102</v>
      </c>
      <c r="BE155" s="9" t="s">
        <v>101</v>
      </c>
      <c r="BF155" s="9" t="s">
        <v>118</v>
      </c>
      <c r="BG155" s="9" t="s">
        <v>792</v>
      </c>
      <c r="BH155" s="9" t="s">
        <v>105</v>
      </c>
      <c r="BI155" s="9">
        <v>10</v>
      </c>
      <c r="BJ155" s="9">
        <v>2</v>
      </c>
      <c r="BK155" s="9">
        <v>2</v>
      </c>
      <c r="BL155" s="9">
        <v>18</v>
      </c>
      <c r="BM155" s="9">
        <v>4</v>
      </c>
      <c r="BN155" s="9">
        <v>13</v>
      </c>
      <c r="BO155" s="9">
        <v>10</v>
      </c>
      <c r="BP155" s="9">
        <v>10</v>
      </c>
      <c r="BQ155" s="9">
        <v>2</v>
      </c>
      <c r="BR155" s="9">
        <v>18</v>
      </c>
      <c r="BS155" s="9">
        <v>4</v>
      </c>
      <c r="BT155" s="9">
        <v>13</v>
      </c>
      <c r="BX155" s="8">
        <v>108959</v>
      </c>
      <c r="BY155" s="8">
        <v>109845</v>
      </c>
      <c r="CI155" s="51"/>
      <c r="CJ155" s="8" t="b">
        <v>0</v>
      </c>
      <c r="CT155" s="8">
        <v>109575</v>
      </c>
    </row>
    <row r="156" spans="1:101" s="8" customFormat="1" x14ac:dyDescent="0.25">
      <c r="A156" s="13">
        <v>130179</v>
      </c>
      <c r="B156" s="9">
        <v>16</v>
      </c>
      <c r="C156" s="9" t="s">
        <v>820</v>
      </c>
      <c r="D156" s="9" t="s">
        <v>121</v>
      </c>
      <c r="E156" s="9" t="s">
        <v>301</v>
      </c>
      <c r="F156" s="9"/>
      <c r="G156" s="38" t="s">
        <v>821</v>
      </c>
      <c r="H156" s="40" t="s">
        <v>822</v>
      </c>
      <c r="I156" s="9" t="str">
        <f>_xlfn.XLOOKUP(H156,'Alternative Tool Body Sheet'!A:A,'Alternative Tool Body Sheet'!C:C)</f>
        <v>16 MDS</v>
      </c>
      <c r="J156" s="9">
        <f t="shared" si="4"/>
        <v>7</v>
      </c>
      <c r="K156" s="9" t="s">
        <v>114</v>
      </c>
      <c r="L156" s="9">
        <v>16</v>
      </c>
      <c r="M156" s="9">
        <v>13.6</v>
      </c>
      <c r="N156" s="9">
        <v>15</v>
      </c>
      <c r="P156" s="9">
        <v>15</v>
      </c>
      <c r="Q156" s="9" t="s">
        <v>115</v>
      </c>
      <c r="R156" s="9">
        <v>14.5</v>
      </c>
      <c r="U156" s="9" t="s">
        <v>99</v>
      </c>
      <c r="V156" s="9">
        <v>10</v>
      </c>
      <c r="W156" s="9">
        <v>10</v>
      </c>
      <c r="X156" s="9">
        <v>0.625</v>
      </c>
      <c r="Y156" s="9">
        <v>1</v>
      </c>
      <c r="Z156" s="9">
        <v>0.625</v>
      </c>
      <c r="AA156" s="9">
        <v>60</v>
      </c>
      <c r="AD156" s="9">
        <v>60</v>
      </c>
      <c r="AF156" s="9">
        <v>180</v>
      </c>
      <c r="AH156" s="9">
        <v>360</v>
      </c>
      <c r="AJ156" s="9">
        <v>396</v>
      </c>
      <c r="AN156" s="9">
        <v>750</v>
      </c>
      <c r="AO156" s="9">
        <v>143</v>
      </c>
      <c r="AQ156" s="9">
        <v>1350</v>
      </c>
      <c r="AT156" s="9">
        <v>32</v>
      </c>
      <c r="AW156" s="9">
        <v>13.52</v>
      </c>
      <c r="AX156" s="9">
        <v>375</v>
      </c>
      <c r="AY156" s="9">
        <v>2000</v>
      </c>
      <c r="AZ156" s="9" t="s">
        <v>823</v>
      </c>
      <c r="BA156" s="9" t="s">
        <v>102</v>
      </c>
      <c r="BB156" s="9" t="s">
        <v>102</v>
      </c>
      <c r="BC156" s="9" t="s">
        <v>102</v>
      </c>
      <c r="BD156" s="9" t="s">
        <v>102</v>
      </c>
      <c r="BE156" s="9" t="s">
        <v>102</v>
      </c>
      <c r="BF156" s="9" t="s">
        <v>118</v>
      </c>
      <c r="BG156" s="9" t="s">
        <v>792</v>
      </c>
      <c r="BH156" s="9" t="s">
        <v>105</v>
      </c>
      <c r="BI156" s="9">
        <v>12</v>
      </c>
      <c r="BJ156" s="9">
        <v>2</v>
      </c>
      <c r="BK156" s="9">
        <v>2</v>
      </c>
      <c r="BL156" s="9">
        <v>18</v>
      </c>
      <c r="BM156" s="9">
        <v>4</v>
      </c>
      <c r="BN156" s="9">
        <v>15</v>
      </c>
      <c r="BO156" s="9">
        <v>12</v>
      </c>
      <c r="BP156" s="9">
        <v>12</v>
      </c>
      <c r="BQ156" s="9">
        <v>2</v>
      </c>
      <c r="BR156" s="9">
        <v>18</v>
      </c>
      <c r="BS156" s="9">
        <v>4</v>
      </c>
      <c r="BT156" s="9">
        <v>15</v>
      </c>
      <c r="BX156" s="8">
        <v>129898</v>
      </c>
      <c r="BY156" s="8">
        <v>109845</v>
      </c>
      <c r="CD156" s="8">
        <v>120589</v>
      </c>
      <c r="CI156" s="51"/>
      <c r="CJ156" s="8" t="b">
        <v>0</v>
      </c>
      <c r="CT156" s="8">
        <v>130179</v>
      </c>
    </row>
    <row r="157" spans="1:101" s="8" customFormat="1" x14ac:dyDescent="0.25">
      <c r="A157" s="13">
        <v>112848</v>
      </c>
      <c r="B157" s="9">
        <v>16</v>
      </c>
      <c r="C157" s="9" t="s">
        <v>824</v>
      </c>
      <c r="D157" s="9" t="s">
        <v>94</v>
      </c>
      <c r="E157" s="9" t="s">
        <v>258</v>
      </c>
      <c r="F157" s="9"/>
      <c r="G157" s="33" t="s">
        <v>825</v>
      </c>
      <c r="H157" s="47" t="s">
        <v>826</v>
      </c>
      <c r="I157" s="9" t="str">
        <f>_xlfn.XLOOKUP(H157,'Alternative Tool Body Sheet'!A:A,'Alternative Tool Body Sheet'!C:C)</f>
        <v>16 GMFL</v>
      </c>
      <c r="J157" s="9">
        <f t="shared" si="4"/>
        <v>5</v>
      </c>
      <c r="K157" s="9" t="s">
        <v>114</v>
      </c>
      <c r="L157" s="9">
        <v>16</v>
      </c>
      <c r="M157" s="9">
        <v>12</v>
      </c>
      <c r="N157" s="9">
        <v>25</v>
      </c>
      <c r="P157" s="9">
        <v>15</v>
      </c>
      <c r="Q157" s="9" t="s">
        <v>115</v>
      </c>
      <c r="R157" s="9">
        <v>14.5</v>
      </c>
      <c r="S157" s="9">
        <v>13.5</v>
      </c>
      <c r="T157" s="9">
        <v>12.5</v>
      </c>
      <c r="U157" s="9" t="s">
        <v>116</v>
      </c>
      <c r="V157" s="9">
        <v>10</v>
      </c>
      <c r="W157" s="9">
        <v>10</v>
      </c>
      <c r="X157" s="9">
        <v>0.45500000000000002</v>
      </c>
      <c r="Y157" s="9">
        <v>1</v>
      </c>
      <c r="Z157" s="9">
        <v>0.5</v>
      </c>
      <c r="AC157" s="9">
        <v>144</v>
      </c>
      <c r="AD157" s="9">
        <v>48</v>
      </c>
      <c r="AN157" s="9">
        <v>750</v>
      </c>
      <c r="AO157" s="9">
        <v>61</v>
      </c>
      <c r="AQ157" s="9">
        <v>443</v>
      </c>
      <c r="AT157" s="9">
        <v>35</v>
      </c>
      <c r="AV157" s="9">
        <v>4.53</v>
      </c>
      <c r="AW157" s="9">
        <v>0.38</v>
      </c>
      <c r="AX157" s="9">
        <v>300</v>
      </c>
      <c r="AY157" s="9">
        <v>2000</v>
      </c>
      <c r="AZ157" s="9" t="s">
        <v>827</v>
      </c>
      <c r="BA157" s="9" t="s">
        <v>102</v>
      </c>
      <c r="BB157" s="9" t="s">
        <v>102</v>
      </c>
      <c r="BC157" s="9" t="s">
        <v>102</v>
      </c>
      <c r="BD157" s="9" t="s">
        <v>102</v>
      </c>
      <c r="BE157" s="9" t="s">
        <v>102</v>
      </c>
      <c r="BF157" s="9" t="s">
        <v>118</v>
      </c>
      <c r="BG157" s="9" t="s">
        <v>828</v>
      </c>
      <c r="BH157" s="9" t="s">
        <v>105</v>
      </c>
      <c r="BI157" s="9">
        <v>6</v>
      </c>
      <c r="BJ157" s="9">
        <v>2</v>
      </c>
      <c r="BK157" s="9">
        <v>2</v>
      </c>
      <c r="BL157" s="9">
        <v>18</v>
      </c>
      <c r="BM157" s="9">
        <v>4</v>
      </c>
      <c r="BN157" s="9">
        <v>8</v>
      </c>
      <c r="BO157" s="9">
        <v>6</v>
      </c>
      <c r="BP157" s="9">
        <v>6</v>
      </c>
      <c r="BQ157" s="9">
        <v>2</v>
      </c>
      <c r="BR157" s="9">
        <v>18</v>
      </c>
      <c r="BS157" s="9">
        <v>4</v>
      </c>
      <c r="BT157" s="9">
        <v>8</v>
      </c>
      <c r="CI157" s="51">
        <v>109250</v>
      </c>
      <c r="CJ157" s="8" t="b">
        <v>0</v>
      </c>
      <c r="CT157" s="8">
        <v>112848</v>
      </c>
    </row>
    <row r="158" spans="1:101" s="8" customFormat="1" x14ac:dyDescent="0.25">
      <c r="A158" s="13">
        <v>109179</v>
      </c>
      <c r="B158" s="9">
        <v>16</v>
      </c>
      <c r="C158" s="9" t="s">
        <v>829</v>
      </c>
      <c r="D158" s="9" t="s">
        <v>94</v>
      </c>
      <c r="E158" s="9" t="s">
        <v>95</v>
      </c>
      <c r="F158" s="9"/>
      <c r="G158" s="38" t="s">
        <v>830</v>
      </c>
      <c r="H158" s="40" t="s">
        <v>799</v>
      </c>
      <c r="I158" s="9" t="str">
        <f>_xlfn.XLOOKUP(H158,'Alternative Tool Body Sheet'!A:A,'Alternative Tool Body Sheet'!C:C)</f>
        <v>16/18 DEF</v>
      </c>
      <c r="J158" s="9">
        <f t="shared" si="4"/>
        <v>5</v>
      </c>
      <c r="K158" s="9" t="s">
        <v>114</v>
      </c>
      <c r="L158" s="9">
        <v>16</v>
      </c>
      <c r="M158" s="9">
        <v>12</v>
      </c>
      <c r="N158" s="9">
        <v>25</v>
      </c>
      <c r="P158" s="9">
        <v>15</v>
      </c>
      <c r="Q158" s="9" t="s">
        <v>115</v>
      </c>
      <c r="R158" s="9">
        <v>14.5</v>
      </c>
      <c r="S158" s="9">
        <v>12.5</v>
      </c>
      <c r="T158" s="9">
        <v>12.35</v>
      </c>
      <c r="U158" s="9" t="s">
        <v>116</v>
      </c>
      <c r="V158" s="9">
        <v>15</v>
      </c>
      <c r="AA158" s="9">
        <v>48</v>
      </c>
      <c r="AN158" s="9">
        <v>750</v>
      </c>
      <c r="AO158" s="9">
        <v>64</v>
      </c>
      <c r="AQ158" s="9">
        <v>215</v>
      </c>
      <c r="AT158" s="9">
        <v>47</v>
      </c>
      <c r="AX158" s="9">
        <v>300</v>
      </c>
      <c r="AY158" s="9">
        <v>2000</v>
      </c>
      <c r="AZ158" s="9" t="s">
        <v>831</v>
      </c>
      <c r="BA158" s="9" t="s">
        <v>102</v>
      </c>
      <c r="BB158" s="9" t="s">
        <v>102</v>
      </c>
      <c r="BC158" s="9" t="s">
        <v>101</v>
      </c>
      <c r="BD158" s="9" t="s">
        <v>102</v>
      </c>
      <c r="BE158" s="9" t="s">
        <v>101</v>
      </c>
      <c r="BF158" s="9" t="s">
        <v>832</v>
      </c>
      <c r="BG158" s="9" t="s">
        <v>833</v>
      </c>
      <c r="BH158" s="9" t="s">
        <v>105</v>
      </c>
      <c r="BI158" s="9">
        <v>6</v>
      </c>
      <c r="BJ158" s="9">
        <v>2</v>
      </c>
      <c r="BK158" s="9">
        <v>2</v>
      </c>
      <c r="BL158" s="9">
        <v>18</v>
      </c>
      <c r="BM158" s="9">
        <v>4</v>
      </c>
      <c r="BN158" s="9">
        <v>8</v>
      </c>
      <c r="BO158" s="9">
        <v>6</v>
      </c>
      <c r="BP158" s="9">
        <v>6</v>
      </c>
      <c r="BQ158" s="9">
        <v>2</v>
      </c>
      <c r="BR158" s="9">
        <v>18</v>
      </c>
      <c r="BS158" s="9">
        <v>4</v>
      </c>
      <c r="BT158" s="9">
        <v>8</v>
      </c>
      <c r="BY158" s="8">
        <v>109067</v>
      </c>
      <c r="CI158" s="51"/>
      <c r="CJ158" s="8" t="b">
        <v>0</v>
      </c>
      <c r="CT158" s="8">
        <v>109179</v>
      </c>
    </row>
    <row r="159" spans="1:101" s="8" customFormat="1" x14ac:dyDescent="0.25">
      <c r="A159" s="13">
        <v>109180</v>
      </c>
      <c r="B159" s="9">
        <v>16</v>
      </c>
      <c r="C159" s="9" t="s">
        <v>834</v>
      </c>
      <c r="D159" s="9" t="s">
        <v>94</v>
      </c>
      <c r="E159" s="9" t="s">
        <v>95</v>
      </c>
      <c r="F159" s="9"/>
      <c r="G159" s="38" t="s">
        <v>835</v>
      </c>
      <c r="H159" s="47" t="s">
        <v>799</v>
      </c>
      <c r="I159" s="9" t="str">
        <f>_xlfn.XLOOKUP(H159,'Alternative Tool Body Sheet'!A:A,'Alternative Tool Body Sheet'!C:C)</f>
        <v>16/18 DEF</v>
      </c>
      <c r="J159" s="9">
        <f t="shared" si="4"/>
        <v>5</v>
      </c>
      <c r="K159" s="9" t="s">
        <v>114</v>
      </c>
      <c r="L159" s="9">
        <v>16</v>
      </c>
      <c r="M159" s="9">
        <v>13.5</v>
      </c>
      <c r="N159" s="9">
        <v>15.63</v>
      </c>
      <c r="P159" s="9">
        <v>15</v>
      </c>
      <c r="Q159" s="9" t="s">
        <v>99</v>
      </c>
      <c r="S159" s="9">
        <v>14.5</v>
      </c>
      <c r="T159" s="9">
        <v>13.5</v>
      </c>
      <c r="U159" s="9" t="s">
        <v>116</v>
      </c>
      <c r="V159" s="9">
        <v>15</v>
      </c>
      <c r="AA159" s="9">
        <v>54</v>
      </c>
      <c r="AN159" s="9">
        <v>750</v>
      </c>
      <c r="AO159" s="9">
        <v>66</v>
      </c>
      <c r="AP159" s="9">
        <v>32</v>
      </c>
      <c r="AQ159" s="9">
        <v>310</v>
      </c>
      <c r="AR159" s="9">
        <v>100</v>
      </c>
      <c r="AT159" s="9">
        <v>58</v>
      </c>
      <c r="AX159" s="9">
        <v>300</v>
      </c>
      <c r="AY159" s="9">
        <v>2000</v>
      </c>
      <c r="AZ159" s="9" t="s">
        <v>836</v>
      </c>
      <c r="BA159" s="9" t="s">
        <v>102</v>
      </c>
      <c r="BB159" s="9" t="s">
        <v>102</v>
      </c>
      <c r="BC159" s="9" t="s">
        <v>102</v>
      </c>
      <c r="BD159" s="9" t="s">
        <v>102</v>
      </c>
      <c r="BE159" s="9" t="s">
        <v>102</v>
      </c>
      <c r="BF159" s="9" t="s">
        <v>593</v>
      </c>
      <c r="BG159" s="9" t="s">
        <v>594</v>
      </c>
      <c r="BH159" s="9" t="s">
        <v>105</v>
      </c>
      <c r="BI159" s="9">
        <v>6</v>
      </c>
      <c r="BJ159" s="9">
        <v>2</v>
      </c>
      <c r="BK159" s="9">
        <v>2</v>
      </c>
      <c r="BL159" s="9">
        <v>18</v>
      </c>
      <c r="BM159" s="9">
        <v>4</v>
      </c>
      <c r="BN159" s="9">
        <v>8</v>
      </c>
      <c r="BO159" s="9">
        <v>6</v>
      </c>
      <c r="BP159" s="9">
        <v>6</v>
      </c>
      <c r="BQ159" s="9">
        <v>2</v>
      </c>
      <c r="BR159" s="9">
        <v>18</v>
      </c>
      <c r="BS159" s="9">
        <v>4</v>
      </c>
      <c r="BT159" s="9">
        <v>8</v>
      </c>
      <c r="BY159" s="8">
        <v>109067</v>
      </c>
      <c r="CI159" s="51"/>
      <c r="CJ159" s="8" t="b">
        <v>0</v>
      </c>
      <c r="CT159" s="8">
        <v>109180</v>
      </c>
    </row>
    <row r="160" spans="1:101" s="8" customFormat="1" x14ac:dyDescent="0.25">
      <c r="A160" s="13">
        <v>114875</v>
      </c>
      <c r="B160" s="9">
        <v>16</v>
      </c>
      <c r="C160" s="9" t="s">
        <v>837</v>
      </c>
      <c r="D160" s="9" t="s">
        <v>94</v>
      </c>
      <c r="E160" s="9" t="s">
        <v>194</v>
      </c>
      <c r="F160" s="9"/>
      <c r="G160" s="38" t="s">
        <v>838</v>
      </c>
      <c r="H160" s="40" t="s">
        <v>839</v>
      </c>
      <c r="I160" s="9" t="str">
        <f>_xlfn.XLOOKUP(H160,'Alternative Tool Body Sheet'!A:A,'Alternative Tool Body Sheet'!C:C)</f>
        <v>16/18 DEF</v>
      </c>
      <c r="J160" s="9">
        <f t="shared" si="4"/>
        <v>5</v>
      </c>
      <c r="K160" s="9" t="s">
        <v>114</v>
      </c>
      <c r="L160" s="9">
        <v>16</v>
      </c>
      <c r="M160" s="9">
        <v>12</v>
      </c>
      <c r="N160" s="9">
        <v>25</v>
      </c>
      <c r="P160" s="9">
        <v>15</v>
      </c>
      <c r="Q160" s="9" t="s">
        <v>115</v>
      </c>
      <c r="R160" s="9">
        <v>14.5</v>
      </c>
      <c r="S160" s="9">
        <v>12.5</v>
      </c>
      <c r="T160" s="9">
        <v>12.35</v>
      </c>
      <c r="U160" s="9" t="s">
        <v>116</v>
      </c>
      <c r="V160" s="9">
        <v>15</v>
      </c>
      <c r="AA160" s="9">
        <v>48</v>
      </c>
      <c r="AN160" s="9">
        <v>750</v>
      </c>
      <c r="AO160" s="9">
        <v>66</v>
      </c>
      <c r="AQ160" s="9">
        <v>233</v>
      </c>
      <c r="AT160" s="9">
        <v>17</v>
      </c>
      <c r="AX160" s="9">
        <v>300</v>
      </c>
      <c r="AY160" s="9">
        <v>2000</v>
      </c>
      <c r="AZ160" s="9" t="s">
        <v>840</v>
      </c>
      <c r="BA160" s="9" t="s">
        <v>102</v>
      </c>
      <c r="BB160" s="9" t="s">
        <v>102</v>
      </c>
      <c r="BC160" s="9" t="s">
        <v>102</v>
      </c>
      <c r="BD160" s="9" t="s">
        <v>102</v>
      </c>
      <c r="BE160" s="9" t="s">
        <v>102</v>
      </c>
      <c r="BF160" s="9" t="s">
        <v>126</v>
      </c>
      <c r="BG160" s="9" t="s">
        <v>126</v>
      </c>
      <c r="BH160" s="9" t="s">
        <v>105</v>
      </c>
      <c r="BI160" s="9">
        <v>6</v>
      </c>
      <c r="BJ160" s="9">
        <v>2</v>
      </c>
      <c r="BK160" s="9">
        <v>2</v>
      </c>
      <c r="BL160" s="9">
        <v>18</v>
      </c>
      <c r="BM160" s="9">
        <v>4</v>
      </c>
      <c r="BN160" s="9">
        <v>8</v>
      </c>
      <c r="BO160" s="9">
        <v>6</v>
      </c>
      <c r="BP160" s="9">
        <v>6</v>
      </c>
      <c r="BQ160" s="9">
        <v>2</v>
      </c>
      <c r="BR160" s="9">
        <v>18</v>
      </c>
      <c r="BS160" s="9">
        <v>4</v>
      </c>
      <c r="BT160" s="9">
        <v>8</v>
      </c>
      <c r="BY160" s="8">
        <v>109067</v>
      </c>
      <c r="CI160" s="51"/>
      <c r="CJ160" s="8" t="b">
        <v>0</v>
      </c>
      <c r="CT160" s="8">
        <v>114875</v>
      </c>
    </row>
    <row r="161" spans="1:98" s="8" customFormat="1" x14ac:dyDescent="0.25">
      <c r="A161" s="13">
        <v>122641</v>
      </c>
      <c r="B161" s="9">
        <v>16</v>
      </c>
      <c r="C161" s="9" t="s">
        <v>841</v>
      </c>
      <c r="D161" s="9" t="s">
        <v>121</v>
      </c>
      <c r="E161" s="9" t="s">
        <v>331</v>
      </c>
      <c r="F161" s="9"/>
      <c r="G161" s="38" t="s">
        <v>842</v>
      </c>
      <c r="H161" s="40" t="s">
        <v>843</v>
      </c>
      <c r="I161" s="9" t="str">
        <f>_xlfn.XLOOKUP(H161,'Alternative Tool Body Sheet'!A:A,'Alternative Tool Body Sheet'!C:C)</f>
        <v>16 MDS</v>
      </c>
      <c r="J161" s="9">
        <f t="shared" si="4"/>
        <v>7</v>
      </c>
      <c r="K161" s="9" t="s">
        <v>114</v>
      </c>
      <c r="L161" s="9">
        <v>16</v>
      </c>
      <c r="M161" s="9">
        <v>13.6</v>
      </c>
      <c r="N161" s="9">
        <v>15</v>
      </c>
      <c r="P161" s="9">
        <v>15</v>
      </c>
      <c r="Q161" s="9" t="s">
        <v>115</v>
      </c>
      <c r="R161" s="9">
        <v>14.5</v>
      </c>
      <c r="U161" s="9" t="s">
        <v>99</v>
      </c>
      <c r="V161" s="9">
        <v>10</v>
      </c>
      <c r="W161" s="9">
        <v>10</v>
      </c>
      <c r="X161" s="9">
        <v>0.625</v>
      </c>
      <c r="Y161" s="9">
        <v>1</v>
      </c>
      <c r="Z161" s="9">
        <v>0.625</v>
      </c>
      <c r="AA161" s="9">
        <v>60</v>
      </c>
      <c r="AD161" s="9">
        <v>60</v>
      </c>
      <c r="AF161" s="9">
        <v>180</v>
      </c>
      <c r="AH161" s="9">
        <v>180</v>
      </c>
      <c r="AJ161" s="9">
        <v>396</v>
      </c>
      <c r="AN161" s="9">
        <v>750</v>
      </c>
      <c r="AO161" s="9">
        <v>142</v>
      </c>
      <c r="AQ161" s="9">
        <v>1400</v>
      </c>
      <c r="AT161" s="9">
        <v>15</v>
      </c>
      <c r="AX161" s="9">
        <v>375</v>
      </c>
      <c r="AY161" s="9">
        <v>2000</v>
      </c>
      <c r="AZ161" s="9" t="s">
        <v>844</v>
      </c>
      <c r="BA161" s="9" t="s">
        <v>102</v>
      </c>
      <c r="BB161" s="9" t="s">
        <v>102</v>
      </c>
      <c r="BC161" s="9" t="s">
        <v>102</v>
      </c>
      <c r="BD161" s="9" t="s">
        <v>102</v>
      </c>
      <c r="BE161" s="9" t="s">
        <v>102</v>
      </c>
      <c r="BF161" s="9" t="s">
        <v>118</v>
      </c>
      <c r="BG161" s="9" t="s">
        <v>118</v>
      </c>
      <c r="BH161" s="9" t="s">
        <v>105</v>
      </c>
      <c r="BI161" s="9">
        <v>12</v>
      </c>
      <c r="BJ161" s="9">
        <v>2</v>
      </c>
      <c r="BK161" s="9">
        <v>2</v>
      </c>
      <c r="BL161" s="9">
        <v>18</v>
      </c>
      <c r="BM161" s="9">
        <v>4</v>
      </c>
      <c r="BN161" s="9">
        <v>15</v>
      </c>
      <c r="BO161" s="9">
        <v>12</v>
      </c>
      <c r="BP161" s="9">
        <v>12</v>
      </c>
      <c r="BQ161" s="9">
        <v>2</v>
      </c>
      <c r="BR161" s="9">
        <v>18</v>
      </c>
      <c r="BS161" s="9">
        <v>4</v>
      </c>
      <c r="BT161" s="9">
        <v>15</v>
      </c>
      <c r="BX161" s="8">
        <v>108959</v>
      </c>
      <c r="BY161" s="8">
        <v>109845</v>
      </c>
      <c r="CD161" s="8">
        <v>120589</v>
      </c>
      <c r="CI161" s="51"/>
      <c r="CJ161" s="8" t="b">
        <v>0</v>
      </c>
      <c r="CT161" s="8">
        <v>122641</v>
      </c>
    </row>
    <row r="162" spans="1:98" s="8" customFormat="1" x14ac:dyDescent="0.25">
      <c r="A162" s="13">
        <v>113569</v>
      </c>
      <c r="B162" s="9">
        <v>16</v>
      </c>
      <c r="C162" s="9" t="s">
        <v>845</v>
      </c>
      <c r="D162" s="9" t="s">
        <v>94</v>
      </c>
      <c r="E162" s="9" t="s">
        <v>199</v>
      </c>
      <c r="F162" s="9"/>
      <c r="G162" s="38" t="s">
        <v>846</v>
      </c>
      <c r="H162" s="40" t="s">
        <v>847</v>
      </c>
      <c r="I162" s="9" t="str">
        <f>_xlfn.XLOOKUP(H162,'Alternative Tool Body Sheet'!A:A,'Alternative Tool Body Sheet'!C:C)</f>
        <v>16/18 MFL</v>
      </c>
      <c r="J162" s="9">
        <f t="shared" si="4"/>
        <v>5</v>
      </c>
      <c r="K162" s="9" t="s">
        <v>114</v>
      </c>
      <c r="L162" s="9">
        <v>16</v>
      </c>
      <c r="M162" s="9">
        <v>13.95</v>
      </c>
      <c r="N162" s="9">
        <v>12.81</v>
      </c>
      <c r="P162" s="9">
        <v>15</v>
      </c>
      <c r="Q162" s="9" t="s">
        <v>115</v>
      </c>
      <c r="R162" s="9">
        <v>15</v>
      </c>
      <c r="T162" s="9">
        <v>14.25</v>
      </c>
      <c r="U162" s="9" t="s">
        <v>116</v>
      </c>
      <c r="V162" s="9">
        <v>10</v>
      </c>
      <c r="W162" s="9">
        <v>10</v>
      </c>
      <c r="X162" s="9">
        <v>0.625</v>
      </c>
      <c r="Y162" s="9">
        <v>1</v>
      </c>
      <c r="Z162" s="9">
        <v>0.625</v>
      </c>
      <c r="AD162" s="9">
        <v>48</v>
      </c>
      <c r="AH162" s="9">
        <v>144</v>
      </c>
      <c r="AN162" s="9">
        <v>750</v>
      </c>
      <c r="AO162" s="9">
        <v>70</v>
      </c>
      <c r="AP162" s="9">
        <v>32</v>
      </c>
      <c r="AQ162" s="9">
        <v>580</v>
      </c>
      <c r="AR162" s="9">
        <v>100</v>
      </c>
      <c r="AS162" s="9">
        <v>0</v>
      </c>
      <c r="AT162" s="9">
        <v>59</v>
      </c>
      <c r="AY162" s="9">
        <v>2000</v>
      </c>
      <c r="BA162" s="9" t="s">
        <v>102</v>
      </c>
      <c r="BB162" s="9" t="s">
        <v>101</v>
      </c>
      <c r="BC162" s="9" t="s">
        <v>101</v>
      </c>
      <c r="BD162" s="9" t="s">
        <v>102</v>
      </c>
      <c r="BE162" s="9" t="s">
        <v>102</v>
      </c>
      <c r="BF162" s="9" t="s">
        <v>126</v>
      </c>
      <c r="BG162" s="9" t="s">
        <v>126</v>
      </c>
      <c r="BH162" s="9" t="s">
        <v>105</v>
      </c>
      <c r="BI162" s="9">
        <v>6</v>
      </c>
      <c r="BJ162" s="9">
        <v>2</v>
      </c>
      <c r="BK162" s="9">
        <v>2</v>
      </c>
      <c r="BL162" s="9">
        <v>18</v>
      </c>
      <c r="BM162" s="9">
        <v>4</v>
      </c>
      <c r="BN162" s="9">
        <v>8</v>
      </c>
      <c r="BO162" s="9">
        <v>6</v>
      </c>
      <c r="BP162" s="9">
        <v>6</v>
      </c>
      <c r="BQ162" s="9">
        <v>2</v>
      </c>
      <c r="BR162" s="9">
        <v>18</v>
      </c>
      <c r="BS162" s="9">
        <v>4</v>
      </c>
      <c r="BT162" s="9">
        <v>8</v>
      </c>
      <c r="BX162" s="8" t="s">
        <v>806</v>
      </c>
      <c r="CI162" s="51"/>
      <c r="CJ162" s="8" t="b">
        <v>0</v>
      </c>
      <c r="CT162" s="8">
        <v>113569</v>
      </c>
    </row>
    <row r="163" spans="1:98" s="8" customFormat="1" x14ac:dyDescent="0.25">
      <c r="A163" s="24" t="s">
        <v>848</v>
      </c>
      <c r="B163" s="12">
        <v>16</v>
      </c>
      <c r="C163" s="12" t="s">
        <v>849</v>
      </c>
      <c r="D163" s="12" t="s">
        <v>469</v>
      </c>
      <c r="E163" s="12" t="s">
        <v>469</v>
      </c>
      <c r="F163" s="12"/>
      <c r="G163" s="37" t="s">
        <v>813</v>
      </c>
      <c r="H163" s="50" t="s">
        <v>814</v>
      </c>
      <c r="I163" s="9" t="str">
        <f>_xlfn.XLOOKUP(H163,'Alternative Tool Body Sheet'!A:A,'Alternative Tool Body Sheet'!C:C)</f>
        <v>16 EMAT</v>
      </c>
      <c r="J163" s="12">
        <f t="shared" si="4"/>
        <v>7</v>
      </c>
      <c r="K163" s="12" t="s">
        <v>98</v>
      </c>
      <c r="L163" s="12">
        <v>16</v>
      </c>
      <c r="M163" s="12">
        <v>14</v>
      </c>
      <c r="N163" s="12">
        <v>12.5</v>
      </c>
      <c r="O163" s="12">
        <v>14.56</v>
      </c>
      <c r="P163" s="12">
        <v>14.56</v>
      </c>
      <c r="Q163" s="12" t="s">
        <v>115</v>
      </c>
      <c r="R163" s="12">
        <v>14.5</v>
      </c>
      <c r="S163" s="12">
        <v>14.5</v>
      </c>
      <c r="T163" s="12">
        <v>14.5</v>
      </c>
      <c r="U163" s="12" t="s">
        <v>99</v>
      </c>
      <c r="V163" s="12">
        <v>7.3</v>
      </c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>
        <v>750</v>
      </c>
      <c r="AO163" s="12">
        <v>162.5</v>
      </c>
      <c r="AP163" s="12">
        <v>26</v>
      </c>
      <c r="AQ163" s="12">
        <v>1190</v>
      </c>
      <c r="AR163" s="12">
        <v>87</v>
      </c>
      <c r="AS163" s="12"/>
      <c r="AT163" s="12">
        <v>83</v>
      </c>
      <c r="AU163" s="12"/>
      <c r="AV163" s="12"/>
      <c r="AW163" s="12"/>
      <c r="AX163" s="12">
        <v>400</v>
      </c>
      <c r="AY163" s="12">
        <v>2000</v>
      </c>
      <c r="AZ163" s="12" t="s">
        <v>850</v>
      </c>
      <c r="BA163" s="12" t="s">
        <v>102</v>
      </c>
      <c r="BB163" s="12" t="s">
        <v>102</v>
      </c>
      <c r="BC163" s="12" t="s">
        <v>102</v>
      </c>
      <c r="BD163" s="12" t="s">
        <v>102</v>
      </c>
      <c r="BE163" s="12" t="s">
        <v>102</v>
      </c>
      <c r="BF163" s="12" t="s">
        <v>118</v>
      </c>
      <c r="BG163" s="12" t="s">
        <v>118</v>
      </c>
      <c r="BH163" s="12" t="s">
        <v>105</v>
      </c>
      <c r="BI163" s="12">
        <v>14</v>
      </c>
      <c r="BJ163" s="12">
        <v>2</v>
      </c>
      <c r="BK163" s="12">
        <v>2</v>
      </c>
      <c r="BL163" s="12">
        <v>18</v>
      </c>
      <c r="BM163" s="12">
        <v>4</v>
      </c>
      <c r="BN163" s="12">
        <v>19</v>
      </c>
      <c r="BO163" s="12">
        <v>14</v>
      </c>
      <c r="BP163" s="12">
        <v>14</v>
      </c>
      <c r="BQ163" s="12">
        <v>2</v>
      </c>
      <c r="BR163" s="12">
        <v>18</v>
      </c>
      <c r="BS163" s="12">
        <v>4</v>
      </c>
      <c r="BT163" s="12">
        <v>19</v>
      </c>
      <c r="CF163" s="8">
        <v>123590</v>
      </c>
      <c r="CI163" s="51"/>
      <c r="CJ163" s="8" t="b">
        <v>0</v>
      </c>
      <c r="CT163" s="8" t="s">
        <v>848</v>
      </c>
    </row>
    <row r="164" spans="1:98" s="8" customFormat="1" x14ac:dyDescent="0.25">
      <c r="A164" s="13"/>
      <c r="B164" s="9">
        <v>16</v>
      </c>
      <c r="C164" s="9" t="s">
        <v>851</v>
      </c>
      <c r="D164" s="9" t="s">
        <v>121</v>
      </c>
      <c r="E164" s="9" t="s">
        <v>286</v>
      </c>
      <c r="F164" s="9"/>
      <c r="G164" s="33" t="s">
        <v>852</v>
      </c>
      <c r="H164" s="40" t="s">
        <v>853</v>
      </c>
      <c r="I164" s="9" t="str">
        <f>_xlfn.XLOOKUP(H164,'Alternative Tool Body Sheet'!A:A,'Alternative Tool Body Sheet'!C:C)</f>
        <v>16 MDS</v>
      </c>
      <c r="J164" s="9">
        <f t="shared" si="4"/>
        <v>7</v>
      </c>
      <c r="K164" s="9" t="s">
        <v>114</v>
      </c>
      <c r="L164" s="9">
        <v>16</v>
      </c>
      <c r="M164" s="9">
        <v>13.6</v>
      </c>
      <c r="N164" s="9">
        <v>15</v>
      </c>
      <c r="P164" s="9">
        <v>15</v>
      </c>
      <c r="Q164" s="9" t="s">
        <v>115</v>
      </c>
      <c r="R164" s="9">
        <v>14.5</v>
      </c>
      <c r="U164" s="9" t="s">
        <v>99</v>
      </c>
      <c r="V164" s="9">
        <v>10</v>
      </c>
      <c r="W164" s="9">
        <v>10</v>
      </c>
      <c r="X164" s="9">
        <v>0.625</v>
      </c>
      <c r="Y164" s="9">
        <v>1</v>
      </c>
      <c r="Z164" s="9">
        <v>0.625</v>
      </c>
      <c r="AA164" s="9">
        <v>60</v>
      </c>
      <c r="AD164" s="9">
        <v>60</v>
      </c>
      <c r="AF164" s="9">
        <v>180</v>
      </c>
      <c r="AH164" s="9">
        <v>360</v>
      </c>
      <c r="AN164" s="9">
        <v>750</v>
      </c>
      <c r="AO164" s="9">
        <v>113</v>
      </c>
      <c r="AQ164" s="9">
        <v>1050</v>
      </c>
      <c r="AT164" s="9">
        <v>19</v>
      </c>
      <c r="AV164" s="9">
        <v>23.52</v>
      </c>
      <c r="AW164" s="9">
        <v>1.96</v>
      </c>
      <c r="AX164" s="9">
        <v>375</v>
      </c>
      <c r="AY164" s="9">
        <v>2000</v>
      </c>
      <c r="AZ164" s="9" t="s">
        <v>854</v>
      </c>
      <c r="BA164" s="9" t="s">
        <v>102</v>
      </c>
      <c r="BB164" s="9" t="s">
        <v>102</v>
      </c>
      <c r="BC164" s="9" t="s">
        <v>101</v>
      </c>
      <c r="BD164" s="9" t="s">
        <v>102</v>
      </c>
      <c r="BE164" s="9" t="s">
        <v>101</v>
      </c>
      <c r="BF164" s="9" t="s">
        <v>118</v>
      </c>
      <c r="BG164" s="9" t="s">
        <v>792</v>
      </c>
      <c r="BH164" s="9" t="s">
        <v>105</v>
      </c>
      <c r="BI164" s="9">
        <v>10</v>
      </c>
      <c r="BJ164" s="9">
        <v>2</v>
      </c>
      <c r="BK164" s="9">
        <v>2</v>
      </c>
      <c r="BL164" s="9">
        <v>18</v>
      </c>
      <c r="BM164" s="9">
        <v>4</v>
      </c>
      <c r="BN164" s="9">
        <v>13</v>
      </c>
      <c r="BO164" s="9">
        <v>10</v>
      </c>
      <c r="BP164" s="9">
        <v>10</v>
      </c>
      <c r="BQ164" s="9">
        <v>2</v>
      </c>
      <c r="BR164" s="9">
        <v>18</v>
      </c>
      <c r="BS164" s="9">
        <v>4</v>
      </c>
      <c r="BT164" s="9">
        <v>13</v>
      </c>
      <c r="BX164" s="8">
        <v>129898</v>
      </c>
      <c r="BY164" s="8">
        <v>109845</v>
      </c>
      <c r="CI164" s="51"/>
      <c r="CJ164" s="8" t="b">
        <v>0</v>
      </c>
      <c r="CT164" s="8">
        <v>130180</v>
      </c>
    </row>
    <row r="165" spans="1:98" s="8" customFormat="1" x14ac:dyDescent="0.25">
      <c r="A165" s="13">
        <v>109248</v>
      </c>
      <c r="B165" s="9">
        <v>16</v>
      </c>
      <c r="C165" s="9" t="s">
        <v>855</v>
      </c>
      <c r="D165" s="9" t="s">
        <v>94</v>
      </c>
      <c r="E165" s="9" t="s">
        <v>349</v>
      </c>
      <c r="F165" s="9"/>
      <c r="G165" s="33" t="s">
        <v>856</v>
      </c>
      <c r="H165" s="47" t="s">
        <v>857</v>
      </c>
      <c r="I165" s="9" t="str">
        <f>_xlfn.XLOOKUP(H165,'Alternative Tool Body Sheet'!A:A,'Alternative Tool Body Sheet'!C:C)</f>
        <v>16 GDEF</v>
      </c>
      <c r="J165" s="9">
        <f t="shared" si="4"/>
        <v>5</v>
      </c>
      <c r="K165" s="9" t="s">
        <v>114</v>
      </c>
      <c r="L165" s="9">
        <v>16</v>
      </c>
      <c r="M165" s="9">
        <v>12</v>
      </c>
      <c r="P165" s="9">
        <v>15</v>
      </c>
      <c r="Q165" s="9" t="s">
        <v>115</v>
      </c>
      <c r="R165" s="9">
        <v>14.5</v>
      </c>
      <c r="S165" s="9">
        <v>12.5</v>
      </c>
      <c r="T165" s="9">
        <v>12.35</v>
      </c>
      <c r="U165" s="9" t="s">
        <v>116</v>
      </c>
      <c r="V165" s="9">
        <v>10</v>
      </c>
      <c r="W165" s="9">
        <v>10</v>
      </c>
      <c r="X165" s="9">
        <v>0.45500000000000002</v>
      </c>
      <c r="Y165" s="9">
        <v>1</v>
      </c>
      <c r="Z165" s="9">
        <v>0.5</v>
      </c>
      <c r="AA165" s="9">
        <v>48</v>
      </c>
      <c r="AC165" s="9">
        <v>144</v>
      </c>
      <c r="AD165" s="9">
        <v>48</v>
      </c>
      <c r="AN165" s="9">
        <v>750</v>
      </c>
      <c r="AO165" s="9">
        <v>95</v>
      </c>
      <c r="AQ165" s="9">
        <v>544</v>
      </c>
      <c r="AS165" s="9">
        <v>0</v>
      </c>
      <c r="AT165" s="9">
        <v>35</v>
      </c>
      <c r="AX165" s="9">
        <v>300</v>
      </c>
      <c r="AY165" s="9">
        <v>2000</v>
      </c>
      <c r="AZ165" s="9" t="s">
        <v>858</v>
      </c>
      <c r="BA165" s="9" t="s">
        <v>102</v>
      </c>
      <c r="BB165" s="9" t="s">
        <v>102</v>
      </c>
      <c r="BC165" s="9" t="s">
        <v>102</v>
      </c>
      <c r="BD165" s="9" t="s">
        <v>102</v>
      </c>
      <c r="BE165" s="9" t="s">
        <v>102</v>
      </c>
      <c r="BF165" s="9" t="s">
        <v>118</v>
      </c>
      <c r="BG165" s="9" t="s">
        <v>118</v>
      </c>
      <c r="BH165" s="9" t="s">
        <v>105</v>
      </c>
      <c r="BI165" s="9">
        <v>8</v>
      </c>
      <c r="BJ165" s="9">
        <v>2</v>
      </c>
      <c r="BK165" s="9">
        <v>2</v>
      </c>
      <c r="BL165" s="9">
        <v>18</v>
      </c>
      <c r="BM165" s="9">
        <v>4</v>
      </c>
      <c r="BN165" s="9">
        <v>10</v>
      </c>
      <c r="BO165" s="9">
        <v>8</v>
      </c>
      <c r="BP165" s="9">
        <v>8</v>
      </c>
      <c r="BQ165" s="9">
        <v>2</v>
      </c>
      <c r="BR165" s="9">
        <v>18</v>
      </c>
      <c r="BS165" s="9">
        <v>4</v>
      </c>
      <c r="BT165" s="9">
        <v>10</v>
      </c>
      <c r="BY165" s="8">
        <v>109176</v>
      </c>
      <c r="CI165" s="51">
        <v>109250</v>
      </c>
      <c r="CJ165" s="8" t="b">
        <v>0</v>
      </c>
      <c r="CT165" s="8">
        <v>109248</v>
      </c>
    </row>
    <row r="166" spans="1:98" s="8" customFormat="1" x14ac:dyDescent="0.25">
      <c r="A166" s="13">
        <v>130181</v>
      </c>
      <c r="B166" s="9">
        <v>16</v>
      </c>
      <c r="C166" s="9" t="s">
        <v>859</v>
      </c>
      <c r="D166" s="9" t="s">
        <v>121</v>
      </c>
      <c r="E166" s="9" t="s">
        <v>390</v>
      </c>
      <c r="F166" s="9"/>
      <c r="G166" s="33" t="s">
        <v>860</v>
      </c>
      <c r="H166" s="47" t="s">
        <v>861</v>
      </c>
      <c r="I166" s="9" t="str">
        <f>_xlfn.XLOOKUP(H166,'Alternative Tool Body Sheet'!A:A,'Alternative Tool Body Sheet'!C:C)</f>
        <v>16 MDS</v>
      </c>
      <c r="J166" s="9">
        <f t="shared" si="4"/>
        <v>7</v>
      </c>
      <c r="K166" s="9" t="s">
        <v>114</v>
      </c>
      <c r="L166" s="9">
        <v>16</v>
      </c>
      <c r="M166" s="9">
        <v>13.6</v>
      </c>
      <c r="N166" s="9">
        <v>15</v>
      </c>
      <c r="P166" s="9">
        <v>15</v>
      </c>
      <c r="Q166" s="9" t="s">
        <v>115</v>
      </c>
      <c r="R166" s="9">
        <v>14.5</v>
      </c>
      <c r="U166" s="9" t="s">
        <v>99</v>
      </c>
      <c r="V166" s="9">
        <v>10</v>
      </c>
      <c r="W166" s="9">
        <v>10</v>
      </c>
      <c r="X166" s="9">
        <v>0.625</v>
      </c>
      <c r="Y166" s="9">
        <v>1</v>
      </c>
      <c r="Z166" s="9">
        <v>0.625</v>
      </c>
      <c r="AA166" s="9">
        <v>60</v>
      </c>
      <c r="AD166" s="9">
        <v>60</v>
      </c>
      <c r="AF166" s="9">
        <v>180</v>
      </c>
      <c r="AH166" s="9">
        <v>360</v>
      </c>
      <c r="AN166" s="9">
        <v>750</v>
      </c>
      <c r="AO166" s="9">
        <v>113</v>
      </c>
      <c r="AQ166" s="9">
        <v>885</v>
      </c>
      <c r="AS166" s="9">
        <v>0</v>
      </c>
      <c r="AT166" s="9">
        <v>50</v>
      </c>
      <c r="AX166" s="9">
        <v>375</v>
      </c>
      <c r="AY166" s="9">
        <v>2000</v>
      </c>
      <c r="AZ166" s="9" t="s">
        <v>862</v>
      </c>
      <c r="BA166" s="9" t="s">
        <v>102</v>
      </c>
      <c r="BB166" s="9" t="s">
        <v>102</v>
      </c>
      <c r="BC166" s="9" t="s">
        <v>101</v>
      </c>
      <c r="BD166" s="9" t="s">
        <v>102</v>
      </c>
      <c r="BE166" s="9" t="s">
        <v>101</v>
      </c>
      <c r="BF166" s="9" t="s">
        <v>118</v>
      </c>
      <c r="BG166" s="9" t="s">
        <v>118</v>
      </c>
      <c r="BH166" s="9" t="s">
        <v>105</v>
      </c>
      <c r="BI166" s="9">
        <v>10</v>
      </c>
      <c r="BJ166" s="9">
        <v>2</v>
      </c>
      <c r="BK166" s="9">
        <v>2</v>
      </c>
      <c r="BL166" s="9">
        <v>18</v>
      </c>
      <c r="BM166" s="9">
        <v>4</v>
      </c>
      <c r="BN166" s="9">
        <v>13</v>
      </c>
      <c r="BO166" s="9">
        <v>10</v>
      </c>
      <c r="BP166" s="9">
        <v>10</v>
      </c>
      <c r="BQ166" s="9">
        <v>2</v>
      </c>
      <c r="BR166" s="9">
        <v>18</v>
      </c>
      <c r="BS166" s="9">
        <v>4</v>
      </c>
      <c r="BT166" s="9">
        <v>13</v>
      </c>
      <c r="BX166" s="8">
        <v>129898</v>
      </c>
      <c r="BY166" s="8">
        <v>109845</v>
      </c>
      <c r="CI166" s="51"/>
      <c r="CJ166" s="8" t="b">
        <v>0</v>
      </c>
      <c r="CT166" s="8">
        <v>130181</v>
      </c>
    </row>
    <row r="167" spans="1:98" s="8" customFormat="1" x14ac:dyDescent="0.25">
      <c r="A167" s="13">
        <v>129302</v>
      </c>
      <c r="B167" s="9">
        <v>16</v>
      </c>
      <c r="C167" s="9" t="s">
        <v>863</v>
      </c>
      <c r="D167" s="9" t="s">
        <v>121</v>
      </c>
      <c r="E167" s="9" t="s">
        <v>122</v>
      </c>
      <c r="F167" s="9"/>
      <c r="G167" s="33" t="s">
        <v>864</v>
      </c>
      <c r="H167" s="47" t="s">
        <v>865</v>
      </c>
      <c r="I167" s="9" t="str">
        <f>_xlfn.XLOOKUP(H167,'Alternative Tool Body Sheet'!A:A,'Alternative Tool Body Sheet'!C:C)</f>
        <v>16 MDS</v>
      </c>
      <c r="J167" s="9">
        <f t="shared" si="4"/>
        <v>7</v>
      </c>
      <c r="K167" s="9" t="s">
        <v>114</v>
      </c>
      <c r="L167" s="9">
        <v>16</v>
      </c>
      <c r="M167" s="9">
        <v>13.6</v>
      </c>
      <c r="Q167" s="9" t="s">
        <v>115</v>
      </c>
      <c r="R167" s="9">
        <v>14.5</v>
      </c>
      <c r="U167" s="9" t="s">
        <v>99</v>
      </c>
      <c r="V167" s="9">
        <v>10</v>
      </c>
      <c r="W167" s="9">
        <v>10</v>
      </c>
      <c r="X167" s="9">
        <v>0.625</v>
      </c>
      <c r="Y167" s="9">
        <v>1</v>
      </c>
      <c r="Z167" s="9">
        <v>0.625</v>
      </c>
      <c r="AA167" s="9">
        <v>60</v>
      </c>
      <c r="AB167" s="9">
        <v>180</v>
      </c>
      <c r="AD167" s="9">
        <v>60</v>
      </c>
      <c r="AN167" s="9">
        <v>750</v>
      </c>
      <c r="AO167" s="9">
        <v>113</v>
      </c>
      <c r="AQ167" s="9">
        <v>726</v>
      </c>
      <c r="AT167" s="9">
        <v>150</v>
      </c>
      <c r="AX167" s="9">
        <v>375</v>
      </c>
      <c r="AY167" s="9">
        <v>2000</v>
      </c>
      <c r="AZ167" s="9" t="s">
        <v>866</v>
      </c>
      <c r="BA167" s="9" t="s">
        <v>102</v>
      </c>
      <c r="BB167" s="9" t="s">
        <v>101</v>
      </c>
      <c r="BC167" s="9" t="s">
        <v>101</v>
      </c>
      <c r="BD167" s="9" t="s">
        <v>101</v>
      </c>
      <c r="BE167" s="9" t="s">
        <v>102</v>
      </c>
      <c r="BF167" s="9" t="s">
        <v>118</v>
      </c>
      <c r="BG167" s="9" t="s">
        <v>118</v>
      </c>
      <c r="BH167" s="9" t="s">
        <v>105</v>
      </c>
      <c r="BI167" s="9">
        <v>10</v>
      </c>
      <c r="BJ167" s="9">
        <v>2</v>
      </c>
      <c r="BK167" s="9">
        <v>2</v>
      </c>
      <c r="BL167" s="9">
        <v>18</v>
      </c>
      <c r="BM167" s="9">
        <v>4</v>
      </c>
      <c r="BN167" s="9">
        <v>13</v>
      </c>
      <c r="BO167" s="9">
        <v>10</v>
      </c>
      <c r="BP167" s="9">
        <v>10</v>
      </c>
      <c r="BQ167" s="9">
        <v>2</v>
      </c>
      <c r="BR167" s="9">
        <v>18</v>
      </c>
      <c r="BS167" s="9">
        <v>4</v>
      </c>
      <c r="BT167" s="9">
        <v>13</v>
      </c>
      <c r="BX167" s="8">
        <v>108959</v>
      </c>
      <c r="BY167" s="8">
        <v>109845</v>
      </c>
      <c r="CI167" s="51"/>
      <c r="CJ167" s="8" t="b">
        <v>0</v>
      </c>
      <c r="CT167" s="8">
        <v>129302</v>
      </c>
    </row>
    <row r="168" spans="1:98" s="8" customFormat="1" x14ac:dyDescent="0.25">
      <c r="A168" s="13">
        <v>130182</v>
      </c>
      <c r="B168" s="9">
        <v>16</v>
      </c>
      <c r="C168" s="9" t="s">
        <v>867</v>
      </c>
      <c r="D168" s="9" t="s">
        <v>121</v>
      </c>
      <c r="E168" s="9" t="s">
        <v>212</v>
      </c>
      <c r="F168" s="9"/>
      <c r="G168" s="38" t="s">
        <v>868</v>
      </c>
      <c r="H168" s="40" t="s">
        <v>869</v>
      </c>
      <c r="I168" s="9" t="str">
        <f>_xlfn.XLOOKUP(H168,'Alternative Tool Body Sheet'!A:A,'Alternative Tool Body Sheet'!C:C)</f>
        <v>16 MDS</v>
      </c>
      <c r="J168" s="9">
        <f t="shared" si="4"/>
        <v>7</v>
      </c>
      <c r="K168" s="9" t="s">
        <v>114</v>
      </c>
      <c r="L168" s="9">
        <v>16</v>
      </c>
      <c r="M168" s="9">
        <v>13.6</v>
      </c>
      <c r="Q168" s="9" t="s">
        <v>115</v>
      </c>
      <c r="R168" s="9">
        <v>14.5</v>
      </c>
      <c r="U168" s="9" t="s">
        <v>99</v>
      </c>
      <c r="V168" s="9">
        <v>10</v>
      </c>
      <c r="W168" s="9">
        <v>10</v>
      </c>
      <c r="X168" s="9">
        <v>0.625</v>
      </c>
      <c r="Y168" s="9">
        <v>1</v>
      </c>
      <c r="Z168" s="9">
        <v>0.625</v>
      </c>
      <c r="AA168" s="9">
        <v>60</v>
      </c>
      <c r="AD168" s="9">
        <v>60</v>
      </c>
      <c r="AH168" s="9">
        <v>360</v>
      </c>
      <c r="AN168" s="9">
        <v>750</v>
      </c>
      <c r="AO168" s="9">
        <v>113</v>
      </c>
      <c r="AQ168" s="9">
        <v>746</v>
      </c>
      <c r="AT168" s="9">
        <v>23</v>
      </c>
      <c r="AX168" s="9">
        <v>375</v>
      </c>
      <c r="AY168" s="9">
        <v>2000</v>
      </c>
      <c r="AZ168" s="9" t="s">
        <v>870</v>
      </c>
      <c r="BA168" s="9" t="s">
        <v>102</v>
      </c>
      <c r="BB168" s="9" t="s">
        <v>101</v>
      </c>
      <c r="BC168" s="9" t="s">
        <v>101</v>
      </c>
      <c r="BD168" s="9" t="s">
        <v>101</v>
      </c>
      <c r="BE168" s="9" t="s">
        <v>102</v>
      </c>
      <c r="BF168" s="9" t="s">
        <v>118</v>
      </c>
      <c r="BG168" s="9" t="s">
        <v>118</v>
      </c>
      <c r="BH168" s="9" t="s">
        <v>105</v>
      </c>
      <c r="BI168" s="9">
        <v>10</v>
      </c>
      <c r="BJ168" s="9">
        <v>2</v>
      </c>
      <c r="BK168" s="9">
        <v>2</v>
      </c>
      <c r="BL168" s="9">
        <v>18</v>
      </c>
      <c r="BM168" s="9">
        <v>4</v>
      </c>
      <c r="BN168" s="9">
        <v>13</v>
      </c>
      <c r="BO168" s="9">
        <v>10</v>
      </c>
      <c r="BP168" s="9">
        <v>10</v>
      </c>
      <c r="BQ168" s="9">
        <v>2</v>
      </c>
      <c r="BR168" s="9">
        <v>18</v>
      </c>
      <c r="BS168" s="9">
        <v>4</v>
      </c>
      <c r="BT168" s="9">
        <v>13</v>
      </c>
      <c r="BX168" s="8">
        <v>129898</v>
      </c>
      <c r="BY168" s="8">
        <v>109845</v>
      </c>
      <c r="CI168" s="51"/>
      <c r="CJ168" s="8" t="b">
        <v>0</v>
      </c>
      <c r="CT168" s="8">
        <v>130182</v>
      </c>
    </row>
    <row r="169" spans="1:98" s="8" customFormat="1" x14ac:dyDescent="0.25">
      <c r="A169" s="13">
        <v>114530</v>
      </c>
      <c r="B169" s="9">
        <v>16</v>
      </c>
      <c r="C169" s="9" t="s">
        <v>871</v>
      </c>
      <c r="D169" s="9" t="s">
        <v>94</v>
      </c>
      <c r="E169" s="9" t="s">
        <v>421</v>
      </c>
      <c r="F169" s="9"/>
      <c r="G169" s="33" t="s">
        <v>872</v>
      </c>
      <c r="H169" s="47" t="s">
        <v>873</v>
      </c>
      <c r="I169" s="9" t="str">
        <f>_xlfn.XLOOKUP(H169,'Alternative Tool Body Sheet'!A:A,'Alternative Tool Body Sheet'!C:C)</f>
        <v>16 GDEF</v>
      </c>
      <c r="J169" s="9">
        <f t="shared" si="4"/>
        <v>5</v>
      </c>
      <c r="K169" s="9" t="s">
        <v>114</v>
      </c>
      <c r="L169" s="9">
        <v>16</v>
      </c>
      <c r="M169" s="9">
        <v>12</v>
      </c>
      <c r="N169" s="9">
        <v>25</v>
      </c>
      <c r="P169" s="9">
        <v>15</v>
      </c>
      <c r="Q169" s="9" t="s">
        <v>115</v>
      </c>
      <c r="R169" s="9">
        <v>14.5</v>
      </c>
      <c r="T169" s="9">
        <v>12.35</v>
      </c>
      <c r="U169" s="9" t="s">
        <v>116</v>
      </c>
      <c r="V169" s="9">
        <v>10</v>
      </c>
      <c r="W169" s="9">
        <v>10</v>
      </c>
      <c r="X169" s="9">
        <v>0.45500000000000002</v>
      </c>
      <c r="Y169" s="9">
        <v>1</v>
      </c>
      <c r="Z169" s="9">
        <v>0.5</v>
      </c>
      <c r="AA169" s="9">
        <v>48</v>
      </c>
      <c r="AC169" s="9">
        <v>144</v>
      </c>
      <c r="AD169" s="9">
        <v>48</v>
      </c>
      <c r="AN169" s="9">
        <v>750</v>
      </c>
      <c r="AO169" s="9">
        <v>94</v>
      </c>
      <c r="AP169" s="9">
        <v>32</v>
      </c>
      <c r="AQ169" s="9">
        <v>560</v>
      </c>
      <c r="AR169" s="9">
        <v>100</v>
      </c>
      <c r="AS169" s="9">
        <v>0</v>
      </c>
      <c r="AT169" s="9">
        <v>0</v>
      </c>
      <c r="AY169" s="9">
        <v>2000</v>
      </c>
      <c r="BA169" s="9" t="s">
        <v>102</v>
      </c>
      <c r="BB169" s="9" t="s">
        <v>101</v>
      </c>
      <c r="BC169" s="9" t="s">
        <v>101</v>
      </c>
      <c r="BD169" s="9" t="s">
        <v>102</v>
      </c>
      <c r="BE169" s="9" t="s">
        <v>102</v>
      </c>
      <c r="BF169" s="9" t="s">
        <v>126</v>
      </c>
      <c r="BG169" s="9" t="s">
        <v>126</v>
      </c>
      <c r="BH169" s="9" t="s">
        <v>105</v>
      </c>
      <c r="BI169" s="9">
        <v>8</v>
      </c>
      <c r="BJ169" s="9">
        <v>2</v>
      </c>
      <c r="BK169" s="9">
        <v>2</v>
      </c>
      <c r="BL169" s="9">
        <v>18</v>
      </c>
      <c r="BM169" s="9">
        <v>4</v>
      </c>
      <c r="BN169" s="9">
        <v>10</v>
      </c>
      <c r="BO169" s="9">
        <v>8</v>
      </c>
      <c r="BP169" s="9">
        <v>8</v>
      </c>
      <c r="BQ169" s="9">
        <v>2</v>
      </c>
      <c r="BR169" s="9">
        <v>18</v>
      </c>
      <c r="BS169" s="9">
        <v>4</v>
      </c>
      <c r="BT169" s="9">
        <v>10</v>
      </c>
      <c r="BY169" s="8">
        <v>109176</v>
      </c>
      <c r="CI169" s="51">
        <v>109250</v>
      </c>
      <c r="CJ169" s="8" t="b">
        <v>0</v>
      </c>
      <c r="CT169" s="8">
        <v>114530</v>
      </c>
    </row>
    <row r="170" spans="1:98" s="8" customFormat="1" x14ac:dyDescent="0.25">
      <c r="A170" s="13">
        <v>109576</v>
      </c>
      <c r="B170" s="9">
        <v>16</v>
      </c>
      <c r="C170" s="9" t="s">
        <v>874</v>
      </c>
      <c r="D170" s="9" t="s">
        <v>121</v>
      </c>
      <c r="E170" s="9" t="s">
        <v>410</v>
      </c>
      <c r="F170" s="9"/>
      <c r="G170" s="33" t="s">
        <v>875</v>
      </c>
      <c r="H170" s="47" t="s">
        <v>876</v>
      </c>
      <c r="I170" s="9" t="s">
        <v>877</v>
      </c>
      <c r="J170" s="9">
        <f t="shared" si="4"/>
        <v>7</v>
      </c>
      <c r="K170" s="9" t="s">
        <v>114</v>
      </c>
      <c r="L170" s="9">
        <v>16</v>
      </c>
      <c r="M170" s="9">
        <v>13.6</v>
      </c>
      <c r="N170" s="9">
        <v>15</v>
      </c>
      <c r="P170" s="9">
        <v>15</v>
      </c>
      <c r="Q170" s="9" t="s">
        <v>115</v>
      </c>
      <c r="R170" s="9">
        <v>14.5</v>
      </c>
      <c r="U170" s="9" t="s">
        <v>99</v>
      </c>
      <c r="V170" s="9">
        <v>10</v>
      </c>
      <c r="W170" s="9">
        <v>10</v>
      </c>
      <c r="X170" s="9">
        <v>0.625</v>
      </c>
      <c r="Y170" s="9">
        <v>1</v>
      </c>
      <c r="Z170" s="9">
        <v>0.625</v>
      </c>
      <c r="AA170" s="9">
        <v>60</v>
      </c>
      <c r="AB170" s="9">
        <v>180</v>
      </c>
      <c r="AD170" s="9">
        <v>60</v>
      </c>
      <c r="AF170" s="9">
        <v>180</v>
      </c>
      <c r="AN170" s="9">
        <v>750</v>
      </c>
      <c r="AO170" s="9">
        <v>113</v>
      </c>
      <c r="AQ170" s="9">
        <v>1050</v>
      </c>
      <c r="AT170" s="9">
        <v>60</v>
      </c>
      <c r="AV170" s="9">
        <v>23.52</v>
      </c>
      <c r="AW170" s="9">
        <v>1.96</v>
      </c>
      <c r="AX170" s="9">
        <v>375</v>
      </c>
      <c r="AY170" s="9">
        <v>2000</v>
      </c>
      <c r="AZ170" s="9" t="s">
        <v>878</v>
      </c>
      <c r="BA170" s="9" t="s">
        <v>102</v>
      </c>
      <c r="BB170" s="9" t="s">
        <v>102</v>
      </c>
      <c r="BC170" s="9" t="s">
        <v>101</v>
      </c>
      <c r="BD170" s="9" t="s">
        <v>102</v>
      </c>
      <c r="BE170" s="9" t="s">
        <v>101</v>
      </c>
      <c r="BF170" s="9" t="s">
        <v>118</v>
      </c>
      <c r="BG170" s="9" t="s">
        <v>792</v>
      </c>
      <c r="BH170" s="9" t="s">
        <v>105</v>
      </c>
      <c r="BI170" s="9">
        <v>10</v>
      </c>
      <c r="BJ170" s="9">
        <v>2</v>
      </c>
      <c r="BK170" s="9">
        <v>2</v>
      </c>
      <c r="BL170" s="9">
        <v>18</v>
      </c>
      <c r="BM170" s="9">
        <v>4</v>
      </c>
      <c r="BN170" s="9">
        <v>13</v>
      </c>
      <c r="BO170" s="9">
        <v>10</v>
      </c>
      <c r="BP170" s="9">
        <v>10</v>
      </c>
      <c r="BQ170" s="9">
        <v>2</v>
      </c>
      <c r="BR170" s="9">
        <v>18</v>
      </c>
      <c r="BS170" s="9">
        <v>4</v>
      </c>
      <c r="BT170" s="9">
        <v>13</v>
      </c>
      <c r="BX170" s="8">
        <v>108959</v>
      </c>
      <c r="BY170" s="8">
        <v>109845</v>
      </c>
      <c r="CI170" s="51"/>
      <c r="CJ170" s="8" t="b">
        <v>0</v>
      </c>
      <c r="CT170" s="8">
        <v>109576</v>
      </c>
    </row>
    <row r="171" spans="1:98" s="8" customFormat="1" x14ac:dyDescent="0.25">
      <c r="A171" s="13">
        <v>130178</v>
      </c>
      <c r="B171" s="9">
        <v>16</v>
      </c>
      <c r="C171" s="9" t="s">
        <v>879</v>
      </c>
      <c r="D171" s="9" t="s">
        <v>121</v>
      </c>
      <c r="E171" s="9" t="s">
        <v>331</v>
      </c>
      <c r="F171" s="9"/>
      <c r="G171" s="33" t="s">
        <v>821</v>
      </c>
      <c r="H171" s="47" t="s">
        <v>880</v>
      </c>
      <c r="I171" s="9" t="s">
        <v>877</v>
      </c>
      <c r="J171" s="9">
        <f t="shared" si="4"/>
        <v>7</v>
      </c>
      <c r="K171" s="9" t="s">
        <v>114</v>
      </c>
      <c r="L171" s="9">
        <v>16</v>
      </c>
      <c r="M171" s="9">
        <v>13.6</v>
      </c>
      <c r="N171" s="9">
        <v>15</v>
      </c>
      <c r="P171" s="9">
        <v>15</v>
      </c>
      <c r="Q171" s="9" t="s">
        <v>115</v>
      </c>
      <c r="R171" s="9">
        <v>14.5</v>
      </c>
      <c r="U171" s="9" t="s">
        <v>99</v>
      </c>
      <c r="V171" s="9">
        <v>10</v>
      </c>
      <c r="W171" s="9">
        <v>10</v>
      </c>
      <c r="X171" s="9">
        <v>0.625</v>
      </c>
      <c r="Y171" s="9">
        <v>1</v>
      </c>
      <c r="Z171" s="9">
        <v>0.625</v>
      </c>
      <c r="AA171" s="9">
        <v>60</v>
      </c>
      <c r="AD171" s="9">
        <v>60</v>
      </c>
      <c r="AF171" s="9">
        <v>180</v>
      </c>
      <c r="AH171" s="9">
        <v>360</v>
      </c>
      <c r="AJ171" s="9">
        <v>396</v>
      </c>
      <c r="AN171" s="9">
        <v>750</v>
      </c>
      <c r="AO171" s="9">
        <v>142</v>
      </c>
      <c r="AQ171" s="9">
        <v>1400</v>
      </c>
      <c r="AT171" s="9">
        <v>16</v>
      </c>
      <c r="AX171" s="9">
        <v>375</v>
      </c>
      <c r="AY171" s="9">
        <v>2000</v>
      </c>
      <c r="AZ171" s="9" t="s">
        <v>881</v>
      </c>
      <c r="BA171" s="9" t="s">
        <v>102</v>
      </c>
      <c r="BB171" s="9" t="s">
        <v>102</v>
      </c>
      <c r="BC171" s="9" t="s">
        <v>102</v>
      </c>
      <c r="BD171" s="9" t="s">
        <v>102</v>
      </c>
      <c r="BE171" s="9" t="s">
        <v>102</v>
      </c>
      <c r="BF171" s="9" t="s">
        <v>118</v>
      </c>
      <c r="BG171" s="9" t="s">
        <v>118</v>
      </c>
      <c r="BH171" s="9" t="s">
        <v>105</v>
      </c>
      <c r="BI171" s="9">
        <v>12</v>
      </c>
      <c r="BJ171" s="9">
        <v>2</v>
      </c>
      <c r="BK171" s="9">
        <v>2</v>
      </c>
      <c r="BL171" s="9">
        <v>18</v>
      </c>
      <c r="BM171" s="9">
        <v>4</v>
      </c>
      <c r="BN171" s="9">
        <v>15</v>
      </c>
      <c r="BO171" s="9">
        <v>12</v>
      </c>
      <c r="BP171" s="9">
        <v>12</v>
      </c>
      <c r="BQ171" s="9">
        <v>2</v>
      </c>
      <c r="BR171" s="9">
        <v>18</v>
      </c>
      <c r="BS171" s="9">
        <v>4</v>
      </c>
      <c r="BT171" s="9">
        <v>15</v>
      </c>
      <c r="BX171" s="8">
        <v>129898</v>
      </c>
      <c r="BY171" s="8">
        <v>109845</v>
      </c>
      <c r="CD171" s="8">
        <v>120589</v>
      </c>
      <c r="CI171" s="51"/>
      <c r="CJ171" s="8" t="b">
        <v>0</v>
      </c>
      <c r="CT171" s="8">
        <v>130178</v>
      </c>
    </row>
    <row r="172" spans="1:98" s="8" customFormat="1" x14ac:dyDescent="0.25">
      <c r="A172" s="13">
        <v>114637</v>
      </c>
      <c r="B172" s="9">
        <v>16</v>
      </c>
      <c r="C172" s="9" t="s">
        <v>882</v>
      </c>
      <c r="D172" s="9" t="s">
        <v>94</v>
      </c>
      <c r="E172" s="9" t="s">
        <v>212</v>
      </c>
      <c r="F172" s="9"/>
      <c r="G172" s="33" t="str">
        <f>_xlfn.XLOOKUP(CT172,'Just Methods'!T:T,'Just Methods'!S:S)</f>
        <v xml:space="preserve"> 16" MFL+DEF+XYZ ATEX </v>
      </c>
      <c r="H172" s="47" t="str">
        <f>_xlfn.XLOOKUP(CT172,'Just Methods'!T:T,'Just Methods'!C:C)</f>
        <v>DEF.MFL.XYZ.16</v>
      </c>
      <c r="I172" s="9" t="str">
        <f>_xlfn.XLOOKUP(H172,'Alternative Tool Body Sheet'!A:A,'Alternative Tool Body Sheet'!C:C)</f>
        <v>16/18 DEF</v>
      </c>
      <c r="J172" s="9">
        <f t="shared" si="4"/>
        <v>5</v>
      </c>
      <c r="K172" s="9" t="s">
        <v>114</v>
      </c>
      <c r="L172" s="9">
        <v>16</v>
      </c>
      <c r="M172" s="9">
        <v>13.95</v>
      </c>
      <c r="N172" s="9">
        <v>12.81</v>
      </c>
      <c r="P172" s="9">
        <v>15</v>
      </c>
      <c r="Q172" s="9" t="s">
        <v>115</v>
      </c>
      <c r="R172" s="9">
        <v>15</v>
      </c>
      <c r="S172" s="9">
        <v>14.25</v>
      </c>
      <c r="T172" s="9">
        <v>14.25</v>
      </c>
      <c r="U172" s="9" t="s">
        <v>116</v>
      </c>
      <c r="V172" s="9">
        <v>10</v>
      </c>
      <c r="W172" s="9">
        <v>10</v>
      </c>
      <c r="X172" s="9">
        <v>0.625</v>
      </c>
      <c r="Y172" s="9">
        <v>1</v>
      </c>
      <c r="Z172" s="9">
        <v>0.625</v>
      </c>
      <c r="AA172" s="9">
        <v>54</v>
      </c>
      <c r="AD172" s="9">
        <v>48</v>
      </c>
      <c r="AH172" s="9">
        <v>144</v>
      </c>
      <c r="AN172" s="9">
        <v>750</v>
      </c>
      <c r="AO172" s="9">
        <v>102</v>
      </c>
      <c r="AP172" s="9">
        <v>32</v>
      </c>
      <c r="AQ172" s="9">
        <v>770</v>
      </c>
      <c r="AR172" s="9">
        <v>100</v>
      </c>
      <c r="AT172" s="9">
        <v>21</v>
      </c>
      <c r="AX172" s="9">
        <v>300</v>
      </c>
      <c r="AY172" s="9">
        <v>2000</v>
      </c>
      <c r="AZ172" s="9" t="s">
        <v>883</v>
      </c>
      <c r="BA172" s="9" t="s">
        <v>102</v>
      </c>
      <c r="BB172" s="9" t="s">
        <v>101</v>
      </c>
      <c r="BC172" s="9" t="s">
        <v>101</v>
      </c>
      <c r="BD172" s="9" t="s">
        <v>102</v>
      </c>
      <c r="BE172" s="9" t="s">
        <v>102</v>
      </c>
      <c r="BF172" s="9" t="s">
        <v>126</v>
      </c>
      <c r="BG172" s="9" t="s">
        <v>126</v>
      </c>
      <c r="BH172" s="9" t="s">
        <v>105</v>
      </c>
      <c r="BI172" s="9">
        <v>9</v>
      </c>
      <c r="BJ172" s="9">
        <v>2</v>
      </c>
      <c r="BK172" s="9">
        <v>2</v>
      </c>
      <c r="BL172" s="9">
        <v>18</v>
      </c>
      <c r="BM172" s="9">
        <v>4</v>
      </c>
      <c r="BN172" s="9">
        <v>12</v>
      </c>
      <c r="BO172" s="9">
        <v>9</v>
      </c>
      <c r="BP172" s="9">
        <v>9</v>
      </c>
      <c r="BQ172" s="9">
        <v>2</v>
      </c>
      <c r="BR172" s="9">
        <v>18</v>
      </c>
      <c r="BS172" s="9">
        <v>4</v>
      </c>
      <c r="BT172" s="9">
        <v>12</v>
      </c>
      <c r="BX172" s="8" t="s">
        <v>806</v>
      </c>
      <c r="BY172" s="8">
        <v>109067</v>
      </c>
      <c r="CI172" s="51"/>
      <c r="CJ172" s="8" t="b">
        <v>0</v>
      </c>
      <c r="CT172" s="8">
        <v>114637</v>
      </c>
    </row>
    <row r="173" spans="1:98" s="8" customFormat="1" x14ac:dyDescent="0.25">
      <c r="A173" s="13">
        <v>109249</v>
      </c>
      <c r="B173" s="9">
        <v>16</v>
      </c>
      <c r="C173" s="9" t="s">
        <v>884</v>
      </c>
      <c r="D173" s="9" t="s">
        <v>94</v>
      </c>
      <c r="E173" s="9" t="s">
        <v>421</v>
      </c>
      <c r="F173" s="9"/>
      <c r="G173" s="33" t="str">
        <f>_xlfn.XLOOKUP(CT173,'Just Methods'!T:T,'Just Methods'!S:S)</f>
        <v xml:space="preserve"> 16" GMFL+DEF+XYZ Integrated CPU (xHD) </v>
      </c>
      <c r="H173" s="47" t="str">
        <f>_xlfn.XLOOKUP(CT173,'Just Methods'!T:T,'Just Methods'!C:C)</f>
        <v>DEF.GMFL.XYZ.16</v>
      </c>
      <c r="I173" s="9" t="str">
        <f>_xlfn.XLOOKUP(H173,'Alternative Tool Body Sheet'!A:A,'Alternative Tool Body Sheet'!C:C)</f>
        <v>16 GDEF</v>
      </c>
      <c r="J173" s="9">
        <f t="shared" si="4"/>
        <v>5</v>
      </c>
      <c r="K173" s="9" t="s">
        <v>114</v>
      </c>
      <c r="L173" s="9">
        <v>16</v>
      </c>
      <c r="M173" s="9">
        <v>12</v>
      </c>
      <c r="N173" s="9">
        <v>25</v>
      </c>
      <c r="P173" s="9">
        <v>15</v>
      </c>
      <c r="Q173" s="9" t="s">
        <v>115</v>
      </c>
      <c r="R173" s="9">
        <v>14.5</v>
      </c>
      <c r="T173" s="9">
        <v>12.35</v>
      </c>
      <c r="U173" s="9" t="s">
        <v>116</v>
      </c>
      <c r="V173" s="9">
        <v>10</v>
      </c>
      <c r="W173" s="9">
        <v>10</v>
      </c>
      <c r="X173" s="9">
        <v>0.45500000000000002</v>
      </c>
      <c r="Y173" s="9">
        <v>1</v>
      </c>
      <c r="Z173" s="9">
        <v>0.5</v>
      </c>
      <c r="AA173" s="9">
        <v>48</v>
      </c>
      <c r="AC173" s="9">
        <v>144</v>
      </c>
      <c r="AD173" s="9">
        <v>48</v>
      </c>
      <c r="AN173" s="9">
        <v>750</v>
      </c>
      <c r="AO173" s="9">
        <v>95</v>
      </c>
      <c r="AP173" s="9">
        <v>32</v>
      </c>
      <c r="AQ173" s="9">
        <v>555</v>
      </c>
      <c r="AR173" s="9">
        <v>100</v>
      </c>
      <c r="AT173" s="9">
        <v>103</v>
      </c>
      <c r="AV173" s="9">
        <v>26.9</v>
      </c>
      <c r="AW173" s="9">
        <v>2.2400000000000002</v>
      </c>
      <c r="AX173" s="9">
        <v>300</v>
      </c>
      <c r="AY173" s="9">
        <v>2000</v>
      </c>
      <c r="AZ173" s="9" t="s">
        <v>885</v>
      </c>
      <c r="BA173" s="9" t="s">
        <v>102</v>
      </c>
      <c r="BB173" s="9" t="s">
        <v>102</v>
      </c>
      <c r="BC173" s="9" t="s">
        <v>102</v>
      </c>
      <c r="BD173" s="9" t="s">
        <v>102</v>
      </c>
      <c r="BE173" s="9" t="s">
        <v>102</v>
      </c>
      <c r="BF173" s="9" t="s">
        <v>832</v>
      </c>
      <c r="BG173" s="9" t="s">
        <v>833</v>
      </c>
      <c r="BH173" s="9" t="s">
        <v>105</v>
      </c>
      <c r="BI173" s="9">
        <v>8</v>
      </c>
      <c r="BJ173" s="9">
        <v>2</v>
      </c>
      <c r="BK173" s="9">
        <v>2</v>
      </c>
      <c r="BL173" s="9">
        <v>18</v>
      </c>
      <c r="BM173" s="9">
        <v>4</v>
      </c>
      <c r="BN173" s="9">
        <v>10</v>
      </c>
      <c r="BO173" s="9">
        <v>8</v>
      </c>
      <c r="BP173" s="9">
        <v>8</v>
      </c>
      <c r="BQ173" s="9">
        <v>2</v>
      </c>
      <c r="BR173" s="9">
        <v>18</v>
      </c>
      <c r="BS173" s="9">
        <v>4</v>
      </c>
      <c r="BT173" s="9">
        <v>10</v>
      </c>
      <c r="BY173" s="8">
        <v>109176</v>
      </c>
      <c r="CI173" s="51">
        <v>109250</v>
      </c>
      <c r="CJ173" s="8" t="b">
        <v>0</v>
      </c>
      <c r="CT173" s="8">
        <v>109249</v>
      </c>
    </row>
    <row r="174" spans="1:98" s="8" customFormat="1" x14ac:dyDescent="0.25">
      <c r="A174" s="13">
        <v>129303</v>
      </c>
      <c r="B174" s="9">
        <v>16</v>
      </c>
      <c r="C174" s="9" t="s">
        <v>886</v>
      </c>
      <c r="D174" s="9" t="s">
        <v>121</v>
      </c>
      <c r="E174" s="9" t="s">
        <v>152</v>
      </c>
      <c r="F174" s="9"/>
      <c r="G174" s="33" t="str">
        <f>_xlfn.XLOOKUP(CT174,'Just Methods'!T:T,'Just Methods'!S:S)</f>
        <v xml:space="preserve"> 16" MDS FLEX MFL2+DEF2+XYZ </v>
      </c>
      <c r="H174" s="47" t="str">
        <f>_xlfn.XLOOKUP(CT174,'Just Methods'!T:T,'Just Methods'!C:C)</f>
        <v>FLEX.DEF.MFL.XYZ.16</v>
      </c>
      <c r="I174" s="9" t="str">
        <f>_xlfn.XLOOKUP(H174,'Alternative Tool Body Sheet'!A:A,'Alternative Tool Body Sheet'!C:C)</f>
        <v>16 MDS</v>
      </c>
      <c r="J174" s="9">
        <f t="shared" si="4"/>
        <v>7</v>
      </c>
      <c r="K174" s="9" t="s">
        <v>114</v>
      </c>
      <c r="L174" s="9">
        <v>16</v>
      </c>
      <c r="M174" s="9">
        <v>13.6</v>
      </c>
      <c r="Q174" s="9" t="s">
        <v>115</v>
      </c>
      <c r="R174" s="9">
        <v>14.5</v>
      </c>
      <c r="U174" s="9" t="s">
        <v>99</v>
      </c>
      <c r="V174" s="9">
        <v>10</v>
      </c>
      <c r="W174" s="9">
        <v>10</v>
      </c>
      <c r="X174" s="9">
        <v>0.625</v>
      </c>
      <c r="Y174" s="9">
        <v>1</v>
      </c>
      <c r="Z174" s="9">
        <v>0.625</v>
      </c>
      <c r="AA174" s="9">
        <v>60</v>
      </c>
      <c r="AB174" s="9">
        <v>180</v>
      </c>
      <c r="AD174" s="9">
        <v>60</v>
      </c>
      <c r="AN174" s="9">
        <v>750</v>
      </c>
      <c r="AO174" s="9">
        <v>113</v>
      </c>
      <c r="AQ174" s="9">
        <v>746</v>
      </c>
      <c r="AT174" s="9">
        <v>60</v>
      </c>
      <c r="AX174" s="9">
        <v>375</v>
      </c>
      <c r="AY174" s="9">
        <v>2000</v>
      </c>
      <c r="AZ174" s="9" t="s">
        <v>887</v>
      </c>
      <c r="BA174" s="9" t="s">
        <v>102</v>
      </c>
      <c r="BB174" s="9" t="s">
        <v>101</v>
      </c>
      <c r="BC174" s="9" t="s">
        <v>101</v>
      </c>
      <c r="BD174" s="9" t="s">
        <v>101</v>
      </c>
      <c r="BE174" s="9" t="s">
        <v>102</v>
      </c>
      <c r="BF174" s="9" t="s">
        <v>118</v>
      </c>
      <c r="BG174" s="9" t="s">
        <v>118</v>
      </c>
      <c r="BH174" s="9" t="s">
        <v>105</v>
      </c>
      <c r="BI174" s="9">
        <v>10</v>
      </c>
      <c r="BJ174" s="9">
        <v>2</v>
      </c>
      <c r="BK174" s="9">
        <v>2</v>
      </c>
      <c r="BL174" s="9">
        <v>18</v>
      </c>
      <c r="BM174" s="9">
        <v>4</v>
      </c>
      <c r="BN174" s="9">
        <v>13</v>
      </c>
      <c r="BO174" s="9">
        <v>10</v>
      </c>
      <c r="BP174" s="9">
        <v>10</v>
      </c>
      <c r="BQ174" s="9">
        <v>2</v>
      </c>
      <c r="BR174" s="9">
        <v>18</v>
      </c>
      <c r="BS174" s="9">
        <v>4</v>
      </c>
      <c r="BT174" s="9">
        <v>13</v>
      </c>
      <c r="BX174" s="8">
        <v>108959</v>
      </c>
      <c r="BY174" s="8">
        <v>109845</v>
      </c>
      <c r="CI174" s="51"/>
      <c r="CJ174" s="8" t="b">
        <v>0</v>
      </c>
      <c r="CT174" s="8">
        <v>129303</v>
      </c>
    </row>
    <row r="175" spans="1:98" s="8" customFormat="1" x14ac:dyDescent="0.25">
      <c r="A175" s="13">
        <v>112882</v>
      </c>
      <c r="B175" s="9">
        <v>18</v>
      </c>
      <c r="C175" s="9" t="s">
        <v>888</v>
      </c>
      <c r="D175" s="9" t="s">
        <v>94</v>
      </c>
      <c r="E175" s="9" t="s">
        <v>258</v>
      </c>
      <c r="F175" s="9"/>
      <c r="G175" s="33" t="str">
        <f>_xlfn.XLOOKUP(CT175,'Just Methods'!T:T,'Just Methods'!S:S)</f>
        <v xml:space="preserve"> 18" GMFL (Short) </v>
      </c>
      <c r="H175" s="47" t="str">
        <f>_xlfn.XLOOKUP(CT175,'Just Methods'!T:T,'Just Methods'!C:C)</f>
        <v>GMFL.18</v>
      </c>
      <c r="I175" s="9" t="str">
        <f>_xlfn.XLOOKUP(H175,'Alternative Tool Body Sheet'!A:A,'Alternative Tool Body Sheet'!C:C)</f>
        <v>18 GMFL</v>
      </c>
      <c r="J175" s="9">
        <f t="shared" si="4"/>
        <v>5</v>
      </c>
      <c r="K175" s="9" t="s">
        <v>114</v>
      </c>
      <c r="L175" s="9">
        <v>18</v>
      </c>
      <c r="M175" s="9">
        <v>13.5</v>
      </c>
      <c r="N175" s="9">
        <v>25</v>
      </c>
      <c r="P175" s="9">
        <v>16.75</v>
      </c>
      <c r="Q175" s="9" t="s">
        <v>115</v>
      </c>
      <c r="R175" s="9">
        <v>16</v>
      </c>
      <c r="U175" s="9" t="s">
        <v>116</v>
      </c>
      <c r="V175" s="9">
        <v>10</v>
      </c>
      <c r="W175" s="9">
        <v>10</v>
      </c>
      <c r="X175" s="9">
        <v>0.5</v>
      </c>
      <c r="Y175" s="9">
        <v>1</v>
      </c>
      <c r="Z175" s="9">
        <v>0.59499999999999997</v>
      </c>
      <c r="AC175" s="9">
        <v>168</v>
      </c>
      <c r="AD175" s="9">
        <v>56</v>
      </c>
      <c r="AN175" s="9">
        <v>750</v>
      </c>
      <c r="AO175" s="9">
        <v>62</v>
      </c>
      <c r="AQ175" s="9">
        <v>525</v>
      </c>
      <c r="AS175" s="9">
        <v>144</v>
      </c>
      <c r="AT175" s="9">
        <v>293</v>
      </c>
      <c r="AV175" s="9">
        <v>4.82</v>
      </c>
      <c r="AW175" s="9">
        <v>0.4</v>
      </c>
      <c r="AX175" s="9">
        <v>300</v>
      </c>
      <c r="AY175" s="9">
        <v>2000</v>
      </c>
      <c r="AZ175" s="9" t="s">
        <v>889</v>
      </c>
      <c r="BA175" s="9" t="s">
        <v>102</v>
      </c>
      <c r="BB175" s="9" t="s">
        <v>102</v>
      </c>
      <c r="BC175" s="9" t="s">
        <v>102</v>
      </c>
      <c r="BD175" s="9" t="s">
        <v>102</v>
      </c>
      <c r="BE175" s="9" t="s">
        <v>102</v>
      </c>
      <c r="BF175" s="9" t="s">
        <v>890</v>
      </c>
      <c r="BG175" s="9" t="s">
        <v>828</v>
      </c>
      <c r="BH175" s="9" t="s">
        <v>105</v>
      </c>
      <c r="BI175" s="9">
        <v>6</v>
      </c>
      <c r="BJ175" s="9">
        <v>2</v>
      </c>
      <c r="BK175" s="9">
        <v>2</v>
      </c>
      <c r="BL175" s="9">
        <v>20</v>
      </c>
      <c r="BM175" s="9">
        <v>4</v>
      </c>
      <c r="BN175" s="9">
        <v>8</v>
      </c>
      <c r="BO175" s="9">
        <v>6</v>
      </c>
      <c r="BP175" s="9">
        <v>6</v>
      </c>
      <c r="BQ175" s="9">
        <v>2</v>
      </c>
      <c r="BR175" s="9">
        <v>20</v>
      </c>
      <c r="BS175" s="9">
        <v>4</v>
      </c>
      <c r="BT175" s="9">
        <v>8</v>
      </c>
      <c r="CI175" s="51">
        <v>112078</v>
      </c>
      <c r="CJ175" s="8" t="b">
        <v>0</v>
      </c>
      <c r="CT175" s="8">
        <v>112882</v>
      </c>
    </row>
    <row r="176" spans="1:98" s="8" customFormat="1" x14ac:dyDescent="0.25">
      <c r="A176" s="13">
        <v>116900</v>
      </c>
      <c r="B176" s="9">
        <v>18</v>
      </c>
      <c r="C176" s="9" t="s">
        <v>891</v>
      </c>
      <c r="D176" s="9" t="s">
        <v>121</v>
      </c>
      <c r="E176" s="9" t="s">
        <v>272</v>
      </c>
      <c r="F176" s="9"/>
      <c r="G176" s="33" t="str">
        <f>_xlfn.XLOOKUP(CT176,'Just Methods'!T:T,'Just Methods'!S:S)</f>
        <v xml:space="preserve"> 18" MDS FLEX MFL2+DEF2+LFM </v>
      </c>
      <c r="H176" s="47" t="str">
        <f>_xlfn.XLOOKUP(CT176,'Just Methods'!T:T,'Just Methods'!C:C)</f>
        <v>FLEX.DEF.LFM.MFL.18</v>
      </c>
      <c r="I176" s="9" t="s">
        <v>877</v>
      </c>
      <c r="J176" s="9">
        <f t="shared" si="4"/>
        <v>7</v>
      </c>
      <c r="K176" s="9" t="s">
        <v>114</v>
      </c>
      <c r="L176" s="9">
        <v>18</v>
      </c>
      <c r="M176" s="9">
        <v>15.3</v>
      </c>
      <c r="P176" s="9">
        <v>16.75</v>
      </c>
      <c r="Q176" s="9" t="s">
        <v>115</v>
      </c>
      <c r="R176" s="9">
        <v>16.2</v>
      </c>
      <c r="U176" s="9" t="s">
        <v>99</v>
      </c>
      <c r="V176" s="9">
        <v>10</v>
      </c>
      <c r="W176" s="9">
        <v>10</v>
      </c>
      <c r="Y176" s="9">
        <v>1</v>
      </c>
      <c r="AA176" s="9">
        <v>60</v>
      </c>
      <c r="AB176" s="9">
        <v>180</v>
      </c>
      <c r="AD176" s="9">
        <v>60</v>
      </c>
      <c r="AF176" s="9">
        <v>180</v>
      </c>
      <c r="AN176" s="9">
        <v>750</v>
      </c>
      <c r="AO176" s="9">
        <v>116</v>
      </c>
      <c r="AQ176" s="9">
        <v>1050</v>
      </c>
      <c r="AS176" s="9">
        <v>0</v>
      </c>
      <c r="AT176" s="9">
        <v>90</v>
      </c>
      <c r="AY176" s="9">
        <v>2000</v>
      </c>
      <c r="AZ176" s="9" t="s">
        <v>892</v>
      </c>
      <c r="BA176" s="9" t="s">
        <v>102</v>
      </c>
      <c r="BB176" s="9" t="s">
        <v>102</v>
      </c>
      <c r="BC176" s="9" t="s">
        <v>101</v>
      </c>
      <c r="BD176" s="9" t="s">
        <v>102</v>
      </c>
      <c r="BE176" s="9" t="s">
        <v>101</v>
      </c>
      <c r="BF176" s="9" t="s">
        <v>118</v>
      </c>
      <c r="BG176" s="9" t="s">
        <v>118</v>
      </c>
      <c r="BH176" s="9" t="s">
        <v>105</v>
      </c>
      <c r="BI176" s="9">
        <v>10</v>
      </c>
      <c r="BJ176" s="9">
        <v>2</v>
      </c>
      <c r="BK176" s="9">
        <v>2</v>
      </c>
      <c r="BL176" s="9">
        <v>20</v>
      </c>
      <c r="BM176" s="9">
        <v>4</v>
      </c>
      <c r="BN176" s="9">
        <v>13</v>
      </c>
      <c r="BO176" s="9">
        <v>10</v>
      </c>
      <c r="BP176" s="9">
        <v>10</v>
      </c>
      <c r="BQ176" s="9">
        <v>2</v>
      </c>
      <c r="BR176" s="9">
        <v>20</v>
      </c>
      <c r="BS176" s="9">
        <v>4</v>
      </c>
      <c r="BT176" s="9">
        <v>13</v>
      </c>
      <c r="BX176" s="8">
        <v>108959</v>
      </c>
      <c r="BY176" s="8">
        <v>109845</v>
      </c>
      <c r="CI176" s="51"/>
      <c r="CJ176" s="8" t="b">
        <v>0</v>
      </c>
      <c r="CT176" s="8">
        <v>116900</v>
      </c>
    </row>
    <row r="177" spans="1:98" s="8" customFormat="1" x14ac:dyDescent="0.25">
      <c r="A177" s="13">
        <v>113595</v>
      </c>
      <c r="B177" s="9">
        <v>18</v>
      </c>
      <c r="C177" s="9" t="s">
        <v>893</v>
      </c>
      <c r="D177" s="9" t="s">
        <v>94</v>
      </c>
      <c r="E177" s="9" t="s">
        <v>212</v>
      </c>
      <c r="F177" s="9"/>
      <c r="G177" s="33" t="str">
        <f>_xlfn.XLOOKUP(CT177,'Just Methods'!T:T,'Just Methods'!S:S)</f>
        <v xml:space="preserve"> 18" MFL+DEF+XYZ ATEX </v>
      </c>
      <c r="H177" s="47" t="str">
        <f>_xlfn.XLOOKUP(CT177,'Just Methods'!T:T,'Just Methods'!C:C)</f>
        <v>DEF.MFL.XYZ.18</v>
      </c>
      <c r="I177" s="9" t="str">
        <f>_xlfn.XLOOKUP(H177,'Alternative Tool Body Sheet'!A:A,'Alternative Tool Body Sheet'!C:C)</f>
        <v>16/18 DEF</v>
      </c>
      <c r="J177" s="9">
        <f t="shared" si="4"/>
        <v>5</v>
      </c>
      <c r="K177" s="9" t="s">
        <v>114</v>
      </c>
      <c r="L177" s="9">
        <v>18</v>
      </c>
      <c r="M177" s="9">
        <v>15.75</v>
      </c>
      <c r="N177" s="9">
        <v>12.5</v>
      </c>
      <c r="P177" s="9">
        <v>16.75</v>
      </c>
      <c r="Q177" s="9" t="s">
        <v>115</v>
      </c>
      <c r="R177" s="9">
        <v>16.75</v>
      </c>
      <c r="T177" s="9">
        <v>15.9</v>
      </c>
      <c r="U177" s="9" t="s">
        <v>116</v>
      </c>
      <c r="V177" s="9">
        <v>10</v>
      </c>
      <c r="W177" s="9">
        <v>10</v>
      </c>
      <c r="X177" s="9">
        <v>0.46</v>
      </c>
      <c r="Y177" s="9">
        <v>1</v>
      </c>
      <c r="Z177" s="9">
        <v>0.54900000000000004</v>
      </c>
      <c r="AA177" s="9">
        <v>54</v>
      </c>
      <c r="AD177" s="9">
        <v>52</v>
      </c>
      <c r="AH177" s="9">
        <v>156</v>
      </c>
      <c r="AN177" s="9">
        <v>750</v>
      </c>
      <c r="AO177" s="9">
        <v>103</v>
      </c>
      <c r="AP177" s="9">
        <v>32</v>
      </c>
      <c r="AQ177" s="9">
        <v>782</v>
      </c>
      <c r="AR177" s="9">
        <v>100</v>
      </c>
      <c r="AT177" s="9">
        <v>62</v>
      </c>
      <c r="AV177" s="9">
        <v>27.8</v>
      </c>
      <c r="AW177" s="9">
        <v>2.3199999999999998</v>
      </c>
      <c r="AX177" s="9">
        <v>300</v>
      </c>
      <c r="AY177" s="9">
        <v>2000</v>
      </c>
      <c r="AZ177" s="9" t="s">
        <v>894</v>
      </c>
      <c r="BA177" s="9" t="s">
        <v>102</v>
      </c>
      <c r="BB177" s="9" t="s">
        <v>101</v>
      </c>
      <c r="BC177" s="9" t="s">
        <v>101</v>
      </c>
      <c r="BD177" s="9" t="s">
        <v>102</v>
      </c>
      <c r="BE177" s="9" t="s">
        <v>102</v>
      </c>
      <c r="BF177" s="9" t="s">
        <v>805</v>
      </c>
      <c r="BG177" s="9" t="s">
        <v>594</v>
      </c>
      <c r="BH177" s="9" t="s">
        <v>105</v>
      </c>
      <c r="BI177" s="9">
        <v>9</v>
      </c>
      <c r="BJ177" s="9">
        <v>2</v>
      </c>
      <c r="BK177" s="9">
        <v>2</v>
      </c>
      <c r="BL177" s="9">
        <v>20</v>
      </c>
      <c r="BM177" s="9">
        <v>4</v>
      </c>
      <c r="BN177" s="9">
        <v>12</v>
      </c>
      <c r="BO177" s="9">
        <v>9</v>
      </c>
      <c r="BP177" s="9">
        <v>9</v>
      </c>
      <c r="BQ177" s="9">
        <v>2</v>
      </c>
      <c r="BR177" s="9">
        <v>20</v>
      </c>
      <c r="BS177" s="9">
        <v>4</v>
      </c>
      <c r="BT177" s="9">
        <v>12</v>
      </c>
      <c r="BX177" s="8" t="s">
        <v>806</v>
      </c>
      <c r="BY177" s="8">
        <v>109067</v>
      </c>
      <c r="CI177" s="51"/>
      <c r="CJ177" s="8" t="b">
        <v>0</v>
      </c>
      <c r="CT177" s="8">
        <v>113595</v>
      </c>
    </row>
    <row r="178" spans="1:98" s="8" customFormat="1" x14ac:dyDescent="0.25">
      <c r="A178" s="13">
        <v>109168</v>
      </c>
      <c r="B178" s="9">
        <v>18</v>
      </c>
      <c r="C178" s="9" t="s">
        <v>895</v>
      </c>
      <c r="D178" s="9" t="s">
        <v>94</v>
      </c>
      <c r="E178" s="9" t="s">
        <v>95</v>
      </c>
      <c r="F178" s="9"/>
      <c r="G178" s="33" t="str">
        <f>_xlfn.XLOOKUP(CT178,'Just Methods'!T:T,'Just Methods'!S:S)</f>
        <v xml:space="preserve"> 18" DEF (16-18) (xHD) </v>
      </c>
      <c r="H178" s="47" t="str">
        <f>_xlfn.XLOOKUP(CT178,'Just Methods'!T:T,'Just Methods'!C:C)</f>
        <v>DEF.18</v>
      </c>
      <c r="I178" s="9" t="str">
        <f>_xlfn.XLOOKUP(H178,'Alternative Tool Body Sheet'!A:A,'Alternative Tool Body Sheet'!C:C)</f>
        <v>16/18 DEF</v>
      </c>
      <c r="J178" s="9">
        <f t="shared" si="4"/>
        <v>5</v>
      </c>
      <c r="K178" s="9" t="s">
        <v>114</v>
      </c>
      <c r="L178" s="9">
        <v>18</v>
      </c>
      <c r="M178" s="9">
        <v>13.5</v>
      </c>
      <c r="N178" s="9">
        <v>25</v>
      </c>
      <c r="P178" s="9">
        <v>16.75</v>
      </c>
      <c r="Q178" s="9" t="s">
        <v>115</v>
      </c>
      <c r="R178" s="9">
        <v>16</v>
      </c>
      <c r="T178" s="9">
        <v>13.75</v>
      </c>
      <c r="U178" s="9" t="s">
        <v>116</v>
      </c>
      <c r="V178" s="9">
        <v>15</v>
      </c>
      <c r="AA178" s="9">
        <v>54</v>
      </c>
      <c r="AN178" s="9">
        <v>750</v>
      </c>
      <c r="AO178" s="9">
        <v>70</v>
      </c>
      <c r="AP178" s="9">
        <v>32</v>
      </c>
      <c r="AQ178" s="9">
        <v>350</v>
      </c>
      <c r="AR178" s="9">
        <v>100</v>
      </c>
      <c r="AT178" s="9">
        <v>58</v>
      </c>
      <c r="AX178" s="9">
        <v>300</v>
      </c>
      <c r="AY178" s="9">
        <v>2000</v>
      </c>
      <c r="AZ178" s="9" t="s">
        <v>896</v>
      </c>
      <c r="BA178" s="9" t="s">
        <v>102</v>
      </c>
      <c r="BB178" s="9" t="s">
        <v>102</v>
      </c>
      <c r="BC178" s="9" t="s">
        <v>102</v>
      </c>
      <c r="BD178" s="9" t="s">
        <v>102</v>
      </c>
      <c r="BE178" s="9" t="s">
        <v>102</v>
      </c>
      <c r="BF178" s="9" t="s">
        <v>593</v>
      </c>
      <c r="BG178" s="9" t="s">
        <v>594</v>
      </c>
      <c r="BH178" s="9" t="s">
        <v>105</v>
      </c>
      <c r="BI178" s="9">
        <v>6</v>
      </c>
      <c r="BJ178" s="9">
        <v>2</v>
      </c>
      <c r="BK178" s="9">
        <v>2</v>
      </c>
      <c r="BL178" s="9">
        <v>20</v>
      </c>
      <c r="BM178" s="9">
        <v>4</v>
      </c>
      <c r="BN178" s="9">
        <v>8</v>
      </c>
      <c r="BO178" s="9">
        <v>6</v>
      </c>
      <c r="BP178" s="9">
        <v>6</v>
      </c>
      <c r="BQ178" s="9">
        <v>2</v>
      </c>
      <c r="BR178" s="9">
        <v>20</v>
      </c>
      <c r="BS178" s="9">
        <v>4</v>
      </c>
      <c r="BT178" s="9">
        <v>8</v>
      </c>
      <c r="BY178" s="8">
        <v>109067</v>
      </c>
      <c r="CI178" s="51"/>
      <c r="CJ178" s="8" t="b">
        <v>0</v>
      </c>
      <c r="CT178" s="8">
        <v>109168</v>
      </c>
    </row>
    <row r="179" spans="1:98" s="8" customFormat="1" x14ac:dyDescent="0.25">
      <c r="A179" s="13">
        <v>123309</v>
      </c>
      <c r="B179" s="9">
        <v>18</v>
      </c>
      <c r="C179" s="9" t="s">
        <v>897</v>
      </c>
      <c r="D179" s="9" t="s">
        <v>94</v>
      </c>
      <c r="E179" s="9" t="s">
        <v>145</v>
      </c>
      <c r="F179" s="9"/>
      <c r="G179" s="33" t="str">
        <f>_xlfn.XLOOKUP(CT179,'Just Methods'!T:T,'Just Methods'!S:S)</f>
        <v xml:space="preserve"> 18" MFL (16-18) + DEF (16-18) </v>
      </c>
      <c r="H179" s="47" t="str">
        <f>_xlfn.XLOOKUP(CT179,'Just Methods'!T:T,'Just Methods'!C:C)</f>
        <v>DEF.MFL.18</v>
      </c>
      <c r="I179" s="9" t="str">
        <f>_xlfn.XLOOKUP(H179,'Alternative Tool Body Sheet'!A:A,'Alternative Tool Body Sheet'!C:C)</f>
        <v>16/18 DEF</v>
      </c>
      <c r="J179" s="9">
        <f t="shared" si="4"/>
        <v>5</v>
      </c>
      <c r="K179" s="9" t="s">
        <v>114</v>
      </c>
      <c r="L179" s="9">
        <v>18</v>
      </c>
      <c r="M179" s="9">
        <v>15.75</v>
      </c>
      <c r="N179" s="9">
        <v>12.5</v>
      </c>
      <c r="P179" s="9">
        <v>16.75</v>
      </c>
      <c r="Q179" s="9" t="s">
        <v>115</v>
      </c>
      <c r="R179" s="9">
        <v>16.75</v>
      </c>
      <c r="T179" s="9">
        <v>15.9</v>
      </c>
      <c r="U179" s="9" t="s">
        <v>116</v>
      </c>
      <c r="V179" s="9">
        <v>10</v>
      </c>
      <c r="W179" s="9">
        <v>10</v>
      </c>
      <c r="X179" s="9">
        <v>0.46</v>
      </c>
      <c r="Y179" s="9">
        <v>1</v>
      </c>
      <c r="Z179" s="9">
        <v>0.54900000000000004</v>
      </c>
      <c r="AA179" s="9">
        <v>54</v>
      </c>
      <c r="AD179" s="9">
        <v>52</v>
      </c>
      <c r="AH179" s="9">
        <v>156</v>
      </c>
      <c r="AN179" s="9">
        <v>750</v>
      </c>
      <c r="AO179" s="9">
        <v>103</v>
      </c>
      <c r="AP179" s="9">
        <v>32</v>
      </c>
      <c r="AQ179" s="9">
        <v>800</v>
      </c>
      <c r="AR179" s="9">
        <v>100</v>
      </c>
      <c r="AT179" s="9">
        <v>79</v>
      </c>
      <c r="AV179" s="9">
        <v>15.8</v>
      </c>
      <c r="AW179" s="9">
        <v>1.32</v>
      </c>
      <c r="AX179" s="9">
        <v>300</v>
      </c>
      <c r="AY179" s="9">
        <v>2000</v>
      </c>
      <c r="AZ179" s="9" t="s">
        <v>898</v>
      </c>
      <c r="BA179" s="9" t="s">
        <v>102</v>
      </c>
      <c r="BB179" s="9" t="s">
        <v>101</v>
      </c>
      <c r="BC179" s="9" t="s">
        <v>101</v>
      </c>
      <c r="BD179" s="9" t="s">
        <v>102</v>
      </c>
      <c r="BE179" s="9" t="s">
        <v>102</v>
      </c>
      <c r="BF179" s="9" t="s">
        <v>805</v>
      </c>
      <c r="BG179" s="9" t="s">
        <v>594</v>
      </c>
      <c r="BH179" s="9" t="s">
        <v>105</v>
      </c>
      <c r="BI179" s="9">
        <v>9</v>
      </c>
      <c r="BJ179" s="9">
        <v>2</v>
      </c>
      <c r="BK179" s="9">
        <v>2</v>
      </c>
      <c r="BL179" s="9">
        <v>20</v>
      </c>
      <c r="BM179" s="9">
        <v>4</v>
      </c>
      <c r="BN179" s="9">
        <v>12</v>
      </c>
      <c r="BO179" s="9">
        <v>9</v>
      </c>
      <c r="BP179" s="9">
        <v>9</v>
      </c>
      <c r="BQ179" s="9">
        <v>2</v>
      </c>
      <c r="BR179" s="9">
        <v>20</v>
      </c>
      <c r="BS179" s="9">
        <v>4</v>
      </c>
      <c r="BT179" s="9">
        <v>12</v>
      </c>
      <c r="BX179" s="8" t="s">
        <v>806</v>
      </c>
      <c r="BY179" s="8">
        <v>109067</v>
      </c>
      <c r="CI179" s="51"/>
      <c r="CJ179" s="8" t="b">
        <v>0</v>
      </c>
      <c r="CT179" s="8">
        <v>123309</v>
      </c>
    </row>
    <row r="180" spans="1:98" s="8" customFormat="1" x14ac:dyDescent="0.25">
      <c r="A180" s="13">
        <v>123115</v>
      </c>
      <c r="B180" s="9">
        <v>18</v>
      </c>
      <c r="C180" s="9" t="s">
        <v>899</v>
      </c>
      <c r="D180" s="9" t="s">
        <v>94</v>
      </c>
      <c r="E180" s="9" t="s">
        <v>169</v>
      </c>
      <c r="F180" s="9"/>
      <c r="G180" s="33" t="str">
        <f>_xlfn.XLOOKUP(CT180,'Just Methods'!T:T,'Just Methods'!S:S)</f>
        <v xml:space="preserve"> 18" MFL (xHD) </v>
      </c>
      <c r="H180" s="47" t="str">
        <f>_xlfn.XLOOKUP(CT180,'Just Methods'!T:T,'Just Methods'!C:C)</f>
        <v>MFL.18</v>
      </c>
      <c r="I180" s="9" t="str">
        <f>_xlfn.XLOOKUP(H180,'Alternative Tool Body Sheet'!A:A,'Alternative Tool Body Sheet'!C:C)</f>
        <v>16/18 MFL</v>
      </c>
      <c r="J180" s="9">
        <f t="shared" si="4"/>
        <v>5</v>
      </c>
      <c r="K180" s="9" t="s">
        <v>114</v>
      </c>
      <c r="L180" s="9">
        <v>18</v>
      </c>
      <c r="M180" s="9">
        <v>15.75</v>
      </c>
      <c r="N180" s="9">
        <v>12.5</v>
      </c>
      <c r="P180" s="9">
        <v>16.75</v>
      </c>
      <c r="Q180" s="9" t="s">
        <v>115</v>
      </c>
      <c r="R180" s="9">
        <v>16.75</v>
      </c>
      <c r="T180" s="9">
        <v>15.9</v>
      </c>
      <c r="U180" s="9" t="s">
        <v>116</v>
      </c>
      <c r="V180" s="9">
        <v>10</v>
      </c>
      <c r="W180" s="9">
        <v>10</v>
      </c>
      <c r="X180" s="9">
        <v>0.46</v>
      </c>
      <c r="Y180" s="9">
        <v>1</v>
      </c>
      <c r="Z180" s="9">
        <v>0.54900000000000004</v>
      </c>
      <c r="AD180" s="9">
        <v>52</v>
      </c>
      <c r="AH180" s="9">
        <v>156</v>
      </c>
      <c r="AN180" s="9">
        <v>750</v>
      </c>
      <c r="AO180" s="9">
        <v>71</v>
      </c>
      <c r="AP180" s="9">
        <v>32</v>
      </c>
      <c r="AQ180" s="9">
        <v>600</v>
      </c>
      <c r="AR180" s="9">
        <v>100</v>
      </c>
      <c r="AT180" s="9">
        <v>155</v>
      </c>
      <c r="AV180" s="9">
        <v>13.16</v>
      </c>
      <c r="AW180" s="9">
        <v>1.1000000000000001</v>
      </c>
      <c r="AX180" s="9">
        <v>300</v>
      </c>
      <c r="AY180" s="9">
        <v>2000</v>
      </c>
      <c r="AZ180" s="9" t="s">
        <v>900</v>
      </c>
      <c r="BA180" s="9" t="s">
        <v>102</v>
      </c>
      <c r="BB180" s="9" t="s">
        <v>101</v>
      </c>
      <c r="BC180" s="9" t="s">
        <v>101</v>
      </c>
      <c r="BD180" s="9" t="s">
        <v>102</v>
      </c>
      <c r="BE180" s="9" t="s">
        <v>102</v>
      </c>
      <c r="BF180" s="9" t="s">
        <v>118</v>
      </c>
      <c r="BG180" s="9" t="s">
        <v>118</v>
      </c>
      <c r="BH180" s="9" t="s">
        <v>105</v>
      </c>
      <c r="BI180" s="9">
        <v>6</v>
      </c>
      <c r="BJ180" s="9">
        <v>2</v>
      </c>
      <c r="BK180" s="9">
        <v>2</v>
      </c>
      <c r="BL180" s="9">
        <v>20</v>
      </c>
      <c r="BM180" s="9">
        <v>4</v>
      </c>
      <c r="BN180" s="9">
        <v>8</v>
      </c>
      <c r="BO180" s="9">
        <v>6</v>
      </c>
      <c r="BP180" s="9">
        <v>6</v>
      </c>
      <c r="BQ180" s="9">
        <v>2</v>
      </c>
      <c r="BR180" s="9">
        <v>20</v>
      </c>
      <c r="BS180" s="9">
        <v>4</v>
      </c>
      <c r="BT180" s="9">
        <v>8</v>
      </c>
      <c r="BX180" s="8" t="s">
        <v>806</v>
      </c>
      <c r="CI180" s="51"/>
      <c r="CJ180" s="8" t="b">
        <v>0</v>
      </c>
      <c r="CT180" s="8">
        <v>123115</v>
      </c>
    </row>
    <row r="181" spans="1:98" s="8" customFormat="1" x14ac:dyDescent="0.25">
      <c r="A181" s="13">
        <v>131181</v>
      </c>
      <c r="B181" s="9">
        <v>18</v>
      </c>
      <c r="C181" s="9" t="s">
        <v>901</v>
      </c>
      <c r="D181" s="9" t="s">
        <v>121</v>
      </c>
      <c r="E181" s="9" t="s">
        <v>410</v>
      </c>
      <c r="F181" s="9"/>
      <c r="G181" s="33" t="str">
        <f>_xlfn.XLOOKUP(CT181,'Just Methods'!T:T,'Just Methods'!S:S)</f>
        <v xml:space="preserve"> 18" MDS FLEX MF2+DEF2+LFM+XYZ </v>
      </c>
      <c r="H181" s="47" t="str">
        <f>_xlfn.XLOOKUP(CT181,'Just Methods'!T:T,'Just Methods'!C:C)</f>
        <v>FLEX.DEF.LFM.MFL.XYZ.18 </v>
      </c>
      <c r="I181" s="9" t="s">
        <v>877</v>
      </c>
      <c r="J181" s="9">
        <f t="shared" si="4"/>
        <v>7</v>
      </c>
      <c r="K181" s="9" t="s">
        <v>114</v>
      </c>
      <c r="L181" s="9">
        <v>18</v>
      </c>
      <c r="M181" s="9">
        <v>15.3</v>
      </c>
      <c r="P181" s="9">
        <v>16.75</v>
      </c>
      <c r="Q181" s="9" t="s">
        <v>115</v>
      </c>
      <c r="R181" s="9">
        <v>16.2</v>
      </c>
      <c r="U181" s="9" t="s">
        <v>99</v>
      </c>
      <c r="V181" s="9">
        <v>10</v>
      </c>
      <c r="W181" s="9">
        <v>10</v>
      </c>
      <c r="Y181" s="9">
        <v>1</v>
      </c>
      <c r="AA181" s="9">
        <v>60</v>
      </c>
      <c r="AB181" s="9">
        <v>180</v>
      </c>
      <c r="AD181" s="9">
        <v>60</v>
      </c>
      <c r="AF181" s="9">
        <v>180</v>
      </c>
      <c r="AN181" s="9">
        <v>750</v>
      </c>
      <c r="AO181" s="9">
        <v>116</v>
      </c>
      <c r="AQ181" s="9">
        <v>1050</v>
      </c>
      <c r="AT181" s="9">
        <v>60</v>
      </c>
      <c r="AV181" s="9">
        <v>23.52</v>
      </c>
      <c r="AW181" s="9">
        <v>1.96</v>
      </c>
      <c r="AY181" s="9">
        <v>2000</v>
      </c>
      <c r="AZ181" s="9" t="s">
        <v>902</v>
      </c>
      <c r="BA181" s="9" t="s">
        <v>102</v>
      </c>
      <c r="BB181" s="9" t="s">
        <v>102</v>
      </c>
      <c r="BC181" s="9" t="s">
        <v>101</v>
      </c>
      <c r="BD181" s="9" t="s">
        <v>102</v>
      </c>
      <c r="BE181" s="9" t="s">
        <v>101</v>
      </c>
      <c r="BF181" s="9" t="s">
        <v>118</v>
      </c>
      <c r="BG181" s="9" t="s">
        <v>903</v>
      </c>
      <c r="BH181" s="9" t="s">
        <v>105</v>
      </c>
      <c r="BI181" s="9">
        <v>10</v>
      </c>
      <c r="BJ181" s="9">
        <v>2</v>
      </c>
      <c r="BK181" s="9">
        <v>2</v>
      </c>
      <c r="BL181" s="9">
        <v>20</v>
      </c>
      <c r="BM181" s="9">
        <v>4</v>
      </c>
      <c r="BN181" s="9">
        <v>13</v>
      </c>
      <c r="BO181" s="9">
        <v>10</v>
      </c>
      <c r="BP181" s="9">
        <v>10</v>
      </c>
      <c r="BQ181" s="9">
        <v>2</v>
      </c>
      <c r="BR181" s="9">
        <v>20</v>
      </c>
      <c r="BS181" s="9">
        <v>4</v>
      </c>
      <c r="BT181" s="9">
        <v>13</v>
      </c>
      <c r="BX181" s="8">
        <v>108959</v>
      </c>
      <c r="BY181" s="8">
        <v>109845</v>
      </c>
      <c r="CI181" s="51"/>
      <c r="CJ181" s="8" t="b">
        <v>0</v>
      </c>
      <c r="CT181" s="8">
        <v>131181</v>
      </c>
    </row>
    <row r="182" spans="1:98" s="8" customFormat="1" x14ac:dyDescent="0.25">
      <c r="A182" s="24">
        <v>114900</v>
      </c>
      <c r="B182" s="12">
        <v>18</v>
      </c>
      <c r="C182" s="12" t="s">
        <v>904</v>
      </c>
      <c r="D182" s="12" t="s">
        <v>94</v>
      </c>
      <c r="E182" s="12" t="s">
        <v>199</v>
      </c>
      <c r="F182" s="12"/>
      <c r="G182" s="33" t="str">
        <f>_xlfn.XLOOKUP(CT182,'Just Methods'!T:T,'Just Methods'!S:S)</f>
        <v xml:space="preserve"> 18" MFL+XYZ H2 </v>
      </c>
      <c r="H182" s="47" t="str">
        <f>_xlfn.XLOOKUP(CT182,'Just Methods'!T:T,'Just Methods'!C:C)</f>
        <v>MFL.XYZ.18</v>
      </c>
      <c r="I182" s="9" t="str">
        <f>_xlfn.XLOOKUP(H182,'Alternative Tool Body Sheet'!A:A,'Alternative Tool Body Sheet'!C:C)</f>
        <v>16/18 MFL</v>
      </c>
      <c r="J182" s="12">
        <f t="shared" si="4"/>
        <v>5</v>
      </c>
      <c r="K182" s="12" t="s">
        <v>114</v>
      </c>
      <c r="L182" s="12">
        <v>18</v>
      </c>
      <c r="M182" s="12">
        <v>16</v>
      </c>
      <c r="N182" s="12"/>
      <c r="O182" s="12"/>
      <c r="P182" s="12">
        <v>16.75</v>
      </c>
      <c r="Q182" s="12" t="s">
        <v>115</v>
      </c>
      <c r="R182" s="12">
        <v>17</v>
      </c>
      <c r="S182" s="12"/>
      <c r="T182" s="12"/>
      <c r="U182" s="12" t="s">
        <v>99</v>
      </c>
      <c r="V182" s="12">
        <v>10</v>
      </c>
      <c r="W182" s="12">
        <v>10</v>
      </c>
      <c r="X182" s="12">
        <v>0.59399999999999997</v>
      </c>
      <c r="Y182" s="12">
        <v>1</v>
      </c>
      <c r="Z182" s="12">
        <v>0.59399999999999997</v>
      </c>
      <c r="AA182" s="12"/>
      <c r="AB182" s="12"/>
      <c r="AC182" s="12"/>
      <c r="AD182" s="12">
        <v>52</v>
      </c>
      <c r="AE182" s="12"/>
      <c r="AF182" s="12"/>
      <c r="AG182" s="12"/>
      <c r="AH182" s="12">
        <v>156</v>
      </c>
      <c r="AI182" s="12"/>
      <c r="AJ182" s="12"/>
      <c r="AK182" s="12"/>
      <c r="AL182" s="12"/>
      <c r="AM182" s="12"/>
      <c r="AN182" s="12">
        <v>750</v>
      </c>
      <c r="AO182" s="12">
        <v>71</v>
      </c>
      <c r="AP182" s="12"/>
      <c r="AQ182" s="12">
        <v>815</v>
      </c>
      <c r="AR182" s="12"/>
      <c r="AS182" s="12"/>
      <c r="AT182" s="12">
        <v>55</v>
      </c>
      <c r="AU182" s="12"/>
      <c r="AV182" s="12"/>
      <c r="AW182" s="12"/>
      <c r="AX182" s="12">
        <v>300</v>
      </c>
      <c r="AY182" s="12">
        <v>2000</v>
      </c>
      <c r="AZ182" s="12" t="s">
        <v>905</v>
      </c>
      <c r="BA182" s="12" t="s">
        <v>102</v>
      </c>
      <c r="BB182" s="12" t="s">
        <v>102</v>
      </c>
      <c r="BC182" s="12" t="s">
        <v>102</v>
      </c>
      <c r="BD182" s="12" t="s">
        <v>102</v>
      </c>
      <c r="BE182" s="12" t="s">
        <v>102</v>
      </c>
      <c r="BF182" s="12" t="s">
        <v>118</v>
      </c>
      <c r="BG182" s="12" t="s">
        <v>118</v>
      </c>
      <c r="BH182" s="12" t="s">
        <v>105</v>
      </c>
      <c r="BI182" s="12">
        <v>6</v>
      </c>
      <c r="BJ182" s="12">
        <v>2</v>
      </c>
      <c r="BK182" s="12">
        <v>2</v>
      </c>
      <c r="BL182" s="12">
        <v>20</v>
      </c>
      <c r="BM182" s="12">
        <v>4</v>
      </c>
      <c r="BN182" s="12">
        <v>8</v>
      </c>
      <c r="BO182" s="12">
        <v>6</v>
      </c>
      <c r="BP182" s="12">
        <v>6</v>
      </c>
      <c r="BQ182" s="12">
        <v>2</v>
      </c>
      <c r="BR182" s="12">
        <v>20</v>
      </c>
      <c r="BS182" s="12">
        <v>4</v>
      </c>
      <c r="BT182" s="12">
        <v>8</v>
      </c>
      <c r="BX182" s="8" t="s">
        <v>806</v>
      </c>
      <c r="CI182" s="51"/>
      <c r="CJ182" s="8" t="b">
        <v>0</v>
      </c>
      <c r="CT182" s="8">
        <v>114900</v>
      </c>
    </row>
    <row r="183" spans="1:98" s="8" customFormat="1" x14ac:dyDescent="0.25">
      <c r="A183" s="13">
        <v>114729</v>
      </c>
      <c r="B183" s="9">
        <v>18</v>
      </c>
      <c r="C183" s="9" t="s">
        <v>906</v>
      </c>
      <c r="D183" s="9" t="s">
        <v>94</v>
      </c>
      <c r="E183" s="9" t="s">
        <v>199</v>
      </c>
      <c r="F183" s="9"/>
      <c r="G183" s="33" t="str">
        <f>_xlfn.XLOOKUP(CT183,'Just Methods'!T:T,'Just Methods'!S:S)</f>
        <v xml:space="preserve"> 18" MFL+XYZ ATEX </v>
      </c>
      <c r="H183" s="47" t="str">
        <f>_xlfn.XLOOKUP(CT183,'Just Methods'!T:T,'Just Methods'!C:C)</f>
        <v>MFL.XYZ.18</v>
      </c>
      <c r="I183" s="9" t="str">
        <f>_xlfn.XLOOKUP(H183,'Alternative Tool Body Sheet'!A:A,'Alternative Tool Body Sheet'!C:C)</f>
        <v>16/18 MFL</v>
      </c>
      <c r="J183" s="9">
        <f t="shared" si="4"/>
        <v>5</v>
      </c>
      <c r="K183" s="9" t="s">
        <v>114</v>
      </c>
      <c r="L183" s="9">
        <v>18</v>
      </c>
      <c r="M183" s="9">
        <v>15.75</v>
      </c>
      <c r="N183" s="9">
        <v>12.5</v>
      </c>
      <c r="P183" s="9">
        <v>16.75</v>
      </c>
      <c r="Q183" s="9" t="s">
        <v>115</v>
      </c>
      <c r="R183" s="9">
        <v>16.75</v>
      </c>
      <c r="T183" s="9">
        <v>15.9</v>
      </c>
      <c r="U183" s="9" t="s">
        <v>116</v>
      </c>
      <c r="V183" s="9">
        <v>10</v>
      </c>
      <c r="W183" s="9">
        <v>10</v>
      </c>
      <c r="X183" s="9">
        <v>0.46</v>
      </c>
      <c r="Y183" s="9">
        <v>1</v>
      </c>
      <c r="Z183" s="9">
        <v>0.54900000000000004</v>
      </c>
      <c r="AD183" s="9">
        <v>52</v>
      </c>
      <c r="AH183" s="9">
        <v>156</v>
      </c>
      <c r="AN183" s="9">
        <v>750</v>
      </c>
      <c r="AO183" s="9">
        <v>71</v>
      </c>
      <c r="AP183" s="9">
        <v>32</v>
      </c>
      <c r="AQ183" s="9">
        <v>600</v>
      </c>
      <c r="AR183" s="9">
        <v>100</v>
      </c>
      <c r="AS183" s="9">
        <v>0</v>
      </c>
      <c r="AT183" s="9">
        <v>0</v>
      </c>
      <c r="AY183" s="9">
        <v>2000</v>
      </c>
      <c r="BA183" s="9" t="s">
        <v>102</v>
      </c>
      <c r="BB183" s="9" t="s">
        <v>101</v>
      </c>
      <c r="BC183" s="9" t="s">
        <v>101</v>
      </c>
      <c r="BD183" s="9" t="s">
        <v>102</v>
      </c>
      <c r="BE183" s="9" t="s">
        <v>102</v>
      </c>
      <c r="BF183" s="9" t="s">
        <v>126</v>
      </c>
      <c r="BG183" s="9" t="s">
        <v>126</v>
      </c>
      <c r="BH183" s="9" t="s">
        <v>105</v>
      </c>
      <c r="BI183" s="9">
        <v>6</v>
      </c>
      <c r="BJ183" s="9">
        <v>2</v>
      </c>
      <c r="BK183" s="9">
        <v>2</v>
      </c>
      <c r="BL183" s="9">
        <v>20</v>
      </c>
      <c r="BM183" s="9">
        <v>4</v>
      </c>
      <c r="BN183" s="9">
        <v>8</v>
      </c>
      <c r="BO183" s="9">
        <v>6</v>
      </c>
      <c r="BP183" s="9">
        <v>6</v>
      </c>
      <c r="BQ183" s="9">
        <v>2</v>
      </c>
      <c r="BR183" s="9">
        <v>20</v>
      </c>
      <c r="BS183" s="9">
        <v>4</v>
      </c>
      <c r="BT183" s="9">
        <v>8</v>
      </c>
      <c r="BX183" s="8" t="s">
        <v>806</v>
      </c>
      <c r="CI183" s="51"/>
      <c r="CJ183" s="8" t="b">
        <v>0</v>
      </c>
      <c r="CT183" s="8">
        <v>114729</v>
      </c>
    </row>
    <row r="184" spans="1:98" s="8" customFormat="1" x14ac:dyDescent="0.25">
      <c r="A184" s="13">
        <v>112552</v>
      </c>
      <c r="B184" s="9">
        <v>18</v>
      </c>
      <c r="C184" s="9" t="s">
        <v>907</v>
      </c>
      <c r="D184" s="9" t="s">
        <v>94</v>
      </c>
      <c r="E184" s="9" t="s">
        <v>194</v>
      </c>
      <c r="F184" s="9"/>
      <c r="G184" s="33" t="str">
        <f>_xlfn.XLOOKUP(CT184,'Just Methods'!T:T,'Just Methods'!S:S)</f>
        <v xml:space="preserve"> 18" DEF+XYZ ATEX </v>
      </c>
      <c r="H184" s="47" t="str">
        <f>_xlfn.XLOOKUP(CT184,'Just Methods'!T:T,'Just Methods'!C:C)</f>
        <v>DEF.XYZ.18</v>
      </c>
      <c r="I184" s="9" t="str">
        <f>_xlfn.XLOOKUP(H184,'Alternative Tool Body Sheet'!A:A,'Alternative Tool Body Sheet'!C:C)</f>
        <v>18 MGDEF</v>
      </c>
      <c r="J184" s="9">
        <f t="shared" si="4"/>
        <v>5</v>
      </c>
      <c r="K184" s="9" t="s">
        <v>114</v>
      </c>
      <c r="L184" s="9">
        <v>18</v>
      </c>
      <c r="M184" s="9">
        <v>13.5</v>
      </c>
      <c r="N184" s="9">
        <v>25</v>
      </c>
      <c r="P184" s="9">
        <v>16.75</v>
      </c>
      <c r="Q184" s="9" t="s">
        <v>115</v>
      </c>
      <c r="R184" s="9">
        <v>16</v>
      </c>
      <c r="U184" s="9" t="s">
        <v>116</v>
      </c>
      <c r="V184" s="9">
        <v>15</v>
      </c>
      <c r="AA184" s="9">
        <v>48</v>
      </c>
      <c r="AN184" s="9">
        <v>750</v>
      </c>
      <c r="AO184" s="9">
        <v>65</v>
      </c>
      <c r="AQ184" s="9">
        <v>295</v>
      </c>
      <c r="AT184" s="9">
        <v>35</v>
      </c>
      <c r="AX184" s="9">
        <v>300</v>
      </c>
      <c r="AY184" s="9">
        <v>2000</v>
      </c>
      <c r="AZ184" s="9" t="s">
        <v>908</v>
      </c>
      <c r="BA184" s="9" t="s">
        <v>102</v>
      </c>
      <c r="BB184" s="9" t="s">
        <v>101</v>
      </c>
      <c r="BC184" s="9" t="s">
        <v>101</v>
      </c>
      <c r="BD184" s="9" t="s">
        <v>102</v>
      </c>
      <c r="BE184" s="9" t="s">
        <v>102</v>
      </c>
      <c r="BF184" s="9" t="s">
        <v>118</v>
      </c>
      <c r="BG184" s="9" t="s">
        <v>118</v>
      </c>
      <c r="BH184" s="9" t="s">
        <v>105</v>
      </c>
      <c r="BI184" s="9">
        <v>6</v>
      </c>
      <c r="BJ184" s="9">
        <v>2</v>
      </c>
      <c r="BK184" s="9">
        <v>2</v>
      </c>
      <c r="BL184" s="9">
        <v>20</v>
      </c>
      <c r="BM184" s="9">
        <v>4</v>
      </c>
      <c r="BN184" s="9">
        <v>8</v>
      </c>
      <c r="BO184" s="9">
        <v>6</v>
      </c>
      <c r="BP184" s="9">
        <v>6</v>
      </c>
      <c r="BQ184" s="9">
        <v>2</v>
      </c>
      <c r="BR184" s="9">
        <v>20</v>
      </c>
      <c r="BS184" s="9">
        <v>4</v>
      </c>
      <c r="BT184" s="9">
        <v>8</v>
      </c>
      <c r="BY184" s="8">
        <v>109067</v>
      </c>
      <c r="CI184" s="51"/>
      <c r="CJ184" s="8" t="b">
        <v>0</v>
      </c>
      <c r="CT184" s="8">
        <v>112552</v>
      </c>
    </row>
    <row r="185" spans="1:98" s="8" customFormat="1" x14ac:dyDescent="0.25">
      <c r="A185" s="13">
        <v>112076</v>
      </c>
      <c r="B185" s="9">
        <v>18</v>
      </c>
      <c r="C185" s="9" t="s">
        <v>909</v>
      </c>
      <c r="D185" s="9" t="s">
        <v>94</v>
      </c>
      <c r="E185" s="9" t="s">
        <v>421</v>
      </c>
      <c r="F185" s="9"/>
      <c r="G185" s="33" t="str">
        <f>_xlfn.XLOOKUP(CT185,'Just Methods'!T:T,'Just Methods'!S:S)</f>
        <v xml:space="preserve"> 18" GMFL Integrated DEF Combo+XYZ </v>
      </c>
      <c r="H185" s="47" t="str">
        <f>_xlfn.XLOOKUP(CT185,'Just Methods'!T:T,'Just Methods'!C:C)</f>
        <v>DEF.GMFL.XYZ.18</v>
      </c>
      <c r="I185" s="9" t="str">
        <f>_xlfn.XLOOKUP(H185,'Alternative Tool Body Sheet'!A:A,'Alternative Tool Body Sheet'!C:C)</f>
        <v>18 GMFL</v>
      </c>
      <c r="J185" s="9">
        <f t="shared" si="4"/>
        <v>5</v>
      </c>
      <c r="K185" s="9" t="s">
        <v>114</v>
      </c>
      <c r="L185" s="9">
        <v>18</v>
      </c>
      <c r="M185" s="9">
        <v>13.5</v>
      </c>
      <c r="N185" s="9">
        <v>25</v>
      </c>
      <c r="P185" s="9">
        <v>16.75</v>
      </c>
      <c r="Q185" s="9" t="s">
        <v>115</v>
      </c>
      <c r="R185" s="9">
        <v>16</v>
      </c>
      <c r="S185" s="9">
        <v>15</v>
      </c>
      <c r="T185" s="9">
        <v>14</v>
      </c>
      <c r="U185" s="9" t="s">
        <v>116</v>
      </c>
      <c r="V185" s="9">
        <v>10</v>
      </c>
      <c r="W185" s="9">
        <v>10</v>
      </c>
      <c r="X185" s="9">
        <v>0.5</v>
      </c>
      <c r="Y185" s="9">
        <v>1</v>
      </c>
      <c r="Z185" s="9">
        <v>0.59499999999999997</v>
      </c>
      <c r="AA185" s="9">
        <v>48</v>
      </c>
      <c r="AC185" s="9">
        <v>168</v>
      </c>
      <c r="AD185" s="9">
        <v>56</v>
      </c>
      <c r="AN185" s="9">
        <v>750</v>
      </c>
      <c r="AO185" s="9">
        <v>96</v>
      </c>
      <c r="AQ185" s="9">
        <v>656</v>
      </c>
      <c r="AT185" s="9">
        <v>35</v>
      </c>
      <c r="AV185" s="9">
        <v>17.440000000000001</v>
      </c>
      <c r="AW185" s="9">
        <v>1.45</v>
      </c>
      <c r="AX185" s="9">
        <v>300</v>
      </c>
      <c r="AY185" s="9">
        <v>2000</v>
      </c>
      <c r="AZ185" s="9" t="s">
        <v>910</v>
      </c>
      <c r="BA185" s="9" t="s">
        <v>102</v>
      </c>
      <c r="BB185" s="9" t="s">
        <v>101</v>
      </c>
      <c r="BC185" s="9" t="s">
        <v>101</v>
      </c>
      <c r="BD185" s="9" t="s">
        <v>102</v>
      </c>
      <c r="BE185" s="9" t="s">
        <v>102</v>
      </c>
      <c r="BF185" s="9" t="s">
        <v>832</v>
      </c>
      <c r="BG185" s="9" t="s">
        <v>833</v>
      </c>
      <c r="BH185" s="9" t="s">
        <v>105</v>
      </c>
      <c r="BI185" s="9">
        <v>8</v>
      </c>
      <c r="BJ185" s="9">
        <v>2</v>
      </c>
      <c r="BK185" s="9">
        <v>2</v>
      </c>
      <c r="BL185" s="9">
        <v>20</v>
      </c>
      <c r="BM185" s="9">
        <v>4</v>
      </c>
      <c r="BN185" s="9">
        <v>10</v>
      </c>
      <c r="BO185" s="9">
        <v>8</v>
      </c>
      <c r="BP185" s="9">
        <v>8</v>
      </c>
      <c r="BQ185" s="9">
        <v>2</v>
      </c>
      <c r="BR185" s="9">
        <v>20</v>
      </c>
      <c r="BS185" s="9">
        <v>4</v>
      </c>
      <c r="BT185" s="9">
        <v>10</v>
      </c>
      <c r="BY185" s="8">
        <v>112548</v>
      </c>
      <c r="CI185" s="51">
        <v>112078</v>
      </c>
      <c r="CJ185" s="8" t="b">
        <v>0</v>
      </c>
      <c r="CT185" s="8">
        <v>112076</v>
      </c>
    </row>
    <row r="186" spans="1:98" s="8" customFormat="1" x14ac:dyDescent="0.25">
      <c r="A186" s="13">
        <v>113589</v>
      </c>
      <c r="B186" s="9">
        <v>18</v>
      </c>
      <c r="C186" s="9" t="s">
        <v>911</v>
      </c>
      <c r="D186" s="9" t="s">
        <v>94</v>
      </c>
      <c r="E186" s="9" t="s">
        <v>199</v>
      </c>
      <c r="F186" s="9"/>
      <c r="G186" s="33" t="str">
        <f>_xlfn.XLOOKUP(CT186,'Just Methods'!T:T,'Just Methods'!S:S)</f>
        <v xml:space="preserve"> 18" MFL+XYZ (xHD) </v>
      </c>
      <c r="H186" s="47" t="str">
        <f>_xlfn.XLOOKUP(CT186,'Just Methods'!T:T,'Just Methods'!C:C)</f>
        <v>MFL.XYZ.18</v>
      </c>
      <c r="I186" s="9" t="str">
        <f>_xlfn.XLOOKUP(H186,'Alternative Tool Body Sheet'!A:A,'Alternative Tool Body Sheet'!C:C)</f>
        <v>16/18 MFL</v>
      </c>
      <c r="J186" s="9">
        <f t="shared" si="4"/>
        <v>5</v>
      </c>
      <c r="K186" s="9" t="s">
        <v>114</v>
      </c>
      <c r="L186" s="9">
        <v>18</v>
      </c>
      <c r="M186" s="9">
        <v>15.75</v>
      </c>
      <c r="N186" s="9">
        <v>12.5</v>
      </c>
      <c r="P186" s="9">
        <v>16.75</v>
      </c>
      <c r="Q186" s="9" t="s">
        <v>115</v>
      </c>
      <c r="R186" s="9">
        <v>16.75</v>
      </c>
      <c r="T186" s="9">
        <v>15.9</v>
      </c>
      <c r="U186" s="9" t="s">
        <v>116</v>
      </c>
      <c r="V186" s="9">
        <v>10</v>
      </c>
      <c r="W186" s="9">
        <v>10</v>
      </c>
      <c r="X186" s="9">
        <v>0.46</v>
      </c>
      <c r="Y186" s="9">
        <v>1</v>
      </c>
      <c r="Z186" s="9">
        <v>0.54900000000000004</v>
      </c>
      <c r="AD186" s="9">
        <v>52</v>
      </c>
      <c r="AH186" s="9">
        <v>156</v>
      </c>
      <c r="AN186" s="9">
        <v>750</v>
      </c>
      <c r="AO186" s="9">
        <v>71</v>
      </c>
      <c r="AP186" s="9">
        <v>32</v>
      </c>
      <c r="AQ186" s="9">
        <v>600</v>
      </c>
      <c r="AR186" s="9">
        <v>100</v>
      </c>
      <c r="AT186" s="9">
        <v>59</v>
      </c>
      <c r="AY186" s="9">
        <v>2000</v>
      </c>
      <c r="BA186" s="9" t="s">
        <v>102</v>
      </c>
      <c r="BB186" s="9" t="s">
        <v>101</v>
      </c>
      <c r="BC186" s="9" t="s">
        <v>101</v>
      </c>
      <c r="BD186" s="9" t="s">
        <v>102</v>
      </c>
      <c r="BE186" s="9" t="s">
        <v>102</v>
      </c>
      <c r="BF186" s="9" t="s">
        <v>126</v>
      </c>
      <c r="BG186" s="9" t="s">
        <v>126</v>
      </c>
      <c r="BH186" s="9" t="s">
        <v>105</v>
      </c>
      <c r="BI186" s="9">
        <v>6</v>
      </c>
      <c r="BJ186" s="9">
        <v>2</v>
      </c>
      <c r="BK186" s="9">
        <v>2</v>
      </c>
      <c r="BL186" s="9">
        <v>20</v>
      </c>
      <c r="BM186" s="9">
        <v>4</v>
      </c>
      <c r="BN186" s="9">
        <v>8</v>
      </c>
      <c r="BO186" s="9">
        <v>6</v>
      </c>
      <c r="BP186" s="9">
        <v>6</v>
      </c>
      <c r="BQ186" s="9">
        <v>2</v>
      </c>
      <c r="BR186" s="9">
        <v>20</v>
      </c>
      <c r="BS186" s="9">
        <v>4</v>
      </c>
      <c r="BT186" s="9">
        <v>8</v>
      </c>
      <c r="BX186" s="8" t="s">
        <v>806</v>
      </c>
      <c r="CI186" s="51"/>
      <c r="CJ186" s="8" t="b">
        <v>0</v>
      </c>
      <c r="CT186" s="8">
        <v>113589</v>
      </c>
    </row>
    <row r="187" spans="1:98" s="8" customFormat="1" x14ac:dyDescent="0.25">
      <c r="A187" s="13">
        <v>126341</v>
      </c>
      <c r="B187" s="9">
        <v>18</v>
      </c>
      <c r="C187" s="9" t="s">
        <v>912</v>
      </c>
      <c r="D187" s="9" t="s">
        <v>94</v>
      </c>
      <c r="E187" s="9" t="s">
        <v>349</v>
      </c>
      <c r="F187" s="9"/>
      <c r="G187" s="33" t="str">
        <f>_xlfn.XLOOKUP(CT187,'Just Methods'!T:T,'Just Methods'!S:S)</f>
        <v xml:space="preserve"> 18" GMFL Integrated DEF COMBO </v>
      </c>
      <c r="H187" s="47" t="str">
        <f>_xlfn.XLOOKUP(CT187,'Just Methods'!T:T,'Just Methods'!C:C)</f>
        <v>DEF.GMFL.18</v>
      </c>
      <c r="I187" s="9" t="str">
        <f>_xlfn.XLOOKUP(H187,'Alternative Tool Body Sheet'!A:A,'Alternative Tool Body Sheet'!C:C)</f>
        <v>18 GMFL</v>
      </c>
      <c r="J187" s="9">
        <f t="shared" si="4"/>
        <v>5</v>
      </c>
      <c r="K187" s="9" t="s">
        <v>114</v>
      </c>
      <c r="L187" s="9">
        <v>18</v>
      </c>
      <c r="M187" s="9">
        <v>13.5</v>
      </c>
      <c r="N187" s="9">
        <v>25</v>
      </c>
      <c r="P187" s="9">
        <v>16.75</v>
      </c>
      <c r="Q187" s="9" t="s">
        <v>115</v>
      </c>
      <c r="R187" s="9">
        <v>16</v>
      </c>
      <c r="S187" s="9">
        <v>15</v>
      </c>
      <c r="T187" s="9">
        <v>14</v>
      </c>
      <c r="U187" s="9" t="s">
        <v>116</v>
      </c>
      <c r="V187" s="9">
        <v>10</v>
      </c>
      <c r="W187" s="9">
        <v>10</v>
      </c>
      <c r="X187" s="9">
        <v>0.5</v>
      </c>
      <c r="Y187" s="9">
        <v>1</v>
      </c>
      <c r="Z187" s="9">
        <v>0.59499999999999997</v>
      </c>
      <c r="AA187" s="9">
        <v>48</v>
      </c>
      <c r="AC187" s="9">
        <v>168</v>
      </c>
      <c r="AD187" s="9">
        <v>56</v>
      </c>
      <c r="AN187" s="9">
        <v>750</v>
      </c>
      <c r="AO187" s="9">
        <v>96</v>
      </c>
      <c r="AP187" s="9">
        <v>32</v>
      </c>
      <c r="AQ187" s="9">
        <v>615</v>
      </c>
      <c r="AR187" s="9">
        <v>100</v>
      </c>
      <c r="AT187" s="9">
        <v>76</v>
      </c>
      <c r="AV187" s="9">
        <v>17.440000000000001</v>
      </c>
      <c r="AW187" s="9">
        <v>1.45</v>
      </c>
      <c r="AX187" s="9">
        <v>300</v>
      </c>
      <c r="AY187" s="9">
        <v>2000</v>
      </c>
      <c r="AZ187" s="9" t="s">
        <v>913</v>
      </c>
      <c r="BA187" s="9" t="s">
        <v>102</v>
      </c>
      <c r="BB187" s="9" t="s">
        <v>101</v>
      </c>
      <c r="BC187" s="9" t="s">
        <v>101</v>
      </c>
      <c r="BD187" s="9" t="s">
        <v>102</v>
      </c>
      <c r="BE187" s="9" t="s">
        <v>102</v>
      </c>
      <c r="BF187" s="9" t="s">
        <v>832</v>
      </c>
      <c r="BG187" s="9" t="s">
        <v>833</v>
      </c>
      <c r="BH187" s="9" t="s">
        <v>105</v>
      </c>
      <c r="BI187" s="9">
        <v>8</v>
      </c>
      <c r="BJ187" s="9">
        <v>2</v>
      </c>
      <c r="BK187" s="9">
        <v>2</v>
      </c>
      <c r="BL187" s="9">
        <v>20</v>
      </c>
      <c r="BM187" s="9">
        <v>4</v>
      </c>
      <c r="BN187" s="9">
        <v>10</v>
      </c>
      <c r="BO187" s="9">
        <v>8</v>
      </c>
      <c r="BP187" s="9">
        <v>8</v>
      </c>
      <c r="BQ187" s="9">
        <v>2</v>
      </c>
      <c r="BR187" s="9">
        <v>20</v>
      </c>
      <c r="BS187" s="9">
        <v>4</v>
      </c>
      <c r="BT187" s="9">
        <v>10</v>
      </c>
      <c r="BY187" s="8">
        <v>112548</v>
      </c>
      <c r="CI187" s="51">
        <v>112078</v>
      </c>
      <c r="CJ187" s="8" t="b">
        <v>0</v>
      </c>
      <c r="CT187" s="8">
        <v>126341</v>
      </c>
    </row>
    <row r="188" spans="1:98" s="8" customFormat="1" x14ac:dyDescent="0.25">
      <c r="A188" s="13">
        <v>115727</v>
      </c>
      <c r="B188" s="9">
        <v>20</v>
      </c>
      <c r="C188" s="9" t="s">
        <v>914</v>
      </c>
      <c r="D188" s="9" t="s">
        <v>121</v>
      </c>
      <c r="E188" s="9" t="s">
        <v>410</v>
      </c>
      <c r="F188" s="9"/>
      <c r="G188" s="33" t="str">
        <f>_xlfn.XLOOKUP(CT188,'Just Methods'!T:T,'Just Methods'!S:S)</f>
        <v xml:space="preserve"> 20" MDS FLEX MFL3+DEF+LFM+XYZ </v>
      </c>
      <c r="H188" s="47" t="str">
        <f>_xlfn.XLOOKUP(CT188,'Just Methods'!T:T,'Just Methods'!C:C)</f>
        <v>FLEXDEFLFMMFLXYZ.20</v>
      </c>
      <c r="I188" s="9" t="s">
        <v>915</v>
      </c>
      <c r="J188" s="9">
        <f t="shared" si="4"/>
        <v>7</v>
      </c>
      <c r="K188" s="9" t="s">
        <v>114</v>
      </c>
      <c r="L188" s="9">
        <v>20</v>
      </c>
      <c r="M188" s="9">
        <v>17.25</v>
      </c>
      <c r="N188" s="9">
        <v>13.75</v>
      </c>
      <c r="P188" s="9">
        <v>18.5</v>
      </c>
      <c r="Q188" s="9" t="s">
        <v>115</v>
      </c>
      <c r="R188" s="9">
        <v>18.25</v>
      </c>
      <c r="U188" s="9" t="s">
        <v>99</v>
      </c>
      <c r="V188" s="9">
        <v>10</v>
      </c>
      <c r="W188" s="9">
        <v>10</v>
      </c>
      <c r="X188" s="9">
        <v>0.75</v>
      </c>
      <c r="Y188" s="9">
        <v>1</v>
      </c>
      <c r="Z188" s="9">
        <v>0.86799999999999999</v>
      </c>
      <c r="AA188" s="9">
        <v>76</v>
      </c>
      <c r="AB188" s="9">
        <v>228</v>
      </c>
      <c r="AD188" s="9">
        <v>76</v>
      </c>
      <c r="AF188" s="9">
        <v>228</v>
      </c>
      <c r="AN188" s="9">
        <v>750</v>
      </c>
      <c r="AO188" s="9">
        <v>125</v>
      </c>
      <c r="AQ188" s="9">
        <v>1862</v>
      </c>
      <c r="AT188" s="9">
        <v>54</v>
      </c>
      <c r="AX188" s="9">
        <v>400</v>
      </c>
      <c r="AY188" s="9">
        <v>2000</v>
      </c>
      <c r="AZ188" s="9" t="s">
        <v>916</v>
      </c>
      <c r="BA188" s="9" t="s">
        <v>102</v>
      </c>
      <c r="BB188" s="9" t="s">
        <v>101</v>
      </c>
      <c r="BC188" s="9" t="s">
        <v>101</v>
      </c>
      <c r="BD188" s="9" t="s">
        <v>102</v>
      </c>
      <c r="BE188" s="9" t="s">
        <v>102</v>
      </c>
      <c r="BF188" s="9" t="s">
        <v>118</v>
      </c>
      <c r="BG188" s="9" t="s">
        <v>792</v>
      </c>
      <c r="BH188" s="9" t="s">
        <v>105</v>
      </c>
      <c r="BI188" s="9">
        <v>11</v>
      </c>
      <c r="BJ188" s="9">
        <v>2</v>
      </c>
      <c r="BK188" s="9">
        <v>2</v>
      </c>
      <c r="BL188" s="9">
        <v>22</v>
      </c>
      <c r="BM188" s="9">
        <v>4</v>
      </c>
      <c r="BN188" s="9">
        <v>14</v>
      </c>
      <c r="BO188" s="9">
        <v>11</v>
      </c>
      <c r="BP188" s="9">
        <v>11</v>
      </c>
      <c r="BQ188" s="9">
        <v>2</v>
      </c>
      <c r="BR188" s="9">
        <v>22</v>
      </c>
      <c r="BS188" s="9">
        <v>4</v>
      </c>
      <c r="BT188" s="9">
        <v>14</v>
      </c>
      <c r="BX188" s="8">
        <v>111283</v>
      </c>
      <c r="BY188" s="8">
        <v>112950</v>
      </c>
      <c r="CH188" s="8">
        <v>111284</v>
      </c>
      <c r="CI188" s="51"/>
      <c r="CJ188" s="8" t="b">
        <v>0</v>
      </c>
      <c r="CT188" s="8">
        <v>115727</v>
      </c>
    </row>
    <row r="189" spans="1:98" s="8" customFormat="1" x14ac:dyDescent="0.25">
      <c r="A189" s="13">
        <v>114865</v>
      </c>
      <c r="B189" s="9">
        <v>20</v>
      </c>
      <c r="C189" s="9" t="s">
        <v>917</v>
      </c>
      <c r="D189" s="9" t="s">
        <v>94</v>
      </c>
      <c r="E189" s="9" t="s">
        <v>421</v>
      </c>
      <c r="F189" s="9"/>
      <c r="G189" s="33" t="str">
        <f>_xlfn.XLOOKUP(CT189,'Just Methods'!T:T,'Just Methods'!S:S)</f>
        <v xml:space="preserve"> 20" GMFL+DEF+XYZ ATEX </v>
      </c>
      <c r="H189" s="47" t="str">
        <f>_xlfn.XLOOKUP(CT189,'Just Methods'!T:T,'Just Methods'!C:C)</f>
        <v>DEF.GMFL.XYZ.20</v>
      </c>
      <c r="I189" s="9" t="str">
        <f>_xlfn.XLOOKUP(H189,'Alternative Tool Body Sheet'!A:A,'Alternative Tool Body Sheet'!C:C)</f>
        <v>20 GMFL</v>
      </c>
      <c r="J189" s="9">
        <f t="shared" ref="J189:J252" si="6">IF(ISNUMBER(SEARCH("Legacy",D189)),5,
IF(OR(ISNUMBER(SEARCH("MDS",D189)),ISNUMBER(SEARCH("EMAT",D189))),7,""))</f>
        <v>5</v>
      </c>
      <c r="K189" s="9" t="s">
        <v>114</v>
      </c>
      <c r="L189" s="9">
        <v>20</v>
      </c>
      <c r="M189" s="9">
        <v>15.4</v>
      </c>
      <c r="N189" s="9">
        <v>23</v>
      </c>
      <c r="P189" s="9">
        <v>18.5</v>
      </c>
      <c r="Q189" s="9" t="s">
        <v>99</v>
      </c>
      <c r="R189" s="9">
        <v>18.5</v>
      </c>
      <c r="U189" s="9" t="s">
        <v>116</v>
      </c>
      <c r="V189" s="9">
        <v>10</v>
      </c>
      <c r="W189" s="9">
        <v>10</v>
      </c>
      <c r="X189" s="9">
        <v>0.75</v>
      </c>
      <c r="Y189" s="9">
        <v>1</v>
      </c>
      <c r="Z189" s="9">
        <v>0.75</v>
      </c>
      <c r="AA189" s="9">
        <v>48</v>
      </c>
      <c r="AC189" s="9">
        <v>180</v>
      </c>
      <c r="AD189" s="9">
        <v>60</v>
      </c>
      <c r="AN189" s="9">
        <v>750</v>
      </c>
      <c r="AO189" s="9">
        <v>130</v>
      </c>
      <c r="AQ189" s="9">
        <v>1040</v>
      </c>
      <c r="AT189" s="9">
        <v>15</v>
      </c>
      <c r="AV189" s="9">
        <v>23</v>
      </c>
      <c r="AW189" s="9">
        <v>1.92</v>
      </c>
      <c r="AX189" s="9">
        <v>250</v>
      </c>
      <c r="AY189" s="9">
        <v>2000</v>
      </c>
      <c r="AZ189" s="9" t="s">
        <v>918</v>
      </c>
      <c r="BA189" s="9" t="s">
        <v>102</v>
      </c>
      <c r="BB189" s="9" t="s">
        <v>102</v>
      </c>
      <c r="BC189" s="9" t="s">
        <v>102</v>
      </c>
      <c r="BD189" s="9" t="s">
        <v>102</v>
      </c>
      <c r="BE189" s="9" t="s">
        <v>102</v>
      </c>
      <c r="BF189" s="9" t="s">
        <v>919</v>
      </c>
      <c r="BG189" s="9" t="s">
        <v>920</v>
      </c>
      <c r="BH189" s="9" t="s">
        <v>105</v>
      </c>
      <c r="BI189" s="9">
        <v>11</v>
      </c>
      <c r="BJ189" s="9">
        <v>2</v>
      </c>
      <c r="BK189" s="9">
        <v>2</v>
      </c>
      <c r="BL189" s="9">
        <v>22</v>
      </c>
      <c r="BM189" s="9">
        <v>4</v>
      </c>
      <c r="BN189" s="9">
        <v>14</v>
      </c>
      <c r="BO189" s="9">
        <v>11</v>
      </c>
      <c r="BP189" s="9">
        <v>11</v>
      </c>
      <c r="BQ189" s="9">
        <v>2</v>
      </c>
      <c r="BR189" s="9">
        <v>22</v>
      </c>
      <c r="BS189" s="9">
        <v>4</v>
      </c>
      <c r="BT189" s="9">
        <v>14</v>
      </c>
      <c r="BY189" s="8">
        <v>109322</v>
      </c>
      <c r="CI189" s="51">
        <v>109101</v>
      </c>
      <c r="CJ189" s="8" t="b">
        <v>0</v>
      </c>
      <c r="CT189" s="8">
        <v>114865</v>
      </c>
    </row>
    <row r="190" spans="1:98" s="8" customFormat="1" x14ac:dyDescent="0.25">
      <c r="A190" s="13">
        <v>112114</v>
      </c>
      <c r="B190" s="9">
        <v>20</v>
      </c>
      <c r="C190" s="9" t="s">
        <v>921</v>
      </c>
      <c r="D190" s="9" t="s">
        <v>121</v>
      </c>
      <c r="E190" s="9" t="s">
        <v>331</v>
      </c>
      <c r="F190" s="9"/>
      <c r="G190" s="33" t="str">
        <f>_xlfn.XLOOKUP(CT190,'Just Methods'!T:T,'Just Methods'!S:S)</f>
        <v xml:space="preserve"> 20" MFL3+DEF+SpirALL® MFL+XYZ+LFM </v>
      </c>
      <c r="H190" s="47" t="str">
        <f>_xlfn.XLOOKUP(CT190,'Just Methods'!T:T,'Just Methods'!C:C)</f>
        <v>DEF.LFM.MFL.SMFL.XYZ.20</v>
      </c>
      <c r="I190" s="9" t="str">
        <f>_xlfn.XLOOKUP(H190,'Alternative Tool Body Sheet'!A:A,'Alternative Tool Body Sheet'!C:C)</f>
        <v>20/22 MDS</v>
      </c>
      <c r="J190" s="9">
        <f t="shared" si="6"/>
        <v>7</v>
      </c>
      <c r="K190" s="9" t="s">
        <v>114</v>
      </c>
      <c r="L190" s="9">
        <v>20</v>
      </c>
      <c r="M190" s="9">
        <v>17.25</v>
      </c>
      <c r="N190" s="9">
        <v>13.75</v>
      </c>
      <c r="P190" s="9">
        <v>18.5</v>
      </c>
      <c r="Q190" s="9" t="s">
        <v>115</v>
      </c>
      <c r="R190" s="9">
        <v>18.25</v>
      </c>
      <c r="U190" s="9" t="s">
        <v>99</v>
      </c>
      <c r="V190" s="9">
        <v>8.3000000000000007</v>
      </c>
      <c r="W190" s="9">
        <v>10</v>
      </c>
      <c r="X190" s="9">
        <v>0.75</v>
      </c>
      <c r="Y190" s="9">
        <v>1</v>
      </c>
      <c r="Z190" s="9">
        <v>0.86799999999999999</v>
      </c>
      <c r="AA190" s="9">
        <v>76</v>
      </c>
      <c r="AD190" s="9">
        <v>76</v>
      </c>
      <c r="AF190" s="9">
        <v>228</v>
      </c>
      <c r="AH190" s="9">
        <v>228</v>
      </c>
      <c r="AJ190" s="9">
        <v>480</v>
      </c>
      <c r="AN190" s="9">
        <v>750</v>
      </c>
      <c r="AO190" s="9">
        <v>165</v>
      </c>
      <c r="AQ190" s="9">
        <v>2550</v>
      </c>
      <c r="AT190" s="9">
        <v>18</v>
      </c>
      <c r="AX190" s="9">
        <v>400</v>
      </c>
      <c r="AY190" s="9">
        <v>2000</v>
      </c>
      <c r="AZ190" s="9" t="s">
        <v>922</v>
      </c>
      <c r="BA190" s="9" t="s">
        <v>102</v>
      </c>
      <c r="BB190" s="9" t="s">
        <v>102</v>
      </c>
      <c r="BC190" s="9" t="s">
        <v>102</v>
      </c>
      <c r="BD190" s="9" t="s">
        <v>102</v>
      </c>
      <c r="BE190" s="9" t="s">
        <v>102</v>
      </c>
      <c r="BF190" s="9" t="s">
        <v>118</v>
      </c>
      <c r="BG190" s="9" t="s">
        <v>792</v>
      </c>
      <c r="BH190" s="9" t="s">
        <v>105</v>
      </c>
      <c r="BI190" s="9">
        <v>14</v>
      </c>
      <c r="BJ190" s="9">
        <v>2</v>
      </c>
      <c r="BK190" s="9">
        <v>2</v>
      </c>
      <c r="BL190" s="9">
        <v>22</v>
      </c>
      <c r="BM190" s="9">
        <v>4</v>
      </c>
      <c r="BN190" s="9">
        <v>19</v>
      </c>
      <c r="BO190" s="9">
        <v>14</v>
      </c>
      <c r="BP190" s="9">
        <v>14</v>
      </c>
      <c r="BQ190" s="9">
        <v>2</v>
      </c>
      <c r="BR190" s="9">
        <v>22</v>
      </c>
      <c r="BS190" s="9">
        <v>4</v>
      </c>
      <c r="BT190" s="9">
        <v>19</v>
      </c>
      <c r="BX190" s="8">
        <v>111283</v>
      </c>
      <c r="BY190" s="8">
        <v>112950</v>
      </c>
      <c r="CD190" s="8">
        <v>120123</v>
      </c>
      <c r="CH190" s="8">
        <v>111284</v>
      </c>
      <c r="CI190" s="51"/>
      <c r="CJ190" s="8" t="b">
        <v>0</v>
      </c>
      <c r="CT190" s="8">
        <v>112114</v>
      </c>
    </row>
    <row r="191" spans="1:98" s="8" customFormat="1" x14ac:dyDescent="0.25">
      <c r="A191" s="13">
        <v>130185</v>
      </c>
      <c r="B191" s="9">
        <v>20</v>
      </c>
      <c r="C191" s="9" t="s">
        <v>923</v>
      </c>
      <c r="D191" s="9" t="s">
        <v>121</v>
      </c>
      <c r="E191" s="9" t="s">
        <v>301</v>
      </c>
      <c r="F191" s="9"/>
      <c r="G191" s="33" t="str">
        <f>_xlfn.XLOOKUP(CT191,'Just Methods'!T:T,'Just Methods'!S:S)</f>
        <v xml:space="preserve"> 20" DEF2+LFM+SMFL3+ULTRA RES MFL, SpirALL MFL </v>
      </c>
      <c r="H191" s="47" t="str">
        <f>_xlfn.XLOOKUP(CT191,'Just Methods'!T:T,'Just Methods'!C:C)</f>
        <v>DEF.LFM.SMFL.UMFL.20</v>
      </c>
      <c r="I191" s="9" t="str">
        <f>_xlfn.XLOOKUP(H191,'Alternative Tool Body Sheet'!A:A,'Alternative Tool Body Sheet'!C:C)</f>
        <v>20/22 MDS</v>
      </c>
      <c r="J191" s="9">
        <f t="shared" si="6"/>
        <v>7</v>
      </c>
      <c r="K191" s="9" t="s">
        <v>114</v>
      </c>
      <c r="L191" s="9">
        <v>20</v>
      </c>
      <c r="M191" s="9">
        <v>17.25</v>
      </c>
      <c r="N191" s="9">
        <v>13.75</v>
      </c>
      <c r="P191" s="9">
        <v>18.5</v>
      </c>
      <c r="Q191" s="9" t="s">
        <v>115</v>
      </c>
      <c r="R191" s="9">
        <v>18.25</v>
      </c>
      <c r="U191" s="9" t="s">
        <v>99</v>
      </c>
      <c r="V191" s="9">
        <v>10</v>
      </c>
      <c r="W191" s="9">
        <v>10</v>
      </c>
      <c r="X191" s="9">
        <v>0.75</v>
      </c>
      <c r="Y191" s="9">
        <v>1</v>
      </c>
      <c r="Z191" s="9">
        <v>0.86799999999999999</v>
      </c>
      <c r="AA191" s="9">
        <v>76</v>
      </c>
      <c r="AD191" s="9">
        <v>76</v>
      </c>
      <c r="AF191" s="9">
        <v>228</v>
      </c>
      <c r="AH191" s="9">
        <v>456</v>
      </c>
      <c r="AJ191" s="9">
        <v>480</v>
      </c>
      <c r="AN191" s="9">
        <v>750</v>
      </c>
      <c r="AO191" s="9">
        <v>165</v>
      </c>
      <c r="AQ191" s="9">
        <v>2540</v>
      </c>
      <c r="AT191" s="9">
        <v>73</v>
      </c>
      <c r="AX191" s="9">
        <v>400</v>
      </c>
      <c r="AY191" s="9">
        <v>2000</v>
      </c>
      <c r="AZ191" s="9" t="s">
        <v>924</v>
      </c>
      <c r="BA191" s="9" t="s">
        <v>102</v>
      </c>
      <c r="BB191" s="9" t="s">
        <v>102</v>
      </c>
      <c r="BC191" s="9" t="s">
        <v>102</v>
      </c>
      <c r="BD191" s="9" t="s">
        <v>102</v>
      </c>
      <c r="BE191" s="9" t="s">
        <v>102</v>
      </c>
      <c r="BF191" s="9" t="s">
        <v>118</v>
      </c>
      <c r="BG191" s="9" t="s">
        <v>792</v>
      </c>
      <c r="BH191" s="9" t="s">
        <v>105</v>
      </c>
      <c r="BI191" s="9">
        <v>14</v>
      </c>
      <c r="BJ191" s="9">
        <v>2</v>
      </c>
      <c r="BK191" s="9">
        <v>2</v>
      </c>
      <c r="BL191" s="9">
        <v>22</v>
      </c>
      <c r="BM191" s="9">
        <v>4</v>
      </c>
      <c r="BN191" s="9">
        <v>19</v>
      </c>
      <c r="BO191" s="9">
        <v>14</v>
      </c>
      <c r="BP191" s="9">
        <v>14</v>
      </c>
      <c r="BQ191" s="9">
        <v>2</v>
      </c>
      <c r="BR191" s="9">
        <v>22</v>
      </c>
      <c r="BS191" s="9">
        <v>4</v>
      </c>
      <c r="BT191" s="9">
        <v>19</v>
      </c>
      <c r="BX191" s="55">
        <v>110710</v>
      </c>
      <c r="BY191" s="8">
        <v>112950</v>
      </c>
      <c r="CD191" s="8">
        <v>120123</v>
      </c>
      <c r="CH191" s="8">
        <v>111284</v>
      </c>
      <c r="CI191" s="51"/>
      <c r="CJ191" s="8" t="b">
        <v>0</v>
      </c>
      <c r="CT191" s="8">
        <v>130185</v>
      </c>
    </row>
    <row r="192" spans="1:98" s="8" customFormat="1" x14ac:dyDescent="0.25">
      <c r="A192" s="13">
        <v>112115</v>
      </c>
      <c r="B192" s="9">
        <v>20</v>
      </c>
      <c r="C192" s="9" t="s">
        <v>925</v>
      </c>
      <c r="D192" s="9" t="s">
        <v>121</v>
      </c>
      <c r="E192" s="9" t="s">
        <v>301</v>
      </c>
      <c r="F192" s="9"/>
      <c r="G192" s="33" t="str">
        <f>_xlfn.XLOOKUP(CT192,'Just Methods'!T:T,'Just Methods'!S:S)</f>
        <v xml:space="preserve"> 20" MFL3+DEF+SpirALL® MFL+LFM </v>
      </c>
      <c r="H192" s="47" t="str">
        <f>_xlfn.XLOOKUP(CT192,'Just Methods'!T:T,'Just Methods'!C:C)</f>
        <v>DEF.LFM.MFL.SMFL.20</v>
      </c>
      <c r="I192" s="9" t="str">
        <f>_xlfn.XLOOKUP(H192,'Alternative Tool Body Sheet'!A:A,'Alternative Tool Body Sheet'!C:C)</f>
        <v>20/22 MDS</v>
      </c>
      <c r="J192" s="9">
        <f t="shared" si="6"/>
        <v>7</v>
      </c>
      <c r="K192" s="9" t="s">
        <v>114</v>
      </c>
      <c r="L192" s="9">
        <v>20</v>
      </c>
      <c r="M192" s="9">
        <v>17.25</v>
      </c>
      <c r="N192" s="9">
        <v>13.75</v>
      </c>
      <c r="P192" s="9">
        <v>18.5</v>
      </c>
      <c r="Q192" s="9" t="s">
        <v>115</v>
      </c>
      <c r="R192" s="9">
        <v>18.25</v>
      </c>
      <c r="U192" s="9" t="s">
        <v>99</v>
      </c>
      <c r="V192" s="9">
        <v>8.3000000000000007</v>
      </c>
      <c r="W192" s="9">
        <v>10</v>
      </c>
      <c r="X192" s="9">
        <v>0.75</v>
      </c>
      <c r="Y192" s="9">
        <v>1</v>
      </c>
      <c r="Z192" s="9">
        <v>0.86799999999999999</v>
      </c>
      <c r="AA192" s="9">
        <v>76</v>
      </c>
      <c r="AD192" s="9">
        <v>76</v>
      </c>
      <c r="AF192" s="9">
        <v>228</v>
      </c>
      <c r="AH192" s="9">
        <v>228</v>
      </c>
      <c r="AJ192" s="9">
        <v>480</v>
      </c>
      <c r="AN192" s="9">
        <v>750</v>
      </c>
      <c r="AO192" s="9">
        <v>165</v>
      </c>
      <c r="AQ192" s="9">
        <v>2540</v>
      </c>
      <c r="AT192" s="9">
        <v>97</v>
      </c>
      <c r="AX192" s="9">
        <v>400</v>
      </c>
      <c r="AY192" s="9">
        <v>2000</v>
      </c>
      <c r="AZ192" s="9" t="s">
        <v>926</v>
      </c>
      <c r="BA192" s="9" t="s">
        <v>102</v>
      </c>
      <c r="BB192" s="9" t="s">
        <v>102</v>
      </c>
      <c r="BC192" s="9" t="s">
        <v>102</v>
      </c>
      <c r="BD192" s="9" t="s">
        <v>102</v>
      </c>
      <c r="BE192" s="9" t="s">
        <v>102</v>
      </c>
      <c r="BF192" s="9" t="s">
        <v>118</v>
      </c>
      <c r="BG192" s="9" t="s">
        <v>792</v>
      </c>
      <c r="BH192" s="9" t="s">
        <v>105</v>
      </c>
      <c r="BI192" s="9">
        <v>14</v>
      </c>
      <c r="BJ192" s="9">
        <v>2</v>
      </c>
      <c r="BK192" s="9">
        <v>2</v>
      </c>
      <c r="BL192" s="9">
        <v>22</v>
      </c>
      <c r="BM192" s="9">
        <v>4</v>
      </c>
      <c r="BN192" s="9">
        <v>19</v>
      </c>
      <c r="BO192" s="9">
        <v>14</v>
      </c>
      <c r="BP192" s="9">
        <v>14</v>
      </c>
      <c r="BQ192" s="9">
        <v>2</v>
      </c>
      <c r="BR192" s="9">
        <v>22</v>
      </c>
      <c r="BS192" s="9">
        <v>4</v>
      </c>
      <c r="BT192" s="9">
        <v>19</v>
      </c>
      <c r="BX192" s="8">
        <v>111283</v>
      </c>
      <c r="BY192" s="8">
        <v>112950</v>
      </c>
      <c r="CD192" s="8">
        <v>120123</v>
      </c>
      <c r="CH192" s="8">
        <v>111284</v>
      </c>
      <c r="CI192" s="51"/>
      <c r="CJ192" s="8" t="b">
        <v>0</v>
      </c>
      <c r="CT192" s="8">
        <v>112115</v>
      </c>
    </row>
    <row r="193" spans="1:98" s="8" customFormat="1" x14ac:dyDescent="0.25">
      <c r="A193" s="13">
        <v>109627</v>
      </c>
      <c r="B193" s="9">
        <v>20</v>
      </c>
      <c r="C193" s="9" t="s">
        <v>927</v>
      </c>
      <c r="D193" s="9" t="s">
        <v>94</v>
      </c>
      <c r="E193" s="9" t="s">
        <v>169</v>
      </c>
      <c r="F193" s="9"/>
      <c r="G193" s="33" t="str">
        <f>_xlfn.XLOOKUP(CT193,'Just Methods'!T:T,'Just Methods'!S:S)</f>
        <v xml:space="preserve"> 20" MFL ATEX </v>
      </c>
      <c r="H193" s="47" t="str">
        <f>_xlfn.XLOOKUP(CT193,'Just Methods'!T:T,'Just Methods'!C:C)</f>
        <v>MFL.20</v>
      </c>
      <c r="I193" s="9" t="str">
        <f>_xlfn.XLOOKUP(H193,'Alternative Tool Body Sheet'!A:A,'Alternative Tool Body Sheet'!C:C)</f>
        <v>20/22 MFL</v>
      </c>
      <c r="J193" s="9">
        <f t="shared" si="6"/>
        <v>5</v>
      </c>
      <c r="K193" s="9" t="s">
        <v>114</v>
      </c>
      <c r="L193" s="9">
        <v>20</v>
      </c>
      <c r="M193" s="9">
        <v>17.55</v>
      </c>
      <c r="N193" s="9">
        <v>12.25</v>
      </c>
      <c r="P193" s="9">
        <v>18.5</v>
      </c>
      <c r="Q193" s="9" t="s">
        <v>115</v>
      </c>
      <c r="R193" s="9">
        <v>18.5</v>
      </c>
      <c r="S193" s="9">
        <v>17.8</v>
      </c>
      <c r="T193" s="9">
        <v>17.75</v>
      </c>
      <c r="V193" s="9">
        <v>10</v>
      </c>
      <c r="W193" s="9">
        <v>10</v>
      </c>
      <c r="X193" s="9">
        <v>0.497</v>
      </c>
      <c r="Y193" s="9">
        <v>1</v>
      </c>
      <c r="Z193" s="9">
        <v>0.57199999999999995</v>
      </c>
      <c r="AD193" s="9">
        <v>60</v>
      </c>
      <c r="AH193" s="9">
        <v>180</v>
      </c>
      <c r="AN193" s="9">
        <v>750</v>
      </c>
      <c r="AO193" s="9">
        <v>80</v>
      </c>
      <c r="AQ193" s="9">
        <v>1100</v>
      </c>
      <c r="AS193" s="9">
        <v>0</v>
      </c>
      <c r="AT193" s="9">
        <v>174</v>
      </c>
      <c r="AX193" s="9">
        <v>250</v>
      </c>
      <c r="AY193" s="9">
        <v>2000</v>
      </c>
      <c r="AZ193" s="9" t="s">
        <v>928</v>
      </c>
      <c r="BA193" s="9" t="s">
        <v>102</v>
      </c>
      <c r="BB193" s="9" t="s">
        <v>101</v>
      </c>
      <c r="BC193" s="9" t="s">
        <v>101</v>
      </c>
      <c r="BD193" s="9" t="s">
        <v>102</v>
      </c>
      <c r="BE193" s="9" t="s">
        <v>102</v>
      </c>
      <c r="BF193" s="9" t="s">
        <v>929</v>
      </c>
      <c r="BG193" s="9" t="s">
        <v>118</v>
      </c>
      <c r="BH193" s="9" t="s">
        <v>105</v>
      </c>
      <c r="BI193" s="9">
        <v>7</v>
      </c>
      <c r="BJ193" s="9">
        <v>2</v>
      </c>
      <c r="BK193" s="9">
        <v>2</v>
      </c>
      <c r="BL193" s="9">
        <v>22</v>
      </c>
      <c r="BM193" s="9">
        <v>4</v>
      </c>
      <c r="BN193" s="9">
        <v>9</v>
      </c>
      <c r="BO193" s="9">
        <v>7</v>
      </c>
      <c r="BP193" s="9">
        <v>7</v>
      </c>
      <c r="BQ193" s="9">
        <v>2</v>
      </c>
      <c r="BR193" s="9">
        <v>22</v>
      </c>
      <c r="BS193" s="9">
        <v>4</v>
      </c>
      <c r="BT193" s="9">
        <v>9</v>
      </c>
      <c r="BX193" s="8">
        <v>105850</v>
      </c>
      <c r="CI193" s="51"/>
      <c r="CJ193" s="8" t="b">
        <v>0</v>
      </c>
      <c r="CT193" s="8">
        <v>109627</v>
      </c>
    </row>
    <row r="194" spans="1:98" s="8" customFormat="1" x14ac:dyDescent="0.25">
      <c r="A194" s="13">
        <v>130184</v>
      </c>
      <c r="B194" s="9">
        <v>20</v>
      </c>
      <c r="C194" s="9" t="s">
        <v>930</v>
      </c>
      <c r="D194" s="9" t="s">
        <v>121</v>
      </c>
      <c r="E194" s="9" t="s">
        <v>331</v>
      </c>
      <c r="F194" s="9"/>
      <c r="G194" s="33" t="str">
        <f>_xlfn.XLOOKUP(CT194,'Just Methods'!T:T,'Just Methods'!S:S)</f>
        <v xml:space="preserve"> 20" DEF2+LFM+SMFL3+ULTRA RES MFL, SpirALL MFL </v>
      </c>
      <c r="H194" s="47" t="str">
        <f>_xlfn.XLOOKUP(CT194,'Just Methods'!T:T,'Just Methods'!C:C)</f>
        <v>DEF.LFM.SMFL.UMFL.XYZ.20</v>
      </c>
      <c r="I194" s="9" t="s">
        <v>915</v>
      </c>
      <c r="J194" s="9">
        <f t="shared" si="6"/>
        <v>7</v>
      </c>
      <c r="K194" s="9" t="s">
        <v>114</v>
      </c>
      <c r="L194" s="9">
        <v>20</v>
      </c>
      <c r="M194" s="9">
        <v>17.25</v>
      </c>
      <c r="N194" s="9">
        <v>13.75</v>
      </c>
      <c r="P194" s="9">
        <v>18.5</v>
      </c>
      <c r="Q194" s="9" t="s">
        <v>115</v>
      </c>
      <c r="R194" s="9">
        <v>18.25</v>
      </c>
      <c r="U194" s="9" t="s">
        <v>99</v>
      </c>
      <c r="V194" s="9">
        <v>10</v>
      </c>
      <c r="W194" s="9">
        <v>10</v>
      </c>
      <c r="X194" s="9">
        <v>0.75</v>
      </c>
      <c r="Y194" s="9">
        <v>1</v>
      </c>
      <c r="Z194" s="9">
        <v>0.86799999999999999</v>
      </c>
      <c r="AA194" s="9">
        <v>76</v>
      </c>
      <c r="AD194" s="9">
        <v>76</v>
      </c>
      <c r="AF194" s="9">
        <v>228</v>
      </c>
      <c r="AH194" s="9">
        <v>456</v>
      </c>
      <c r="AJ194" s="9">
        <v>480</v>
      </c>
      <c r="AN194" s="9">
        <v>750</v>
      </c>
      <c r="AO194" s="9">
        <v>165</v>
      </c>
      <c r="AQ194" s="9">
        <v>2550</v>
      </c>
      <c r="AT194" s="9">
        <v>45</v>
      </c>
      <c r="AX194" s="9">
        <v>400</v>
      </c>
      <c r="AY194" s="9">
        <v>2000</v>
      </c>
      <c r="AZ194" s="9" t="s">
        <v>931</v>
      </c>
      <c r="BA194" s="9" t="s">
        <v>102</v>
      </c>
      <c r="BB194" s="9" t="s">
        <v>102</v>
      </c>
      <c r="BC194" s="9" t="s">
        <v>102</v>
      </c>
      <c r="BD194" s="9" t="s">
        <v>102</v>
      </c>
      <c r="BE194" s="9" t="s">
        <v>102</v>
      </c>
      <c r="BF194" s="9" t="s">
        <v>118</v>
      </c>
      <c r="BG194" s="9" t="s">
        <v>792</v>
      </c>
      <c r="BH194" s="9" t="s">
        <v>105</v>
      </c>
      <c r="BI194" s="9">
        <v>14</v>
      </c>
      <c r="BJ194" s="9">
        <v>2</v>
      </c>
      <c r="BK194" s="9">
        <v>2</v>
      </c>
      <c r="BL194" s="9">
        <v>22</v>
      </c>
      <c r="BM194" s="9">
        <v>4</v>
      </c>
      <c r="BN194" s="9">
        <v>19</v>
      </c>
      <c r="BO194" s="9">
        <v>14</v>
      </c>
      <c r="BP194" s="9">
        <v>14</v>
      </c>
      <c r="BQ194" s="9">
        <v>2</v>
      </c>
      <c r="BR194" s="9">
        <v>22</v>
      </c>
      <c r="BS194" s="9">
        <v>4</v>
      </c>
      <c r="BT194" s="9">
        <v>19</v>
      </c>
      <c r="BX194" s="55">
        <v>110710</v>
      </c>
      <c r="BY194" s="8">
        <v>112950</v>
      </c>
      <c r="CD194" s="8">
        <v>120123</v>
      </c>
      <c r="CH194" s="8">
        <v>111284</v>
      </c>
      <c r="CI194" s="51"/>
      <c r="CJ194" s="8" t="b">
        <v>0</v>
      </c>
      <c r="CT194" s="8">
        <v>130184</v>
      </c>
    </row>
    <row r="195" spans="1:98" s="8" customFormat="1" x14ac:dyDescent="0.25">
      <c r="A195" s="13">
        <v>120312</v>
      </c>
      <c r="B195" s="9">
        <v>20</v>
      </c>
      <c r="C195" s="9" t="s">
        <v>932</v>
      </c>
      <c r="D195" s="9" t="s">
        <v>94</v>
      </c>
      <c r="E195" s="9" t="s">
        <v>194</v>
      </c>
      <c r="F195" s="9"/>
      <c r="G195" s="33" t="str">
        <f>_xlfn.XLOOKUP(CT195,'Just Methods'!T:T,'Just Methods'!S:S)</f>
        <v xml:space="preserve"> 20" DEF+XYZ (xHD) </v>
      </c>
      <c r="H195" s="47" t="str">
        <f>_xlfn.XLOOKUP(CT195,'Just Methods'!T:T,'Just Methods'!C:C)</f>
        <v>DEF.XYZ.20</v>
      </c>
      <c r="I195" s="9" t="str">
        <f>_xlfn.XLOOKUP(H195,'Alternative Tool Body Sheet'!A:A,'Alternative Tool Body Sheet'!C:C)</f>
        <v>20/24 DEF</v>
      </c>
      <c r="J195" s="9">
        <f t="shared" si="6"/>
        <v>5</v>
      </c>
      <c r="K195" s="9" t="s">
        <v>114</v>
      </c>
      <c r="L195" s="9">
        <v>20</v>
      </c>
      <c r="M195" s="9">
        <v>15</v>
      </c>
      <c r="N195" s="9">
        <v>25</v>
      </c>
      <c r="P195" s="9">
        <v>18.5</v>
      </c>
      <c r="Q195" s="9" t="s">
        <v>99</v>
      </c>
      <c r="S195" s="9">
        <v>17.5</v>
      </c>
      <c r="U195" s="9" t="s">
        <v>116</v>
      </c>
      <c r="V195" s="9">
        <v>15</v>
      </c>
      <c r="AA195" s="9">
        <v>48</v>
      </c>
      <c r="AN195" s="9">
        <v>750</v>
      </c>
      <c r="AO195" s="9">
        <v>88</v>
      </c>
      <c r="AQ195" s="9">
        <v>468</v>
      </c>
      <c r="AT195" s="9">
        <v>19</v>
      </c>
      <c r="AX195" s="9">
        <v>250</v>
      </c>
      <c r="AY195" s="9">
        <v>2000</v>
      </c>
      <c r="AZ195" s="9" t="s">
        <v>933</v>
      </c>
      <c r="BA195" s="9" t="s">
        <v>102</v>
      </c>
      <c r="BB195" s="9" t="s">
        <v>101</v>
      </c>
      <c r="BC195" s="9" t="s">
        <v>101</v>
      </c>
      <c r="BD195" s="9" t="s">
        <v>102</v>
      </c>
      <c r="BE195" s="9" t="s">
        <v>102</v>
      </c>
      <c r="BF195" s="9" t="s">
        <v>118</v>
      </c>
      <c r="BG195" s="9" t="s">
        <v>118</v>
      </c>
      <c r="BH195" s="9" t="s">
        <v>105</v>
      </c>
      <c r="BI195" s="9">
        <v>8</v>
      </c>
      <c r="BJ195" s="9">
        <v>2</v>
      </c>
      <c r="BK195" s="9">
        <v>2</v>
      </c>
      <c r="BL195" s="9">
        <v>22</v>
      </c>
      <c r="BM195" s="9">
        <v>4</v>
      </c>
      <c r="BN195" s="9">
        <v>10</v>
      </c>
      <c r="BO195" s="9">
        <v>8</v>
      </c>
      <c r="BP195" s="9">
        <v>8</v>
      </c>
      <c r="BQ195" s="9">
        <v>2</v>
      </c>
      <c r="BR195" s="9">
        <v>22</v>
      </c>
      <c r="BS195" s="9">
        <v>4</v>
      </c>
      <c r="BT195" s="9">
        <v>10</v>
      </c>
      <c r="BY195" s="8">
        <v>109322</v>
      </c>
      <c r="CI195" s="51"/>
      <c r="CJ195" s="8" t="b">
        <v>0</v>
      </c>
      <c r="CT195" s="8">
        <v>120312</v>
      </c>
    </row>
    <row r="196" spans="1:98" s="8" customFormat="1" x14ac:dyDescent="0.25">
      <c r="A196" s="13">
        <v>109660</v>
      </c>
      <c r="B196" s="9">
        <v>20</v>
      </c>
      <c r="C196" s="9" t="s">
        <v>934</v>
      </c>
      <c r="D196" s="9" t="s">
        <v>94</v>
      </c>
      <c r="E196" s="9" t="s">
        <v>349</v>
      </c>
      <c r="F196" s="9"/>
      <c r="G196" s="33" t="str">
        <f>_xlfn.XLOOKUP(CT196,'Just Methods'!T:T,'Just Methods'!S:S)</f>
        <v xml:space="preserve"> 20" GMFL+DEF2 ATEX </v>
      </c>
      <c r="H196" s="47" t="str">
        <f>_xlfn.XLOOKUP(CT196,'Just Methods'!T:T,'Just Methods'!C:C)</f>
        <v>DEF.GMFL.20</v>
      </c>
      <c r="I196" s="9" t="str">
        <f>_xlfn.XLOOKUP(H196,'Alternative Tool Body Sheet'!A:A,'Alternative Tool Body Sheet'!C:C)</f>
        <v>20 GMFL</v>
      </c>
      <c r="J196" s="9">
        <f t="shared" si="6"/>
        <v>5</v>
      </c>
      <c r="K196" s="9" t="s">
        <v>114</v>
      </c>
      <c r="L196" s="9">
        <v>20</v>
      </c>
      <c r="M196" s="9">
        <v>15.4</v>
      </c>
      <c r="N196" s="9">
        <v>23</v>
      </c>
      <c r="P196" s="9">
        <v>18.5</v>
      </c>
      <c r="Q196" s="9" t="s">
        <v>115</v>
      </c>
      <c r="R196" s="9">
        <v>18</v>
      </c>
      <c r="T196" s="9">
        <v>15.75</v>
      </c>
      <c r="V196" s="9">
        <v>10</v>
      </c>
      <c r="W196" s="9">
        <v>10</v>
      </c>
      <c r="X196" s="9">
        <v>0.75</v>
      </c>
      <c r="Y196" s="9">
        <v>1</v>
      </c>
      <c r="Z196" s="9">
        <v>0.75</v>
      </c>
      <c r="AA196" s="9">
        <v>48</v>
      </c>
      <c r="AC196" s="9">
        <v>180</v>
      </c>
      <c r="AD196" s="9">
        <v>60</v>
      </c>
      <c r="AN196" s="9">
        <v>750</v>
      </c>
      <c r="AO196" s="9">
        <v>125</v>
      </c>
      <c r="AQ196" s="9">
        <v>1100</v>
      </c>
      <c r="AT196" s="9">
        <v>52</v>
      </c>
      <c r="AX196" s="9">
        <v>250</v>
      </c>
      <c r="AY196" s="9">
        <v>2000</v>
      </c>
      <c r="AZ196" s="9" t="s">
        <v>935</v>
      </c>
      <c r="BA196" s="9" t="s">
        <v>102</v>
      </c>
      <c r="BB196" s="9" t="s">
        <v>102</v>
      </c>
      <c r="BC196" s="9" t="s">
        <v>102</v>
      </c>
      <c r="BD196" s="9" t="s">
        <v>102</v>
      </c>
      <c r="BE196" s="9" t="s">
        <v>102</v>
      </c>
      <c r="BF196" s="9" t="s">
        <v>919</v>
      </c>
      <c r="BG196" s="9" t="s">
        <v>920</v>
      </c>
      <c r="BH196" s="9" t="s">
        <v>105</v>
      </c>
      <c r="BI196" s="9">
        <v>11</v>
      </c>
      <c r="BJ196" s="9">
        <v>2</v>
      </c>
      <c r="BK196" s="9">
        <v>2</v>
      </c>
      <c r="BL196" s="9">
        <v>22</v>
      </c>
      <c r="BM196" s="9">
        <v>4</v>
      </c>
      <c r="BN196" s="9">
        <v>14</v>
      </c>
      <c r="BO196" s="9">
        <v>11</v>
      </c>
      <c r="BP196" s="9">
        <v>11</v>
      </c>
      <c r="BQ196" s="9">
        <v>2</v>
      </c>
      <c r="BR196" s="9">
        <v>22</v>
      </c>
      <c r="BS196" s="9">
        <v>4</v>
      </c>
      <c r="BT196" s="9">
        <v>14</v>
      </c>
      <c r="BY196" s="8">
        <v>109322</v>
      </c>
      <c r="CI196" s="51">
        <v>109101</v>
      </c>
      <c r="CJ196" s="8" t="b">
        <v>0</v>
      </c>
      <c r="CT196" s="8">
        <v>109660</v>
      </c>
    </row>
    <row r="197" spans="1:98" s="8" customFormat="1" x14ac:dyDescent="0.25">
      <c r="A197" s="13">
        <v>127353</v>
      </c>
      <c r="B197" s="9">
        <v>20</v>
      </c>
      <c r="C197" s="9" t="s">
        <v>936</v>
      </c>
      <c r="D197" s="9" t="s">
        <v>94</v>
      </c>
      <c r="E197" s="9" t="s">
        <v>212</v>
      </c>
      <c r="F197" s="9"/>
      <c r="G197" s="33" t="str">
        <f>_xlfn.XLOOKUP(CT197,'Just Methods'!T:T,'Just Methods'!S:S)</f>
        <v xml:space="preserve"> 20" MFL+DEF2+XYZ </v>
      </c>
      <c r="H197" s="47" t="str">
        <f>_xlfn.XLOOKUP(CT197,'Just Methods'!T:T,'Just Methods'!C:C)</f>
        <v>DEF.MFL.XYZ.20</v>
      </c>
      <c r="I197" s="9" t="str">
        <f>_xlfn.XLOOKUP(H197,'Alternative Tool Body Sheet'!A:A,'Alternative Tool Body Sheet'!C:C)</f>
        <v>20/22 MFL</v>
      </c>
      <c r="J197" s="9">
        <f t="shared" si="6"/>
        <v>5</v>
      </c>
      <c r="K197" s="9" t="s">
        <v>114</v>
      </c>
      <c r="L197" s="9">
        <v>20</v>
      </c>
      <c r="M197" s="9">
        <v>17.55</v>
      </c>
      <c r="Q197" s="9" t="s">
        <v>115</v>
      </c>
      <c r="R197" s="9">
        <v>18.5</v>
      </c>
      <c r="U197" s="9" t="s">
        <v>116</v>
      </c>
      <c r="V197" s="9">
        <v>10</v>
      </c>
      <c r="W197" s="9">
        <v>10</v>
      </c>
      <c r="X197" s="9">
        <v>0.497</v>
      </c>
      <c r="Y197" s="9">
        <v>1</v>
      </c>
      <c r="Z197" s="9">
        <v>0.57199999999999995</v>
      </c>
      <c r="AA197" s="9">
        <v>48</v>
      </c>
      <c r="AD197" s="9">
        <v>60</v>
      </c>
      <c r="AH197" s="9">
        <v>180</v>
      </c>
      <c r="AN197" s="9">
        <v>750</v>
      </c>
      <c r="AO197" s="9">
        <v>121</v>
      </c>
      <c r="AQ197" s="9">
        <v>1105</v>
      </c>
      <c r="AT197" s="9">
        <v>15</v>
      </c>
      <c r="AX197" s="9">
        <v>250</v>
      </c>
      <c r="AY197" s="9">
        <v>2000</v>
      </c>
      <c r="AZ197" s="9" t="s">
        <v>937</v>
      </c>
      <c r="BA197" s="9" t="s">
        <v>102</v>
      </c>
      <c r="BB197" s="9" t="s">
        <v>102</v>
      </c>
      <c r="BC197" s="9" t="s">
        <v>102</v>
      </c>
      <c r="BD197" s="9" t="s">
        <v>102</v>
      </c>
      <c r="BE197" s="9" t="s">
        <v>102</v>
      </c>
      <c r="BF197" s="9" t="s">
        <v>118</v>
      </c>
      <c r="BG197" s="9" t="s">
        <v>118</v>
      </c>
      <c r="BH197" s="9" t="s">
        <v>105</v>
      </c>
      <c r="BI197" s="9">
        <v>11</v>
      </c>
      <c r="BJ197" s="9">
        <v>2</v>
      </c>
      <c r="BK197" s="9">
        <v>2</v>
      </c>
      <c r="BL197" s="9">
        <v>22</v>
      </c>
      <c r="BM197" s="9">
        <v>4</v>
      </c>
      <c r="BN197" s="9">
        <v>14</v>
      </c>
      <c r="BO197" s="9">
        <v>11</v>
      </c>
      <c r="BP197" s="9">
        <v>11</v>
      </c>
      <c r="BQ197" s="9">
        <v>2</v>
      </c>
      <c r="BR197" s="9">
        <v>22</v>
      </c>
      <c r="BS197" s="9">
        <v>4</v>
      </c>
      <c r="BT197" s="9">
        <v>14</v>
      </c>
      <c r="BX197" s="8">
        <v>105850</v>
      </c>
      <c r="BY197" s="8">
        <v>109322</v>
      </c>
      <c r="CI197" s="51"/>
      <c r="CJ197" s="8" t="b">
        <v>0</v>
      </c>
      <c r="CT197" s="8">
        <v>127353</v>
      </c>
    </row>
    <row r="198" spans="1:98" s="8" customFormat="1" x14ac:dyDescent="0.25">
      <c r="A198" s="13">
        <v>129304</v>
      </c>
      <c r="B198" s="9">
        <v>20</v>
      </c>
      <c r="C198" s="9" t="s">
        <v>938</v>
      </c>
      <c r="D198" s="9" t="s">
        <v>121</v>
      </c>
      <c r="E198" s="9" t="s">
        <v>122</v>
      </c>
      <c r="F198" s="9"/>
      <c r="G198" s="33" t="str">
        <f>_xlfn.XLOOKUP(CT198,'Just Methods'!T:T,'Just Methods'!S:S)</f>
        <v xml:space="preserve"> 20" MDS FLEX MFL3+DEF </v>
      </c>
      <c r="H198" s="47" t="str">
        <f>_xlfn.XLOOKUP(CT198,'Just Methods'!T:T,'Just Methods'!C:C)</f>
        <v>FLEX.DEF.MFL.20</v>
      </c>
      <c r="I198" s="9" t="str">
        <f>_xlfn.XLOOKUP(H198,'Alternative Tool Body Sheet'!A:A,'Alternative Tool Body Sheet'!C:C)</f>
        <v>20/22 MDS</v>
      </c>
      <c r="J198" s="9">
        <f t="shared" si="6"/>
        <v>7</v>
      </c>
      <c r="K198" s="9" t="s">
        <v>114</v>
      </c>
      <c r="L198" s="9">
        <v>20</v>
      </c>
      <c r="M198" s="9">
        <v>17.25</v>
      </c>
      <c r="Q198" s="9" t="s">
        <v>115</v>
      </c>
      <c r="R198" s="9">
        <v>18.25</v>
      </c>
      <c r="U198" s="9" t="s">
        <v>99</v>
      </c>
      <c r="V198" s="9">
        <v>10</v>
      </c>
      <c r="W198" s="9">
        <v>10</v>
      </c>
      <c r="X198" s="9">
        <v>0.75</v>
      </c>
      <c r="Y198" s="9">
        <v>1</v>
      </c>
      <c r="Z198" s="9">
        <v>0.86799999999999999</v>
      </c>
      <c r="AA198" s="9">
        <v>76</v>
      </c>
      <c r="AB198" s="9">
        <v>228</v>
      </c>
      <c r="AD198" s="9">
        <v>76</v>
      </c>
      <c r="AN198" s="9">
        <v>750</v>
      </c>
      <c r="AO198" s="9">
        <v>93</v>
      </c>
      <c r="AQ198" s="9">
        <v>1217</v>
      </c>
      <c r="AT198" s="9">
        <v>97</v>
      </c>
      <c r="AX198" s="9">
        <v>400</v>
      </c>
      <c r="AY198" s="9">
        <v>2000</v>
      </c>
      <c r="AZ198" s="9" t="s">
        <v>939</v>
      </c>
      <c r="BA198" s="9" t="s">
        <v>102</v>
      </c>
      <c r="BB198" s="9" t="s">
        <v>101</v>
      </c>
      <c r="BC198" s="9" t="s">
        <v>101</v>
      </c>
      <c r="BD198" s="9" t="s">
        <v>101</v>
      </c>
      <c r="BE198" s="9" t="s">
        <v>102</v>
      </c>
      <c r="BF198" s="9" t="s">
        <v>118</v>
      </c>
      <c r="BG198" s="9" t="s">
        <v>118</v>
      </c>
      <c r="BH198" s="9" t="s">
        <v>105</v>
      </c>
      <c r="BI198" s="9">
        <v>8</v>
      </c>
      <c r="BJ198" s="9">
        <v>2</v>
      </c>
      <c r="BK198" s="9">
        <v>2</v>
      </c>
      <c r="BL198" s="9">
        <v>22</v>
      </c>
      <c r="BM198" s="9">
        <v>4</v>
      </c>
      <c r="BN198" s="9">
        <v>10</v>
      </c>
      <c r="BO198" s="9">
        <v>8</v>
      </c>
      <c r="BP198" s="9">
        <v>8</v>
      </c>
      <c r="BQ198" s="9">
        <v>2</v>
      </c>
      <c r="BR198" s="9">
        <v>22</v>
      </c>
      <c r="BS198" s="9">
        <v>4</v>
      </c>
      <c r="BT198" s="9">
        <v>10</v>
      </c>
      <c r="BX198" s="8">
        <v>111283</v>
      </c>
      <c r="BY198" s="8">
        <v>112950</v>
      </c>
      <c r="CI198" s="51"/>
      <c r="CJ198" s="8" t="b">
        <v>0</v>
      </c>
      <c r="CT198" s="8">
        <v>129304</v>
      </c>
    </row>
    <row r="199" spans="1:98" s="8" customFormat="1" x14ac:dyDescent="0.25">
      <c r="A199" s="13">
        <v>109357</v>
      </c>
      <c r="B199" s="9">
        <v>20</v>
      </c>
      <c r="C199" s="9" t="s">
        <v>940</v>
      </c>
      <c r="D199" s="9" t="s">
        <v>94</v>
      </c>
      <c r="E199" s="9" t="s">
        <v>145</v>
      </c>
      <c r="F199" s="9"/>
      <c r="G199" s="33" t="str">
        <f>_xlfn.XLOOKUP(CT199,'Just Methods'!T:T,'Just Methods'!S:S)</f>
        <v xml:space="preserve"> 20" MFL+DEF2 ATEX </v>
      </c>
      <c r="H199" s="47" t="str">
        <f>_xlfn.XLOOKUP(CT199,'Just Methods'!T:T,'Just Methods'!C:C)</f>
        <v>DEF.MFL.20 </v>
      </c>
      <c r="I199" s="9" t="s">
        <v>941</v>
      </c>
      <c r="J199" s="9">
        <f t="shared" si="6"/>
        <v>5</v>
      </c>
      <c r="K199" s="9" t="s">
        <v>114</v>
      </c>
      <c r="L199" s="9">
        <v>20</v>
      </c>
      <c r="M199" s="9">
        <v>17.55</v>
      </c>
      <c r="N199" s="9">
        <v>12.25</v>
      </c>
      <c r="P199" s="9">
        <v>18.5</v>
      </c>
      <c r="Q199" s="9" t="s">
        <v>115</v>
      </c>
      <c r="R199" s="9">
        <v>18.5</v>
      </c>
      <c r="T199" s="9">
        <v>17.75</v>
      </c>
      <c r="U199" s="9" t="s">
        <v>116</v>
      </c>
      <c r="V199" s="9">
        <v>10</v>
      </c>
      <c r="W199" s="9">
        <v>10</v>
      </c>
      <c r="X199" s="9">
        <v>0.497</v>
      </c>
      <c r="Y199" s="9">
        <v>1</v>
      </c>
      <c r="Z199" s="9">
        <v>0.57199999999999995</v>
      </c>
      <c r="AA199" s="9">
        <v>48</v>
      </c>
      <c r="AD199" s="9">
        <v>60</v>
      </c>
      <c r="AH199" s="9">
        <v>180</v>
      </c>
      <c r="AN199" s="9">
        <v>750</v>
      </c>
      <c r="AO199" s="9">
        <v>125</v>
      </c>
      <c r="AQ199" s="9">
        <v>1350</v>
      </c>
      <c r="AX199" s="9">
        <v>250</v>
      </c>
      <c r="AY199" s="9">
        <v>2000</v>
      </c>
      <c r="AZ199" s="9" t="s">
        <v>942</v>
      </c>
      <c r="BA199" s="9" t="s">
        <v>102</v>
      </c>
      <c r="BB199" s="9" t="s">
        <v>101</v>
      </c>
      <c r="BC199" s="9" t="s">
        <v>101</v>
      </c>
      <c r="BD199" s="9" t="s">
        <v>102</v>
      </c>
      <c r="BE199" s="9" t="s">
        <v>102</v>
      </c>
      <c r="BF199" s="9" t="s">
        <v>118</v>
      </c>
      <c r="BG199" s="9" t="s">
        <v>118</v>
      </c>
      <c r="BH199" s="9" t="s">
        <v>105</v>
      </c>
      <c r="BI199" s="9">
        <v>11</v>
      </c>
      <c r="BJ199" s="9">
        <v>2</v>
      </c>
      <c r="BK199" s="9">
        <v>2</v>
      </c>
      <c r="BL199" s="9">
        <v>22</v>
      </c>
      <c r="BM199" s="9">
        <v>4</v>
      </c>
      <c r="BN199" s="9">
        <v>14</v>
      </c>
      <c r="BO199" s="9">
        <v>11</v>
      </c>
      <c r="BP199" s="9">
        <v>11</v>
      </c>
      <c r="BQ199" s="9">
        <v>2</v>
      </c>
      <c r="BR199" s="9">
        <v>22</v>
      </c>
      <c r="BS199" s="9">
        <v>4</v>
      </c>
      <c r="BT199" s="9">
        <v>14</v>
      </c>
      <c r="BX199" s="8">
        <v>105850</v>
      </c>
      <c r="BY199" s="8">
        <v>109322</v>
      </c>
      <c r="CI199" s="51"/>
      <c r="CJ199" s="8" t="b">
        <v>0</v>
      </c>
      <c r="CT199" s="8">
        <v>109357</v>
      </c>
    </row>
    <row r="200" spans="1:98" s="8" customFormat="1" x14ac:dyDescent="0.25">
      <c r="A200" s="13">
        <v>117837</v>
      </c>
      <c r="B200" s="9">
        <v>20</v>
      </c>
      <c r="C200" s="9" t="s">
        <v>943</v>
      </c>
      <c r="D200" s="9" t="s">
        <v>94</v>
      </c>
      <c r="E200" s="9" t="s">
        <v>95</v>
      </c>
      <c r="F200" s="9"/>
      <c r="G200" s="33" t="str">
        <f>_xlfn.XLOOKUP(CT200,'Just Methods'!T:T,'Just Methods'!S:S)</f>
        <v xml:space="preserve"> 20" DEF Single Body </v>
      </c>
      <c r="H200" s="47" t="str">
        <f>_xlfn.XLOOKUP(CT200,'Just Methods'!T:T,'Just Methods'!C:C)</f>
        <v>DEF.20</v>
      </c>
      <c r="I200" s="9" t="str">
        <f>_xlfn.XLOOKUP(H200,'Alternative Tool Body Sheet'!A:A,'Alternative Tool Body Sheet'!C:C)</f>
        <v>20/24 DEF</v>
      </c>
      <c r="J200" s="9">
        <f t="shared" si="6"/>
        <v>5</v>
      </c>
      <c r="K200" s="9" t="s">
        <v>114</v>
      </c>
      <c r="L200" s="9">
        <v>20</v>
      </c>
      <c r="M200" s="9">
        <v>15</v>
      </c>
      <c r="N200" s="9">
        <v>25</v>
      </c>
      <c r="P200" s="9">
        <v>18.5</v>
      </c>
      <c r="Q200" s="9" t="s">
        <v>115</v>
      </c>
      <c r="R200" s="9">
        <v>18</v>
      </c>
      <c r="T200" s="9">
        <v>15.25</v>
      </c>
      <c r="U200" s="9" t="s">
        <v>116</v>
      </c>
      <c r="V200" s="9">
        <v>15</v>
      </c>
      <c r="AA200" s="9">
        <v>48</v>
      </c>
      <c r="AN200" s="9">
        <v>750</v>
      </c>
      <c r="AO200" s="9">
        <v>46.1</v>
      </c>
      <c r="AQ200" s="9">
        <v>321</v>
      </c>
      <c r="AT200" s="9">
        <v>55</v>
      </c>
      <c r="AX200" s="9">
        <v>250</v>
      </c>
      <c r="AY200" s="9">
        <v>2000</v>
      </c>
      <c r="AZ200" s="9" t="s">
        <v>944</v>
      </c>
      <c r="BA200" s="9" t="s">
        <v>102</v>
      </c>
      <c r="BB200" s="9" t="s">
        <v>101</v>
      </c>
      <c r="BC200" s="9" t="s">
        <v>101</v>
      </c>
      <c r="BD200" s="9" t="s">
        <v>102</v>
      </c>
      <c r="BE200" s="9" t="s">
        <v>102</v>
      </c>
      <c r="BF200" s="9" t="s">
        <v>945</v>
      </c>
      <c r="BG200" s="9" t="s">
        <v>920</v>
      </c>
      <c r="BH200" s="9" t="s">
        <v>105</v>
      </c>
      <c r="BI200" s="9">
        <v>4</v>
      </c>
      <c r="BJ200" s="9">
        <v>2</v>
      </c>
      <c r="BK200" s="9">
        <v>2</v>
      </c>
      <c r="BL200" s="9">
        <v>22</v>
      </c>
      <c r="BM200" s="9">
        <v>4</v>
      </c>
      <c r="BN200" s="9">
        <v>6</v>
      </c>
      <c r="BO200" s="9">
        <v>4</v>
      </c>
      <c r="BP200" s="9">
        <v>4</v>
      </c>
      <c r="BQ200" s="9">
        <v>2</v>
      </c>
      <c r="BR200" s="9">
        <v>22</v>
      </c>
      <c r="BS200" s="9">
        <v>4</v>
      </c>
      <c r="BT200" s="9">
        <v>6</v>
      </c>
      <c r="BY200" s="8">
        <v>109322</v>
      </c>
      <c r="CI200" s="51"/>
      <c r="CJ200" s="8" t="b">
        <v>0</v>
      </c>
      <c r="CT200" s="8">
        <v>117837</v>
      </c>
    </row>
    <row r="201" spans="1:98" s="8" customFormat="1" x14ac:dyDescent="0.25">
      <c r="A201" s="13">
        <v>130188</v>
      </c>
      <c r="B201" s="9">
        <v>20</v>
      </c>
      <c r="C201" s="9" t="s">
        <v>946</v>
      </c>
      <c r="D201" s="9" t="s">
        <v>121</v>
      </c>
      <c r="E201" s="9" t="s">
        <v>212</v>
      </c>
      <c r="F201" s="9"/>
      <c r="G201" s="33" t="str">
        <f>_xlfn.XLOOKUP(CT201,'Just Methods'!T:T,'Just Methods'!S:S)</f>
        <v xml:space="preserve"> 20" MDS FLEX DEF+ULTRA RES MFL+XYZ </v>
      </c>
      <c r="H201" s="47" t="str">
        <f>_xlfn.XLOOKUP(CT201,'Just Methods'!T:T,'Just Methods'!C:C)</f>
        <v>DEF.UMFL.XYZ.20</v>
      </c>
      <c r="I201" s="9" t="str">
        <f>_xlfn.XLOOKUP(H201,'Alternative Tool Body Sheet'!A:A,'Alternative Tool Body Sheet'!C:C)</f>
        <v>20/22 MDS</v>
      </c>
      <c r="J201" s="9">
        <f t="shared" si="6"/>
        <v>7</v>
      </c>
      <c r="K201" s="9" t="s">
        <v>114</v>
      </c>
      <c r="L201" s="9">
        <v>20</v>
      </c>
      <c r="M201" s="9">
        <v>17.25</v>
      </c>
      <c r="Q201" s="9" t="s">
        <v>115</v>
      </c>
      <c r="R201" s="9">
        <v>18.25</v>
      </c>
      <c r="U201" s="9" t="s">
        <v>99</v>
      </c>
      <c r="V201" s="9">
        <v>10</v>
      </c>
      <c r="W201" s="9">
        <v>10</v>
      </c>
      <c r="X201" s="9">
        <v>0.75</v>
      </c>
      <c r="Y201" s="9">
        <v>1</v>
      </c>
      <c r="Z201" s="9">
        <v>0.86799999999999999</v>
      </c>
      <c r="AA201" s="9">
        <v>76</v>
      </c>
      <c r="AD201" s="9">
        <v>76</v>
      </c>
      <c r="AH201" s="9">
        <v>456</v>
      </c>
      <c r="AN201" s="9">
        <v>750</v>
      </c>
      <c r="AO201" s="9">
        <v>93</v>
      </c>
      <c r="AQ201" s="9">
        <v>1226</v>
      </c>
      <c r="AT201" s="9">
        <v>59</v>
      </c>
      <c r="AX201" s="9">
        <v>400</v>
      </c>
      <c r="AY201" s="9">
        <v>2000</v>
      </c>
      <c r="AZ201" s="9" t="s">
        <v>947</v>
      </c>
      <c r="BA201" s="9" t="s">
        <v>102</v>
      </c>
      <c r="BB201" s="9" t="s">
        <v>101</v>
      </c>
      <c r="BC201" s="9" t="s">
        <v>101</v>
      </c>
      <c r="BD201" s="9" t="s">
        <v>101</v>
      </c>
      <c r="BE201" s="9" t="s">
        <v>102</v>
      </c>
      <c r="BF201" s="9" t="s">
        <v>118</v>
      </c>
      <c r="BG201" s="9" t="s">
        <v>118</v>
      </c>
      <c r="BH201" s="9" t="s">
        <v>105</v>
      </c>
      <c r="BI201" s="9">
        <v>8</v>
      </c>
      <c r="BJ201" s="9">
        <v>2</v>
      </c>
      <c r="BK201" s="9">
        <v>2</v>
      </c>
      <c r="BL201" s="9">
        <v>22</v>
      </c>
      <c r="BM201" s="9">
        <v>4</v>
      </c>
      <c r="BN201" s="9">
        <v>10</v>
      </c>
      <c r="BO201" s="9">
        <v>8</v>
      </c>
      <c r="BP201" s="9">
        <v>8</v>
      </c>
      <c r="BQ201" s="9">
        <v>2</v>
      </c>
      <c r="BR201" s="9">
        <v>22</v>
      </c>
      <c r="BS201" s="9">
        <v>4</v>
      </c>
      <c r="BT201" s="9">
        <v>10</v>
      </c>
      <c r="BX201" s="55">
        <v>110710</v>
      </c>
      <c r="CI201" s="51"/>
      <c r="CJ201" s="8" t="b">
        <v>0</v>
      </c>
      <c r="CT201" s="8">
        <v>130188</v>
      </c>
    </row>
    <row r="202" spans="1:98" s="8" customFormat="1" x14ac:dyDescent="0.25">
      <c r="A202" s="13">
        <v>130187</v>
      </c>
      <c r="B202" s="9">
        <v>20</v>
      </c>
      <c r="C202" s="9" t="s">
        <v>948</v>
      </c>
      <c r="D202" s="9" t="s">
        <v>121</v>
      </c>
      <c r="E202" s="9" t="s">
        <v>390</v>
      </c>
      <c r="F202" s="9"/>
      <c r="G202" s="33" t="str">
        <f>_xlfn.XLOOKUP(CT202,'Just Methods'!T:T,'Just Methods'!S:S)</f>
        <v xml:space="preserve"> 20" MDS FLEX DEF+LFM+ULTRA RES MFL </v>
      </c>
      <c r="H202" s="47" t="str">
        <f>_xlfn.XLOOKUP(CT202,'Just Methods'!T:T,'Just Methods'!C:C)</f>
        <v>DEF.LFM.UMFL.20</v>
      </c>
      <c r="I202" s="9" t="str">
        <f>_xlfn.XLOOKUP(H202,'Alternative Tool Body Sheet'!A:A,'Alternative Tool Body Sheet'!C:C)</f>
        <v>20/22 MDS</v>
      </c>
      <c r="J202" s="9">
        <f t="shared" si="6"/>
        <v>7</v>
      </c>
      <c r="K202" s="9" t="s">
        <v>114</v>
      </c>
      <c r="L202" s="9">
        <v>20</v>
      </c>
      <c r="M202" s="9">
        <v>17.25</v>
      </c>
      <c r="N202" s="9">
        <v>13.75</v>
      </c>
      <c r="P202" s="9">
        <v>18.5</v>
      </c>
      <c r="Q202" s="9" t="s">
        <v>115</v>
      </c>
      <c r="R202" s="9">
        <v>18.25</v>
      </c>
      <c r="U202" s="9" t="s">
        <v>99</v>
      </c>
      <c r="V202" s="9">
        <v>10</v>
      </c>
      <c r="W202" s="9">
        <v>10</v>
      </c>
      <c r="X202" s="9">
        <v>0.75</v>
      </c>
      <c r="Y202" s="9">
        <v>1</v>
      </c>
      <c r="Z202" s="9">
        <v>0.86799999999999999</v>
      </c>
      <c r="AA202" s="9">
        <v>76</v>
      </c>
      <c r="AD202" s="9">
        <v>76</v>
      </c>
      <c r="AF202" s="9">
        <v>228</v>
      </c>
      <c r="AH202" s="9">
        <v>456</v>
      </c>
      <c r="AN202" s="9">
        <v>750</v>
      </c>
      <c r="AO202" s="9">
        <v>125</v>
      </c>
      <c r="AQ202" s="9">
        <v>1854</v>
      </c>
      <c r="AT202" s="9">
        <v>103</v>
      </c>
      <c r="AX202" s="9">
        <v>400</v>
      </c>
      <c r="AY202" s="9">
        <v>2000</v>
      </c>
      <c r="AZ202" s="9" t="s">
        <v>949</v>
      </c>
      <c r="BA202" s="9" t="s">
        <v>102</v>
      </c>
      <c r="BB202" s="9" t="s">
        <v>102</v>
      </c>
      <c r="BC202" s="9" t="s">
        <v>102</v>
      </c>
      <c r="BD202" s="9" t="s">
        <v>102</v>
      </c>
      <c r="BE202" s="9" t="s">
        <v>102</v>
      </c>
      <c r="BF202" s="9" t="s">
        <v>118</v>
      </c>
      <c r="BG202" s="9" t="s">
        <v>792</v>
      </c>
      <c r="BH202" s="9" t="s">
        <v>105</v>
      </c>
      <c r="BI202" s="9">
        <v>11</v>
      </c>
      <c r="BJ202" s="9">
        <v>2</v>
      </c>
      <c r="BK202" s="9">
        <v>2</v>
      </c>
      <c r="BL202" s="9">
        <v>22</v>
      </c>
      <c r="BM202" s="9">
        <v>4</v>
      </c>
      <c r="BN202" s="9">
        <v>14</v>
      </c>
      <c r="BO202" s="9">
        <v>11</v>
      </c>
      <c r="BP202" s="9">
        <v>11</v>
      </c>
      <c r="BQ202" s="9">
        <v>2</v>
      </c>
      <c r="BR202" s="9">
        <v>22</v>
      </c>
      <c r="BS202" s="9">
        <v>4</v>
      </c>
      <c r="BT202" s="9">
        <v>14</v>
      </c>
      <c r="BX202" s="55">
        <v>110710</v>
      </c>
      <c r="BY202" s="8">
        <v>112950</v>
      </c>
      <c r="CH202" s="8">
        <v>111284</v>
      </c>
      <c r="CI202" s="51"/>
      <c r="CJ202" s="8" t="b">
        <v>0</v>
      </c>
      <c r="CT202" s="8">
        <v>130187</v>
      </c>
    </row>
    <row r="203" spans="1:98" s="8" customFormat="1" x14ac:dyDescent="0.25">
      <c r="A203" s="13">
        <v>125486</v>
      </c>
      <c r="B203" s="9">
        <v>20</v>
      </c>
      <c r="C203" s="9" t="s">
        <v>950</v>
      </c>
      <c r="D203" s="9" t="s">
        <v>94</v>
      </c>
      <c r="E203" s="9" t="s">
        <v>194</v>
      </c>
      <c r="F203" s="9"/>
      <c r="G203" s="33" t="str">
        <f>_xlfn.XLOOKUP(CT203,'Just Methods'!T:T,'Just Methods'!S:S)</f>
        <v xml:space="preserve"> 20" DEF2+XYZ </v>
      </c>
      <c r="H203" s="47" t="str">
        <f>_xlfn.XLOOKUP(CT203,'Just Methods'!T:T,'Just Methods'!C:C)</f>
        <v>DEF.XYZ.20</v>
      </c>
      <c r="I203" s="9" t="str">
        <f>_xlfn.XLOOKUP(H203,'Alternative Tool Body Sheet'!A:A,'Alternative Tool Body Sheet'!C:C)</f>
        <v>20/24 DEF</v>
      </c>
      <c r="J203" s="9">
        <f t="shared" si="6"/>
        <v>5</v>
      </c>
      <c r="K203" s="9" t="s">
        <v>114</v>
      </c>
      <c r="L203" s="9">
        <v>20</v>
      </c>
      <c r="M203" s="9">
        <v>15</v>
      </c>
      <c r="Q203" s="9" t="s">
        <v>115</v>
      </c>
      <c r="R203" s="9">
        <v>17.5</v>
      </c>
      <c r="U203" s="9" t="s">
        <v>116</v>
      </c>
      <c r="V203" s="9">
        <v>15</v>
      </c>
      <c r="AA203" s="9">
        <v>48</v>
      </c>
      <c r="AN203" s="9">
        <v>750</v>
      </c>
      <c r="AO203" s="9">
        <v>82</v>
      </c>
      <c r="AQ203" s="9">
        <v>434</v>
      </c>
      <c r="AT203" s="9">
        <v>19</v>
      </c>
      <c r="AX203" s="9">
        <v>250</v>
      </c>
      <c r="AY203" s="9">
        <v>2000</v>
      </c>
      <c r="AZ203" s="9" t="s">
        <v>951</v>
      </c>
      <c r="BA203" s="9" t="s">
        <v>102</v>
      </c>
      <c r="BB203" s="9" t="s">
        <v>102</v>
      </c>
      <c r="BC203" s="9" t="s">
        <v>102</v>
      </c>
      <c r="BD203" s="9" t="s">
        <v>102</v>
      </c>
      <c r="BE203" s="9" t="s">
        <v>102</v>
      </c>
      <c r="BF203" s="9" t="s">
        <v>118</v>
      </c>
      <c r="BG203" s="9" t="s">
        <v>118</v>
      </c>
      <c r="BH203" s="9" t="s">
        <v>105</v>
      </c>
      <c r="BI203" s="9">
        <v>8</v>
      </c>
      <c r="BJ203" s="9">
        <v>2</v>
      </c>
      <c r="BK203" s="9">
        <v>2</v>
      </c>
      <c r="BL203" s="9">
        <v>22</v>
      </c>
      <c r="BM203" s="9">
        <v>4</v>
      </c>
      <c r="BN203" s="9">
        <v>10</v>
      </c>
      <c r="BO203" s="9">
        <v>8</v>
      </c>
      <c r="BP203" s="9">
        <v>8</v>
      </c>
      <c r="BQ203" s="9">
        <v>2</v>
      </c>
      <c r="BR203" s="9">
        <v>22</v>
      </c>
      <c r="BS203" s="9">
        <v>4</v>
      </c>
      <c r="BT203" s="9">
        <v>10</v>
      </c>
      <c r="BY203" s="8">
        <v>109322</v>
      </c>
      <c r="CI203" s="51"/>
      <c r="CJ203" s="8" t="b">
        <v>0</v>
      </c>
      <c r="CT203" s="8">
        <v>125486</v>
      </c>
    </row>
    <row r="204" spans="1:98" s="8" customFormat="1" x14ac:dyDescent="0.25">
      <c r="A204" s="13">
        <v>130189</v>
      </c>
      <c r="B204" s="9">
        <v>20</v>
      </c>
      <c r="C204" s="9" t="s">
        <v>952</v>
      </c>
      <c r="D204" s="9" t="s">
        <v>121</v>
      </c>
      <c r="E204" s="9" t="s">
        <v>145</v>
      </c>
      <c r="F204" s="9"/>
      <c r="G204" s="33" t="str">
        <f>_xlfn.XLOOKUP(CT204,'Just Methods'!T:T,'Just Methods'!S:S)</f>
        <v xml:space="preserve"> 20" MDS FLEX DEF+ULTRA RES MFL </v>
      </c>
      <c r="H204" s="47" t="str">
        <f>_xlfn.XLOOKUP(CT204,'Just Methods'!T:T,'Just Methods'!C:C)</f>
        <v>DEF.UMFL.20</v>
      </c>
      <c r="I204" s="9" t="str">
        <f>_xlfn.XLOOKUP(H204,'Alternative Tool Body Sheet'!A:A,'Alternative Tool Body Sheet'!C:C)</f>
        <v>20/22 MDS</v>
      </c>
      <c r="J204" s="9">
        <f t="shared" si="6"/>
        <v>7</v>
      </c>
      <c r="K204" s="9" t="s">
        <v>114</v>
      </c>
      <c r="L204" s="9">
        <v>20</v>
      </c>
      <c r="M204" s="9">
        <v>17.25</v>
      </c>
      <c r="Q204" s="9" t="s">
        <v>115</v>
      </c>
      <c r="R204" s="9">
        <v>18.25</v>
      </c>
      <c r="U204" s="9" t="s">
        <v>99</v>
      </c>
      <c r="V204" s="9">
        <v>10</v>
      </c>
      <c r="W204" s="9">
        <v>10</v>
      </c>
      <c r="X204" s="9">
        <v>0.75</v>
      </c>
      <c r="Y204" s="9">
        <v>1</v>
      </c>
      <c r="Z204" s="9">
        <v>0.86799999999999999</v>
      </c>
      <c r="AA204" s="9">
        <v>76</v>
      </c>
      <c r="AD204" s="9">
        <v>76</v>
      </c>
      <c r="AH204" s="9">
        <v>456</v>
      </c>
      <c r="AN204" s="9">
        <v>750</v>
      </c>
      <c r="AO204" s="9">
        <v>93</v>
      </c>
      <c r="AQ204" s="9">
        <v>1217</v>
      </c>
      <c r="AT204" s="9">
        <v>122</v>
      </c>
      <c r="AX204" s="9">
        <v>400</v>
      </c>
      <c r="AY204" s="9">
        <v>2000</v>
      </c>
      <c r="AZ204" s="9" t="s">
        <v>953</v>
      </c>
      <c r="BA204" s="9" t="s">
        <v>102</v>
      </c>
      <c r="BB204" s="9" t="s">
        <v>102</v>
      </c>
      <c r="BC204" s="9" t="s">
        <v>101</v>
      </c>
      <c r="BD204" s="9" t="s">
        <v>101</v>
      </c>
      <c r="BE204" s="9" t="s">
        <v>102</v>
      </c>
      <c r="BF204" s="9" t="s">
        <v>118</v>
      </c>
      <c r="BG204" s="9" t="s">
        <v>118</v>
      </c>
      <c r="BH204" s="9" t="s">
        <v>105</v>
      </c>
      <c r="BI204" s="9">
        <v>8</v>
      </c>
      <c r="BJ204" s="9">
        <v>2</v>
      </c>
      <c r="BK204" s="9">
        <v>2</v>
      </c>
      <c r="BL204" s="9">
        <v>22</v>
      </c>
      <c r="BM204" s="9">
        <v>4</v>
      </c>
      <c r="BN204" s="9">
        <v>10</v>
      </c>
      <c r="BO204" s="9">
        <v>8</v>
      </c>
      <c r="BP204" s="9">
        <v>8</v>
      </c>
      <c r="BQ204" s="9">
        <v>2</v>
      </c>
      <c r="BR204" s="9">
        <v>22</v>
      </c>
      <c r="BS204" s="9">
        <v>4</v>
      </c>
      <c r="BT204" s="9">
        <v>10</v>
      </c>
      <c r="BX204" s="8">
        <v>111283</v>
      </c>
      <c r="CI204" s="51"/>
      <c r="CJ204" s="8" t="b">
        <v>0</v>
      </c>
      <c r="CT204" s="8">
        <v>130189</v>
      </c>
    </row>
    <row r="205" spans="1:98" s="8" customFormat="1" x14ac:dyDescent="0.25">
      <c r="A205" s="13">
        <v>115728</v>
      </c>
      <c r="B205" s="9">
        <v>20</v>
      </c>
      <c r="C205" s="9" t="s">
        <v>954</v>
      </c>
      <c r="D205" s="9" t="s">
        <v>121</v>
      </c>
      <c r="E205" s="9" t="s">
        <v>272</v>
      </c>
      <c r="F205" s="9"/>
      <c r="G205" s="33" t="str">
        <f>_xlfn.XLOOKUP(CT205,'Just Methods'!T:T,'Just Methods'!S:S)</f>
        <v xml:space="preserve"> 20" MDS FLEX MFL3+DEF+LFM </v>
      </c>
      <c r="H205" s="47" t="str">
        <f>_xlfn.XLOOKUP(CT205,'Just Methods'!T:T,'Just Methods'!C:C)</f>
        <v>FLEX.DEF.LFM.MFL.20</v>
      </c>
      <c r="I205" s="9" t="str">
        <f>_xlfn.XLOOKUP(H205,'Alternative Tool Body Sheet'!A:A,'Alternative Tool Body Sheet'!C:C)</f>
        <v>20/22 MDS</v>
      </c>
      <c r="J205" s="9">
        <f t="shared" si="6"/>
        <v>7</v>
      </c>
      <c r="K205" s="9" t="s">
        <v>114</v>
      </c>
      <c r="L205" s="9">
        <v>20</v>
      </c>
      <c r="M205" s="9">
        <v>17.25</v>
      </c>
      <c r="N205" s="9">
        <v>13.75</v>
      </c>
      <c r="P205" s="9">
        <v>18.5</v>
      </c>
      <c r="Q205" s="9" t="s">
        <v>115</v>
      </c>
      <c r="R205" s="9">
        <v>18.25</v>
      </c>
      <c r="U205" s="9" t="s">
        <v>99</v>
      </c>
      <c r="V205" s="9">
        <v>10</v>
      </c>
      <c r="W205" s="9">
        <v>10</v>
      </c>
      <c r="X205" s="9">
        <v>0.75</v>
      </c>
      <c r="Y205" s="9">
        <v>1</v>
      </c>
      <c r="Z205" s="9">
        <v>0.86799999999999999</v>
      </c>
      <c r="AA205" s="9">
        <v>76</v>
      </c>
      <c r="AB205" s="9">
        <v>228</v>
      </c>
      <c r="AD205" s="9">
        <v>76</v>
      </c>
      <c r="AF205" s="9">
        <v>228</v>
      </c>
      <c r="AN205" s="9">
        <v>750</v>
      </c>
      <c r="AO205" s="9">
        <v>125</v>
      </c>
      <c r="AQ205" s="9">
        <v>1854</v>
      </c>
      <c r="AT205" s="9">
        <v>97</v>
      </c>
      <c r="AX205" s="9">
        <v>400</v>
      </c>
      <c r="AY205" s="9">
        <v>2000</v>
      </c>
      <c r="AZ205" s="9" t="s">
        <v>955</v>
      </c>
      <c r="BA205" s="9" t="s">
        <v>102</v>
      </c>
      <c r="BB205" s="9" t="s">
        <v>102</v>
      </c>
      <c r="BC205" s="9" t="s">
        <v>102</v>
      </c>
      <c r="BD205" s="9" t="s">
        <v>102</v>
      </c>
      <c r="BE205" s="9" t="s">
        <v>102</v>
      </c>
      <c r="BF205" s="9" t="s">
        <v>118</v>
      </c>
      <c r="BG205" s="9" t="s">
        <v>792</v>
      </c>
      <c r="BH205" s="9" t="s">
        <v>105</v>
      </c>
      <c r="BI205" s="9">
        <v>11</v>
      </c>
      <c r="BJ205" s="9">
        <v>2</v>
      </c>
      <c r="BK205" s="9">
        <v>2</v>
      </c>
      <c r="BL205" s="9">
        <v>22</v>
      </c>
      <c r="BM205" s="9">
        <v>4</v>
      </c>
      <c r="BN205" s="9">
        <v>14</v>
      </c>
      <c r="BO205" s="9">
        <v>11</v>
      </c>
      <c r="BP205" s="9">
        <v>11</v>
      </c>
      <c r="BQ205" s="9">
        <v>2</v>
      </c>
      <c r="BR205" s="9">
        <v>22</v>
      </c>
      <c r="BS205" s="9">
        <v>4</v>
      </c>
      <c r="BT205" s="9">
        <v>14</v>
      </c>
      <c r="BX205" s="8">
        <v>111283</v>
      </c>
      <c r="BY205" s="8">
        <v>112950</v>
      </c>
      <c r="CH205" s="8">
        <v>111284</v>
      </c>
      <c r="CI205" s="51"/>
      <c r="CJ205" s="8" t="b">
        <v>0</v>
      </c>
      <c r="CT205" s="8">
        <v>115728</v>
      </c>
    </row>
    <row r="206" spans="1:98" s="8" customFormat="1" x14ac:dyDescent="0.25">
      <c r="A206" s="13">
        <v>114402</v>
      </c>
      <c r="B206" s="9">
        <v>20</v>
      </c>
      <c r="C206" s="9" t="s">
        <v>956</v>
      </c>
      <c r="D206" s="9" t="s">
        <v>94</v>
      </c>
      <c r="E206" s="9" t="s">
        <v>296</v>
      </c>
      <c r="F206" s="9"/>
      <c r="G206" s="33" t="str">
        <f>_xlfn.XLOOKUP(CT206,'Just Methods'!T:T,'Just Methods'!S:S)</f>
        <v xml:space="preserve"> 20" GMFL+XYZ ATEX </v>
      </c>
      <c r="H206" s="47" t="str">
        <f>_xlfn.XLOOKUP(CT206,'Just Methods'!T:T,'Just Methods'!C:C)</f>
        <v>GMFL.XYZ.20</v>
      </c>
      <c r="I206" s="9" t="str">
        <f>_xlfn.XLOOKUP(H206,'Alternative Tool Body Sheet'!A:A,'Alternative Tool Body Sheet'!C:C)</f>
        <v>20 GMFL</v>
      </c>
      <c r="J206" s="9">
        <f t="shared" si="6"/>
        <v>5</v>
      </c>
      <c r="K206" s="9" t="s">
        <v>114</v>
      </c>
      <c r="L206" s="9">
        <v>20</v>
      </c>
      <c r="M206" s="9">
        <v>16.8</v>
      </c>
      <c r="N206" s="9">
        <v>16</v>
      </c>
      <c r="P206" s="9">
        <v>18.5</v>
      </c>
      <c r="Q206" s="9" t="s">
        <v>115</v>
      </c>
      <c r="R206" s="9">
        <v>18</v>
      </c>
      <c r="T206" s="9">
        <v>15.75</v>
      </c>
      <c r="U206" s="9" t="s">
        <v>116</v>
      </c>
      <c r="V206" s="9">
        <v>10</v>
      </c>
      <c r="W206" s="9">
        <v>10</v>
      </c>
      <c r="X206" s="9">
        <v>0.75</v>
      </c>
      <c r="Y206" s="9">
        <v>1</v>
      </c>
      <c r="Z206" s="9">
        <v>0.75</v>
      </c>
      <c r="AC206" s="9">
        <v>180</v>
      </c>
      <c r="AD206" s="9">
        <v>60</v>
      </c>
      <c r="AN206" s="9">
        <v>750</v>
      </c>
      <c r="AO206" s="9">
        <v>127</v>
      </c>
      <c r="AQ206" s="9">
        <v>1015</v>
      </c>
      <c r="AT206" s="9">
        <v>19</v>
      </c>
      <c r="AY206" s="9">
        <v>2000</v>
      </c>
      <c r="BA206" s="9" t="s">
        <v>102</v>
      </c>
      <c r="BB206" s="9" t="s">
        <v>101</v>
      </c>
      <c r="BC206" s="9" t="s">
        <v>101</v>
      </c>
      <c r="BD206" s="9" t="s">
        <v>102</v>
      </c>
      <c r="BE206" s="9" t="s">
        <v>102</v>
      </c>
      <c r="BF206" s="9" t="s">
        <v>126</v>
      </c>
      <c r="BG206" s="9" t="s">
        <v>126</v>
      </c>
      <c r="BH206" s="9" t="s">
        <v>105</v>
      </c>
      <c r="BI206" s="9">
        <v>11</v>
      </c>
      <c r="BJ206" s="9">
        <v>2</v>
      </c>
      <c r="BK206" s="9">
        <v>2</v>
      </c>
      <c r="BL206" s="9">
        <v>22</v>
      </c>
      <c r="BM206" s="9">
        <v>4</v>
      </c>
      <c r="BN206" s="9">
        <v>14</v>
      </c>
      <c r="BO206" s="9">
        <v>11</v>
      </c>
      <c r="BP206" s="9">
        <v>11</v>
      </c>
      <c r="BQ206" s="9">
        <v>2</v>
      </c>
      <c r="BR206" s="9">
        <v>22</v>
      </c>
      <c r="BS206" s="9">
        <v>4</v>
      </c>
      <c r="BT206" s="9">
        <v>14</v>
      </c>
      <c r="CI206" s="51">
        <v>109101</v>
      </c>
      <c r="CJ206" s="8" t="b">
        <v>0</v>
      </c>
      <c r="CT206" s="8">
        <v>114402</v>
      </c>
    </row>
    <row r="207" spans="1:98" s="8" customFormat="1" x14ac:dyDescent="0.25">
      <c r="A207" s="13">
        <v>109492</v>
      </c>
      <c r="B207" s="9">
        <v>20</v>
      </c>
      <c r="C207" s="9" t="s">
        <v>957</v>
      </c>
      <c r="D207" s="9" t="s">
        <v>94</v>
      </c>
      <c r="E207" s="9" t="s">
        <v>258</v>
      </c>
      <c r="F207" s="9"/>
      <c r="G207" s="33" t="str">
        <f>_xlfn.XLOOKUP(CT207,'Just Methods'!T:T,'Just Methods'!S:S)</f>
        <v xml:space="preserve"> 20" GMFL ATEX </v>
      </c>
      <c r="H207" s="47" t="str">
        <f>_xlfn.XLOOKUP(CT207,'Just Methods'!T:T,'Just Methods'!C:C)</f>
        <v>GMFL.20</v>
      </c>
      <c r="I207" s="9" t="str">
        <f>_xlfn.XLOOKUP(H207,'Alternative Tool Body Sheet'!A:A,'Alternative Tool Body Sheet'!C:C)</f>
        <v>20 GMFL</v>
      </c>
      <c r="J207" s="9">
        <f t="shared" si="6"/>
        <v>5</v>
      </c>
      <c r="K207" s="9" t="s">
        <v>114</v>
      </c>
      <c r="L207" s="9">
        <v>20</v>
      </c>
      <c r="M207" s="9">
        <v>15.4</v>
      </c>
      <c r="N207" s="9">
        <v>23</v>
      </c>
      <c r="P207" s="9">
        <v>18.5</v>
      </c>
      <c r="Q207" s="9" t="s">
        <v>115</v>
      </c>
      <c r="R207" s="9">
        <v>18</v>
      </c>
      <c r="T207" s="9">
        <v>15.75</v>
      </c>
      <c r="U207" s="9" t="s">
        <v>116</v>
      </c>
      <c r="V207" s="9">
        <v>10</v>
      </c>
      <c r="W207" s="9">
        <v>10</v>
      </c>
      <c r="X207" s="9">
        <v>0.75</v>
      </c>
      <c r="Y207" s="9">
        <v>1</v>
      </c>
      <c r="Z207" s="9">
        <v>0.75</v>
      </c>
      <c r="AC207" s="9">
        <v>180</v>
      </c>
      <c r="AD207" s="9">
        <v>60</v>
      </c>
      <c r="AN207" s="9">
        <v>750</v>
      </c>
      <c r="AO207" s="9">
        <v>79</v>
      </c>
      <c r="AQ207" s="9">
        <v>1055</v>
      </c>
      <c r="AT207" s="9">
        <v>52</v>
      </c>
      <c r="AX207" s="9">
        <v>250</v>
      </c>
      <c r="AY207" s="9">
        <v>2000</v>
      </c>
      <c r="AZ207" s="9" t="s">
        <v>958</v>
      </c>
      <c r="BA207" s="9" t="s">
        <v>102</v>
      </c>
      <c r="BB207" s="9" t="s">
        <v>101</v>
      </c>
      <c r="BC207" s="9" t="s">
        <v>101</v>
      </c>
      <c r="BD207" s="9" t="s">
        <v>102</v>
      </c>
      <c r="BE207" s="9" t="s">
        <v>102</v>
      </c>
      <c r="BF207" s="9" t="s">
        <v>118</v>
      </c>
      <c r="BG207" s="9" t="s">
        <v>118</v>
      </c>
      <c r="BH207" s="9" t="s">
        <v>105</v>
      </c>
      <c r="BI207" s="9">
        <v>7</v>
      </c>
      <c r="BJ207" s="9">
        <v>2</v>
      </c>
      <c r="BK207" s="9">
        <v>2</v>
      </c>
      <c r="BL207" s="9">
        <v>22</v>
      </c>
      <c r="BM207" s="9">
        <v>4</v>
      </c>
      <c r="BN207" s="9">
        <v>9</v>
      </c>
      <c r="BO207" s="9">
        <v>7</v>
      </c>
      <c r="BP207" s="9">
        <v>7</v>
      </c>
      <c r="BQ207" s="9">
        <v>2</v>
      </c>
      <c r="BR207" s="9">
        <v>22</v>
      </c>
      <c r="BS207" s="9">
        <v>4</v>
      </c>
      <c r="BT207" s="9">
        <v>9</v>
      </c>
      <c r="CI207" s="51">
        <v>109101</v>
      </c>
      <c r="CJ207" s="8" t="b">
        <v>0</v>
      </c>
      <c r="CT207" s="8">
        <v>109492</v>
      </c>
    </row>
    <row r="208" spans="1:98" s="8" customFormat="1" x14ac:dyDescent="0.25">
      <c r="A208" s="13">
        <v>130186</v>
      </c>
      <c r="B208" s="9">
        <v>20</v>
      </c>
      <c r="C208" s="9" t="s">
        <v>959</v>
      </c>
      <c r="D208" s="9" t="s">
        <v>121</v>
      </c>
      <c r="E208" s="9" t="s">
        <v>286</v>
      </c>
      <c r="F208" s="9"/>
      <c r="G208" s="33" t="str">
        <f>_xlfn.XLOOKUP(CT208,'Just Methods'!T:T,'Just Methods'!S:S)</f>
        <v xml:space="preserve"> 20" MDS FLEX DEF+LFM+ULTRA RES MFL+XYZ </v>
      </c>
      <c r="H208" s="47" t="str">
        <f>_xlfn.XLOOKUP(CT208,'Just Methods'!T:T,'Just Methods'!C:C)</f>
        <v>DEF.LFM.UMFL.XYZ.20</v>
      </c>
      <c r="I208" s="9" t="str">
        <f>_xlfn.XLOOKUP(H208,'Alternative Tool Body Sheet'!A:A,'Alternative Tool Body Sheet'!C:C)</f>
        <v>20/22 MDS</v>
      </c>
      <c r="J208" s="9">
        <f t="shared" si="6"/>
        <v>7</v>
      </c>
      <c r="K208" s="9" t="s">
        <v>114</v>
      </c>
      <c r="L208" s="9">
        <v>20</v>
      </c>
      <c r="M208" s="9">
        <v>17.25</v>
      </c>
      <c r="N208" s="9">
        <v>13.75</v>
      </c>
      <c r="P208" s="9">
        <v>18.5</v>
      </c>
      <c r="Q208" s="9" t="s">
        <v>115</v>
      </c>
      <c r="R208" s="9">
        <v>18.25</v>
      </c>
      <c r="U208" s="9" t="s">
        <v>99</v>
      </c>
      <c r="V208" s="9">
        <v>10</v>
      </c>
      <c r="W208" s="9">
        <v>10</v>
      </c>
      <c r="X208" s="9">
        <v>0.75</v>
      </c>
      <c r="Y208" s="9">
        <v>1</v>
      </c>
      <c r="Z208" s="9">
        <v>0.86799999999999999</v>
      </c>
      <c r="AA208" s="9">
        <v>76</v>
      </c>
      <c r="AD208" s="9">
        <v>76</v>
      </c>
      <c r="AF208" s="9">
        <v>228</v>
      </c>
      <c r="AH208" s="9">
        <v>456</v>
      </c>
      <c r="AN208" s="9">
        <v>750</v>
      </c>
      <c r="AO208" s="9">
        <v>125</v>
      </c>
      <c r="AQ208" s="9">
        <v>1862</v>
      </c>
      <c r="AT208" s="9">
        <v>55</v>
      </c>
      <c r="AX208" s="9">
        <v>400</v>
      </c>
      <c r="AY208" s="9">
        <v>2000</v>
      </c>
      <c r="AZ208" s="9" t="s">
        <v>960</v>
      </c>
      <c r="BA208" s="9" t="s">
        <v>102</v>
      </c>
      <c r="BB208" s="9" t="s">
        <v>101</v>
      </c>
      <c r="BC208" s="9" t="s">
        <v>101</v>
      </c>
      <c r="BD208" s="9" t="s">
        <v>102</v>
      </c>
      <c r="BE208" s="9" t="s">
        <v>102</v>
      </c>
      <c r="BF208" s="9" t="s">
        <v>118</v>
      </c>
      <c r="BG208" s="9" t="s">
        <v>792</v>
      </c>
      <c r="BH208" s="9" t="s">
        <v>105</v>
      </c>
      <c r="BI208" s="9">
        <v>11</v>
      </c>
      <c r="BJ208" s="9">
        <v>2</v>
      </c>
      <c r="BK208" s="9">
        <v>2</v>
      </c>
      <c r="BL208" s="9">
        <v>22</v>
      </c>
      <c r="BM208" s="9">
        <v>4</v>
      </c>
      <c r="BN208" s="9">
        <v>14</v>
      </c>
      <c r="BO208" s="9">
        <v>11</v>
      </c>
      <c r="BP208" s="9">
        <v>11</v>
      </c>
      <c r="BQ208" s="9">
        <v>2</v>
      </c>
      <c r="BR208" s="9">
        <v>22</v>
      </c>
      <c r="BS208" s="9">
        <v>4</v>
      </c>
      <c r="BT208" s="9">
        <v>14</v>
      </c>
      <c r="BX208" s="55">
        <v>110710</v>
      </c>
      <c r="BY208" s="8">
        <v>112950</v>
      </c>
      <c r="CH208" s="8">
        <v>111284</v>
      </c>
      <c r="CI208" s="51"/>
      <c r="CJ208" s="8" t="b">
        <v>0</v>
      </c>
      <c r="CT208" s="8">
        <v>130186</v>
      </c>
    </row>
    <row r="209" spans="1:98" s="8" customFormat="1" x14ac:dyDescent="0.25">
      <c r="A209" s="13">
        <v>125459</v>
      </c>
      <c r="B209" s="9">
        <v>20</v>
      </c>
      <c r="C209" s="9" t="s">
        <v>961</v>
      </c>
      <c r="D209" s="9" t="s">
        <v>94</v>
      </c>
      <c r="E209" s="9" t="s">
        <v>421</v>
      </c>
      <c r="F209" s="9"/>
      <c r="G209" s="33" t="str">
        <f>_xlfn.XLOOKUP(CT209,'Just Methods'!T:T,'Just Methods'!S:S)</f>
        <v xml:space="preserve"> 20" DEF2+GMFL+XYZ </v>
      </c>
      <c r="H209" s="47" t="str">
        <f>_xlfn.XLOOKUP(CT209,'Just Methods'!T:T,'Just Methods'!C:C)</f>
        <v>DEF.GMFL.XYZ.20</v>
      </c>
      <c r="I209" s="9" t="str">
        <f>_xlfn.XLOOKUP(H209,'Alternative Tool Body Sheet'!A:A,'Alternative Tool Body Sheet'!C:C)</f>
        <v>20 GMFL</v>
      </c>
      <c r="J209" s="9">
        <f t="shared" si="6"/>
        <v>5</v>
      </c>
      <c r="K209" s="9" t="s">
        <v>114</v>
      </c>
      <c r="L209" s="9">
        <v>20</v>
      </c>
      <c r="M209" s="9">
        <v>15.4</v>
      </c>
      <c r="Q209" s="9" t="s">
        <v>115</v>
      </c>
      <c r="R209" s="9">
        <v>18</v>
      </c>
      <c r="T209" s="9">
        <v>15.75</v>
      </c>
      <c r="U209" s="9" t="s">
        <v>116</v>
      </c>
      <c r="V209" s="9">
        <v>10</v>
      </c>
      <c r="W209" s="9">
        <v>10</v>
      </c>
      <c r="X209" s="9">
        <v>0.75</v>
      </c>
      <c r="Y209" s="9">
        <v>1</v>
      </c>
      <c r="Z209" s="9">
        <v>0.75</v>
      </c>
      <c r="AA209" s="9">
        <v>48</v>
      </c>
      <c r="AC209" s="9">
        <v>180</v>
      </c>
      <c r="AD209" s="9">
        <v>60</v>
      </c>
      <c r="AN209" s="9">
        <v>750</v>
      </c>
      <c r="AO209" s="9">
        <v>124</v>
      </c>
      <c r="AQ209" s="9">
        <v>1003</v>
      </c>
      <c r="AT209" s="9">
        <v>15</v>
      </c>
      <c r="AX209" s="9">
        <v>250</v>
      </c>
      <c r="AY209" s="9">
        <v>2000</v>
      </c>
      <c r="AZ209" s="9" t="s">
        <v>962</v>
      </c>
      <c r="BA209" s="9" t="s">
        <v>102</v>
      </c>
      <c r="BB209" s="9" t="s">
        <v>102</v>
      </c>
      <c r="BC209" s="9" t="s">
        <v>102</v>
      </c>
      <c r="BD209" s="9" t="s">
        <v>102</v>
      </c>
      <c r="BE209" s="9" t="s">
        <v>102</v>
      </c>
      <c r="BF209" s="9" t="s">
        <v>118</v>
      </c>
      <c r="BG209" s="9" t="s">
        <v>118</v>
      </c>
      <c r="BH209" s="9" t="s">
        <v>105</v>
      </c>
      <c r="BI209" s="9">
        <v>11</v>
      </c>
      <c r="BJ209" s="9">
        <v>2</v>
      </c>
      <c r="BK209" s="9">
        <v>2</v>
      </c>
      <c r="BL209" s="9">
        <v>22</v>
      </c>
      <c r="BM209" s="9">
        <v>4</v>
      </c>
      <c r="BN209" s="9">
        <v>14</v>
      </c>
      <c r="BO209" s="9">
        <v>11</v>
      </c>
      <c r="BP209" s="9">
        <v>11</v>
      </c>
      <c r="BQ209" s="9">
        <v>2</v>
      </c>
      <c r="BR209" s="9">
        <v>22</v>
      </c>
      <c r="BS209" s="9">
        <v>4</v>
      </c>
      <c r="BT209" s="9">
        <v>14</v>
      </c>
      <c r="BY209" s="8">
        <v>109322</v>
      </c>
      <c r="CI209" s="51">
        <v>109101</v>
      </c>
      <c r="CJ209" s="8" t="b">
        <v>0</v>
      </c>
      <c r="CT209" s="8">
        <v>125459</v>
      </c>
    </row>
    <row r="210" spans="1:98" s="8" customFormat="1" x14ac:dyDescent="0.25">
      <c r="A210" s="13">
        <v>125487</v>
      </c>
      <c r="B210" s="9">
        <v>20</v>
      </c>
      <c r="C210" s="9" t="s">
        <v>963</v>
      </c>
      <c r="D210" s="9" t="s">
        <v>94</v>
      </c>
      <c r="E210" s="9" t="s">
        <v>421</v>
      </c>
      <c r="F210" s="9"/>
      <c r="G210" s="33" t="str">
        <f>_xlfn.XLOOKUP(CT210,'Just Methods'!T:T,'Just Methods'!S:S)</f>
        <v xml:space="preserve"> 20" DEF2+GMFL+XYZ </v>
      </c>
      <c r="H210" s="47" t="str">
        <f>_xlfn.XLOOKUP(CT210,'Just Methods'!T:T,'Just Methods'!C:C)</f>
        <v>DEF.GMFL.XYZ.20</v>
      </c>
      <c r="I210" s="9" t="str">
        <f>_xlfn.XLOOKUP(H210,'Alternative Tool Body Sheet'!A:A,'Alternative Tool Body Sheet'!C:C)</f>
        <v>20 GMFL</v>
      </c>
      <c r="J210" s="9">
        <f t="shared" si="6"/>
        <v>5</v>
      </c>
      <c r="K210" s="9" t="s">
        <v>114</v>
      </c>
      <c r="L210" s="9">
        <v>20</v>
      </c>
      <c r="M210" s="9">
        <v>15.4</v>
      </c>
      <c r="Q210" s="9" t="s">
        <v>115</v>
      </c>
      <c r="S210" s="9">
        <v>18.5</v>
      </c>
      <c r="U210" s="9" t="s">
        <v>116</v>
      </c>
      <c r="V210" s="9">
        <v>10</v>
      </c>
      <c r="W210" s="9">
        <v>10</v>
      </c>
      <c r="X210" s="9">
        <v>0.75</v>
      </c>
      <c r="Y210" s="9">
        <v>1</v>
      </c>
      <c r="Z210" s="9">
        <v>0.75</v>
      </c>
      <c r="AA210" s="9">
        <v>48</v>
      </c>
      <c r="AC210" s="9">
        <v>180</v>
      </c>
      <c r="AD210" s="9">
        <v>60</v>
      </c>
      <c r="AN210" s="9">
        <v>750</v>
      </c>
      <c r="AO210" s="9">
        <v>127</v>
      </c>
      <c r="AQ210" s="9">
        <v>1012</v>
      </c>
      <c r="AT210" s="9">
        <v>112</v>
      </c>
      <c r="AX210" s="9">
        <v>250</v>
      </c>
      <c r="AY210" s="9">
        <v>2000</v>
      </c>
      <c r="AZ210" s="9" t="s">
        <v>964</v>
      </c>
      <c r="BA210" s="9" t="s">
        <v>102</v>
      </c>
      <c r="BB210" s="9" t="s">
        <v>102</v>
      </c>
      <c r="BC210" s="9" t="s">
        <v>102</v>
      </c>
      <c r="BD210" s="9" t="s">
        <v>102</v>
      </c>
      <c r="BE210" s="9" t="s">
        <v>102</v>
      </c>
      <c r="BF210" s="9" t="s">
        <v>118</v>
      </c>
      <c r="BG210" s="9" t="s">
        <v>118</v>
      </c>
      <c r="BH210" s="9" t="s">
        <v>105</v>
      </c>
      <c r="BI210" s="9">
        <v>11</v>
      </c>
      <c r="BJ210" s="9">
        <v>2</v>
      </c>
      <c r="BK210" s="9">
        <v>2</v>
      </c>
      <c r="BL210" s="9">
        <v>22</v>
      </c>
      <c r="BM210" s="9">
        <v>4</v>
      </c>
      <c r="BN210" s="9">
        <v>14</v>
      </c>
      <c r="BO210" s="9">
        <v>11</v>
      </c>
      <c r="BP210" s="9">
        <v>11</v>
      </c>
      <c r="BQ210" s="9">
        <v>2</v>
      </c>
      <c r="BR210" s="9">
        <v>22</v>
      </c>
      <c r="BS210" s="9">
        <v>4</v>
      </c>
      <c r="BT210" s="9">
        <v>14</v>
      </c>
      <c r="BY210" s="8">
        <v>109322</v>
      </c>
      <c r="CI210" s="51">
        <v>109101</v>
      </c>
      <c r="CJ210" s="8" t="b">
        <v>0</v>
      </c>
      <c r="CT210" s="8">
        <v>125487</v>
      </c>
    </row>
    <row r="211" spans="1:98" s="8" customFormat="1" x14ac:dyDescent="0.25">
      <c r="A211" s="13">
        <v>109628</v>
      </c>
      <c r="B211" s="9">
        <v>20</v>
      </c>
      <c r="C211" s="9" t="s">
        <v>965</v>
      </c>
      <c r="D211" s="9" t="s">
        <v>94</v>
      </c>
      <c r="E211" s="9" t="s">
        <v>95</v>
      </c>
      <c r="F211" s="9"/>
      <c r="G211" s="33" t="str">
        <f>_xlfn.XLOOKUP(CT211,'Just Methods'!T:T,'Just Methods'!S:S)</f>
        <v xml:space="preserve"> 20" DEF2 ATEX </v>
      </c>
      <c r="H211" s="47" t="str">
        <f>_xlfn.XLOOKUP(CT211,'Just Methods'!T:T,'Just Methods'!C:C)</f>
        <v>DEF.20 </v>
      </c>
      <c r="I211" s="9" t="s">
        <v>966</v>
      </c>
      <c r="J211" s="9">
        <f t="shared" si="6"/>
        <v>5</v>
      </c>
      <c r="K211" s="9" t="s">
        <v>114</v>
      </c>
      <c r="L211" s="9">
        <v>20</v>
      </c>
      <c r="M211" s="9">
        <v>15</v>
      </c>
      <c r="N211" s="9">
        <v>25</v>
      </c>
      <c r="O211" s="9">
        <v>18.5</v>
      </c>
      <c r="P211" s="9">
        <v>18.5</v>
      </c>
      <c r="Q211" s="9" t="s">
        <v>115</v>
      </c>
      <c r="R211" s="9">
        <v>17.5</v>
      </c>
      <c r="T211" s="9">
        <v>15.25</v>
      </c>
      <c r="V211" s="9">
        <v>15</v>
      </c>
      <c r="AA211" s="9">
        <v>48</v>
      </c>
      <c r="AN211" s="9">
        <v>750</v>
      </c>
      <c r="AO211" s="9">
        <v>86</v>
      </c>
      <c r="AQ211" s="9">
        <v>470</v>
      </c>
      <c r="AT211" s="9">
        <v>46</v>
      </c>
      <c r="AY211" s="9">
        <v>2000</v>
      </c>
      <c r="BA211" s="9" t="s">
        <v>102</v>
      </c>
      <c r="BB211" s="9" t="s">
        <v>101</v>
      </c>
      <c r="BC211" s="9" t="s">
        <v>101</v>
      </c>
      <c r="BD211" s="9" t="s">
        <v>102</v>
      </c>
      <c r="BE211" s="9" t="s">
        <v>102</v>
      </c>
      <c r="BF211" s="9" t="s">
        <v>118</v>
      </c>
      <c r="BG211" s="9" t="s">
        <v>118</v>
      </c>
      <c r="BH211" s="9" t="s">
        <v>105</v>
      </c>
      <c r="BI211" s="9">
        <v>8</v>
      </c>
      <c r="BJ211" s="9">
        <v>2</v>
      </c>
      <c r="BK211" s="9">
        <v>2</v>
      </c>
      <c r="BL211" s="9">
        <v>22</v>
      </c>
      <c r="BM211" s="9">
        <v>4</v>
      </c>
      <c r="BN211" s="9">
        <v>10</v>
      </c>
      <c r="BO211" s="9">
        <v>8</v>
      </c>
      <c r="BP211" s="9">
        <v>8</v>
      </c>
      <c r="BQ211" s="9">
        <v>2</v>
      </c>
      <c r="BR211" s="9">
        <v>22</v>
      </c>
      <c r="BS211" s="9">
        <v>4</v>
      </c>
      <c r="BT211" s="9">
        <v>10</v>
      </c>
      <c r="BY211" s="8">
        <v>109322</v>
      </c>
      <c r="CI211" s="51"/>
      <c r="CJ211" s="8" t="b">
        <v>0</v>
      </c>
      <c r="CT211" s="8">
        <v>109628</v>
      </c>
    </row>
    <row r="212" spans="1:98" s="8" customFormat="1" x14ac:dyDescent="0.25">
      <c r="A212" s="13">
        <v>129305</v>
      </c>
      <c r="B212" s="9">
        <v>20</v>
      </c>
      <c r="C212" s="9" t="s">
        <v>967</v>
      </c>
      <c r="D212" s="9" t="s">
        <v>121</v>
      </c>
      <c r="E212" s="9" t="s">
        <v>152</v>
      </c>
      <c r="F212" s="9"/>
      <c r="G212" s="33" t="str">
        <f>_xlfn.XLOOKUP(CT212,'Just Methods'!T:T,'Just Methods'!S:S)</f>
        <v xml:space="preserve"> 20" MDS FLEX MFL3+DEF+XYZ </v>
      </c>
      <c r="H212" s="47" t="str">
        <f>_xlfn.XLOOKUP(CT212,'Just Methods'!T:T,'Just Methods'!C:C)</f>
        <v>FLEX.DEF.MFL.XYZ.20</v>
      </c>
      <c r="I212" s="9" t="str">
        <f>_xlfn.XLOOKUP(H212,'Alternative Tool Body Sheet'!A:A,'Alternative Tool Body Sheet'!C:C)</f>
        <v>20/22 MDS</v>
      </c>
      <c r="J212" s="9">
        <f t="shared" si="6"/>
        <v>7</v>
      </c>
      <c r="K212" s="9" t="s">
        <v>114</v>
      </c>
      <c r="L212" s="9">
        <v>20</v>
      </c>
      <c r="M212" s="9">
        <v>17.25</v>
      </c>
      <c r="Q212" s="9" t="s">
        <v>115</v>
      </c>
      <c r="R212" s="9">
        <v>18.25</v>
      </c>
      <c r="U212" s="9" t="s">
        <v>99</v>
      </c>
      <c r="V212" s="9">
        <v>10</v>
      </c>
      <c r="W212" s="9">
        <v>10</v>
      </c>
      <c r="X212" s="9">
        <v>0.75</v>
      </c>
      <c r="Y212" s="9">
        <v>1</v>
      </c>
      <c r="Z212" s="9">
        <v>0.86799999999999999</v>
      </c>
      <c r="AA212" s="9">
        <v>76</v>
      </c>
      <c r="AB212" s="9">
        <v>228</v>
      </c>
      <c r="AD212" s="9">
        <v>76</v>
      </c>
      <c r="AN212" s="9">
        <v>750</v>
      </c>
      <c r="AO212" s="9">
        <v>93</v>
      </c>
      <c r="AQ212" s="9">
        <v>1226</v>
      </c>
      <c r="AT212" s="9">
        <v>54</v>
      </c>
      <c r="AX212" s="9">
        <v>400</v>
      </c>
      <c r="AY212" s="9">
        <v>2000</v>
      </c>
      <c r="AZ212" s="9" t="s">
        <v>968</v>
      </c>
      <c r="BA212" s="9" t="s">
        <v>102</v>
      </c>
      <c r="BB212" s="9" t="s">
        <v>101</v>
      </c>
      <c r="BC212" s="9" t="s">
        <v>101</v>
      </c>
      <c r="BD212" s="9" t="s">
        <v>101</v>
      </c>
      <c r="BE212" s="9" t="s">
        <v>102</v>
      </c>
      <c r="BF212" s="9" t="s">
        <v>118</v>
      </c>
      <c r="BG212" s="9" t="s">
        <v>118</v>
      </c>
      <c r="BH212" s="9" t="s">
        <v>105</v>
      </c>
      <c r="BI212" s="9">
        <v>8</v>
      </c>
      <c r="BJ212" s="9">
        <v>2</v>
      </c>
      <c r="BK212" s="9">
        <v>2</v>
      </c>
      <c r="BL212" s="9">
        <v>22</v>
      </c>
      <c r="BM212" s="9">
        <v>4</v>
      </c>
      <c r="BN212" s="9">
        <v>10</v>
      </c>
      <c r="BO212" s="9">
        <v>8</v>
      </c>
      <c r="BP212" s="9">
        <v>8</v>
      </c>
      <c r="BQ212" s="9">
        <v>2</v>
      </c>
      <c r="BR212" s="9">
        <v>22</v>
      </c>
      <c r="BS212" s="9">
        <v>4</v>
      </c>
      <c r="BT212" s="9">
        <v>10</v>
      </c>
      <c r="BX212" s="8">
        <v>111283</v>
      </c>
      <c r="BY212" s="8">
        <v>112950</v>
      </c>
      <c r="CI212" s="51"/>
      <c r="CJ212" s="8" t="b">
        <v>0</v>
      </c>
      <c r="CT212" s="8">
        <v>129305</v>
      </c>
    </row>
    <row r="213" spans="1:98" s="8" customFormat="1" x14ac:dyDescent="0.25">
      <c r="A213" s="13">
        <v>129506</v>
      </c>
      <c r="B213" s="9">
        <v>22</v>
      </c>
      <c r="C213" s="9" t="s">
        <v>969</v>
      </c>
      <c r="D213" s="9" t="s">
        <v>121</v>
      </c>
      <c r="E213" s="9" t="s">
        <v>152</v>
      </c>
      <c r="F213" s="9"/>
      <c r="G213" s="33" t="str">
        <f>_xlfn.XLOOKUP(CT213,'Just Methods'!T:T,'Just Methods'!S:S)</f>
        <v xml:space="preserve"> 22" MFL2+DEF2+XYZ </v>
      </c>
      <c r="H213" s="47" t="str">
        <f>_xlfn.XLOOKUP(CT213,'Just Methods'!T:T,'Just Methods'!C:C)</f>
        <v>FLEX.DEF.MFL.XYZ.22</v>
      </c>
      <c r="I213" s="9" t="str">
        <f>_xlfn.XLOOKUP(H213,'Alternative Tool Body Sheet'!A:A,'Alternative Tool Body Sheet'!C:C)</f>
        <v>20/22 MDS</v>
      </c>
      <c r="J213" s="9">
        <f t="shared" si="6"/>
        <v>7</v>
      </c>
      <c r="K213" s="9" t="s">
        <v>114</v>
      </c>
      <c r="L213" s="9">
        <v>22</v>
      </c>
      <c r="M213" s="9">
        <v>19.25</v>
      </c>
      <c r="Q213" s="9" t="s">
        <v>115</v>
      </c>
      <c r="R213" s="9">
        <v>20.25</v>
      </c>
      <c r="S213" s="9">
        <v>20.25</v>
      </c>
      <c r="U213" s="9" t="s">
        <v>99</v>
      </c>
      <c r="V213" s="9">
        <v>10</v>
      </c>
      <c r="W213" s="9">
        <v>10</v>
      </c>
      <c r="X213" s="9">
        <v>0.6</v>
      </c>
      <c r="Y213" s="9">
        <v>1</v>
      </c>
      <c r="Z213" s="9">
        <v>0.6</v>
      </c>
      <c r="AA213" s="9">
        <v>84</v>
      </c>
      <c r="AB213" s="9">
        <v>252</v>
      </c>
      <c r="AD213" s="9">
        <v>84</v>
      </c>
      <c r="AN213" s="9">
        <v>750</v>
      </c>
      <c r="AO213" s="9">
        <v>97</v>
      </c>
      <c r="AQ213" s="9">
        <v>1910</v>
      </c>
      <c r="AT213" s="9">
        <v>137</v>
      </c>
      <c r="AX213" s="9">
        <v>400</v>
      </c>
      <c r="AY213" s="9">
        <v>2000</v>
      </c>
      <c r="AZ213" s="9" t="s">
        <v>970</v>
      </c>
      <c r="BA213" s="9" t="s">
        <v>102</v>
      </c>
      <c r="BB213" s="9" t="s">
        <v>102</v>
      </c>
      <c r="BC213" s="9" t="s">
        <v>102</v>
      </c>
      <c r="BD213" s="9" t="s">
        <v>102</v>
      </c>
      <c r="BE213" s="9" t="s">
        <v>102</v>
      </c>
      <c r="BF213" s="9" t="s">
        <v>118</v>
      </c>
      <c r="BG213" s="9" t="s">
        <v>792</v>
      </c>
      <c r="BH213" s="9" t="s">
        <v>105</v>
      </c>
      <c r="BI213" s="9">
        <v>9</v>
      </c>
      <c r="BJ213" s="9">
        <v>2</v>
      </c>
      <c r="BK213" s="9">
        <v>2</v>
      </c>
      <c r="BL213" s="9">
        <v>24</v>
      </c>
      <c r="BM213" s="9">
        <v>4</v>
      </c>
      <c r="BN213" s="9">
        <v>12</v>
      </c>
      <c r="BO213" s="9">
        <v>9</v>
      </c>
      <c r="BP213" s="9">
        <v>9</v>
      </c>
      <c r="BQ213" s="9">
        <v>2</v>
      </c>
      <c r="BR213" s="9">
        <v>24</v>
      </c>
      <c r="BS213" s="9">
        <v>4</v>
      </c>
      <c r="BT213" s="9">
        <v>12</v>
      </c>
      <c r="BX213" s="8">
        <v>111283</v>
      </c>
      <c r="BY213" s="8">
        <v>112950</v>
      </c>
      <c r="CD213" s="8">
        <v>120123</v>
      </c>
      <c r="CI213" s="51"/>
      <c r="CJ213" s="8" t="b">
        <v>0</v>
      </c>
      <c r="CT213" s="8">
        <v>129506</v>
      </c>
    </row>
    <row r="214" spans="1:98" s="8" customFormat="1" x14ac:dyDescent="0.25">
      <c r="A214" s="13">
        <v>116772</v>
      </c>
      <c r="B214" s="9">
        <v>22</v>
      </c>
      <c r="C214" s="9" t="s">
        <v>971</v>
      </c>
      <c r="D214" s="9" t="s">
        <v>94</v>
      </c>
      <c r="E214" s="9" t="s">
        <v>421</v>
      </c>
      <c r="F214" s="9"/>
      <c r="G214" s="33" t="str">
        <f>_xlfn.XLOOKUP(CT214,'Just Methods'!T:T,'Just Methods'!S:S)</f>
        <v xml:space="preserve"> 22" GMFL2+DEF+XYZ ATEX </v>
      </c>
      <c r="H214" s="47" t="str">
        <f>_xlfn.XLOOKUP(CT214,'Just Methods'!T:T,'Just Methods'!C:C)</f>
        <v>DEF.GMFL.XYZ.22</v>
      </c>
      <c r="I214" s="9" t="str">
        <f>_xlfn.XLOOKUP(H214,'Alternative Tool Body Sheet'!A:A,'Alternative Tool Body Sheet'!C:C)</f>
        <v>20/24 DEF</v>
      </c>
      <c r="J214" s="9">
        <f t="shared" si="6"/>
        <v>5</v>
      </c>
      <c r="K214" s="9" t="s">
        <v>114</v>
      </c>
      <c r="L214" s="9">
        <v>22</v>
      </c>
      <c r="M214" s="9">
        <v>19</v>
      </c>
      <c r="N214" s="9">
        <v>18.18</v>
      </c>
      <c r="P214" s="9">
        <v>20.25</v>
      </c>
      <c r="Q214" s="9" t="s">
        <v>115</v>
      </c>
      <c r="R214" s="9">
        <v>21.25</v>
      </c>
      <c r="S214" s="9">
        <v>20</v>
      </c>
      <c r="T214" s="9">
        <v>19.25</v>
      </c>
      <c r="U214" s="9" t="s">
        <v>116</v>
      </c>
      <c r="V214" s="9">
        <v>10</v>
      </c>
      <c r="W214" s="9">
        <v>10</v>
      </c>
      <c r="X214" s="9">
        <v>1</v>
      </c>
      <c r="Y214" s="9">
        <v>1</v>
      </c>
      <c r="Z214" s="9">
        <v>1</v>
      </c>
      <c r="AA214" s="9">
        <v>48</v>
      </c>
      <c r="AC214" s="9">
        <v>216</v>
      </c>
      <c r="AD214" s="9">
        <v>72</v>
      </c>
      <c r="AN214" s="9">
        <v>750</v>
      </c>
      <c r="AO214" s="9">
        <v>149</v>
      </c>
      <c r="AQ214" s="9">
        <v>1525</v>
      </c>
      <c r="AS214" s="9">
        <v>50</v>
      </c>
      <c r="AX214" s="9">
        <v>200</v>
      </c>
      <c r="AY214" s="9">
        <v>2000</v>
      </c>
      <c r="AZ214" s="9" t="s">
        <v>972</v>
      </c>
      <c r="BA214" s="9" t="s">
        <v>102</v>
      </c>
      <c r="BB214" s="9" t="s">
        <v>101</v>
      </c>
      <c r="BC214" s="9" t="s">
        <v>101</v>
      </c>
      <c r="BD214" s="9" t="s">
        <v>102</v>
      </c>
      <c r="BE214" s="9" t="s">
        <v>102</v>
      </c>
      <c r="BF214" s="9" t="s">
        <v>118</v>
      </c>
      <c r="BG214" s="9" t="s">
        <v>118</v>
      </c>
      <c r="BH214" s="9" t="s">
        <v>105</v>
      </c>
      <c r="BI214" s="9">
        <v>13</v>
      </c>
      <c r="BJ214" s="9">
        <v>2</v>
      </c>
      <c r="BK214" s="9">
        <v>2</v>
      </c>
      <c r="BL214" s="9">
        <v>24</v>
      </c>
      <c r="BM214" s="9">
        <v>4</v>
      </c>
      <c r="BN214" s="9">
        <v>18</v>
      </c>
      <c r="BO214" s="9">
        <v>13</v>
      </c>
      <c r="BP214" s="9">
        <v>13</v>
      </c>
      <c r="BQ214" s="9">
        <v>2</v>
      </c>
      <c r="BR214" s="9">
        <v>24</v>
      </c>
      <c r="BS214" s="9">
        <v>4</v>
      </c>
      <c r="BT214" s="9">
        <v>18</v>
      </c>
      <c r="BY214" s="8">
        <v>102397</v>
      </c>
      <c r="CI214" s="51" t="s">
        <v>973</v>
      </c>
      <c r="CJ214" s="8" t="b">
        <v>0</v>
      </c>
      <c r="CT214" s="8">
        <v>116772</v>
      </c>
    </row>
    <row r="215" spans="1:98" s="8" customFormat="1" x14ac:dyDescent="0.25">
      <c r="A215" s="13">
        <v>129505</v>
      </c>
      <c r="B215" s="9">
        <v>22</v>
      </c>
      <c r="C215" s="9" t="s">
        <v>974</v>
      </c>
      <c r="D215" s="9" t="s">
        <v>121</v>
      </c>
      <c r="E215" s="9" t="s">
        <v>272</v>
      </c>
      <c r="F215" s="9"/>
      <c r="G215" s="33" t="str">
        <f>_xlfn.XLOOKUP(CT215,'Just Methods'!T:T,'Just Methods'!S:S)</f>
        <v xml:space="preserve"> 22" MFL2+DEF+LFM </v>
      </c>
      <c r="H215" s="47" t="str">
        <f>_xlfn.XLOOKUP(CT215,'Just Methods'!T:T,'Just Methods'!C:C)</f>
        <v>FLEX.DEF.LFM.MFL.22</v>
      </c>
      <c r="I215" s="9" t="s">
        <v>915</v>
      </c>
      <c r="J215" s="9">
        <f t="shared" si="6"/>
        <v>7</v>
      </c>
      <c r="K215" s="9" t="s">
        <v>114</v>
      </c>
      <c r="L215" s="9">
        <v>22</v>
      </c>
      <c r="M215" s="9">
        <v>19.25</v>
      </c>
      <c r="Q215" s="9" t="s">
        <v>115</v>
      </c>
      <c r="R215" s="9">
        <v>20.25</v>
      </c>
      <c r="S215" s="9">
        <v>20.25</v>
      </c>
      <c r="U215" s="9" t="s">
        <v>99</v>
      </c>
      <c r="V215" s="9">
        <v>10</v>
      </c>
      <c r="W215" s="9">
        <v>10</v>
      </c>
      <c r="X215" s="9">
        <v>0.6</v>
      </c>
      <c r="Y215" s="9">
        <v>1</v>
      </c>
      <c r="Z215" s="9">
        <v>0.6</v>
      </c>
      <c r="AA215" s="9">
        <v>84</v>
      </c>
      <c r="AB215" s="9">
        <v>252</v>
      </c>
      <c r="AD215" s="9">
        <v>84</v>
      </c>
      <c r="AF215" s="9">
        <v>252</v>
      </c>
      <c r="AN215" s="9">
        <v>750</v>
      </c>
      <c r="AO215" s="9">
        <v>129</v>
      </c>
      <c r="AQ215" s="9">
        <v>2515</v>
      </c>
      <c r="AT215" s="9">
        <v>212</v>
      </c>
      <c r="AX215" s="9">
        <v>400</v>
      </c>
      <c r="AY215" s="9">
        <v>2000</v>
      </c>
      <c r="AZ215" s="9" t="s">
        <v>975</v>
      </c>
      <c r="BA215" s="9" t="s">
        <v>102</v>
      </c>
      <c r="BB215" s="9" t="s">
        <v>102</v>
      </c>
      <c r="BC215" s="9" t="s">
        <v>102</v>
      </c>
      <c r="BD215" s="9" t="s">
        <v>102</v>
      </c>
      <c r="BE215" s="9" t="s">
        <v>102</v>
      </c>
      <c r="BF215" s="9" t="s">
        <v>118</v>
      </c>
      <c r="BG215" s="9" t="s">
        <v>792</v>
      </c>
      <c r="BH215" s="9" t="s">
        <v>105</v>
      </c>
      <c r="BI215" s="9">
        <v>11</v>
      </c>
      <c r="BJ215" s="9">
        <v>2</v>
      </c>
      <c r="BK215" s="9">
        <v>2</v>
      </c>
      <c r="BL215" s="9">
        <v>24</v>
      </c>
      <c r="BM215" s="9">
        <v>4</v>
      </c>
      <c r="BN215" s="9">
        <v>14</v>
      </c>
      <c r="BO215" s="9">
        <v>11</v>
      </c>
      <c r="BP215" s="9">
        <v>11</v>
      </c>
      <c r="BQ215" s="9">
        <v>2</v>
      </c>
      <c r="BR215" s="9">
        <v>24</v>
      </c>
      <c r="BS215" s="9">
        <v>4</v>
      </c>
      <c r="BT215" s="9">
        <v>14</v>
      </c>
      <c r="BX215" s="8">
        <v>111283</v>
      </c>
      <c r="BY215" s="8">
        <v>112950</v>
      </c>
      <c r="CD215" s="8">
        <v>120123</v>
      </c>
      <c r="CH215" s="8">
        <v>111284</v>
      </c>
      <c r="CI215" s="51"/>
      <c r="CJ215" s="8" t="b">
        <v>0</v>
      </c>
      <c r="CT215" s="8">
        <v>129505</v>
      </c>
    </row>
    <row r="216" spans="1:98" s="8" customFormat="1" x14ac:dyDescent="0.25">
      <c r="A216" s="13" t="s">
        <v>976</v>
      </c>
      <c r="B216" s="9">
        <v>22</v>
      </c>
      <c r="C216" s="9" t="s">
        <v>977</v>
      </c>
      <c r="D216" s="9" t="s">
        <v>94</v>
      </c>
      <c r="E216" s="9" t="s">
        <v>258</v>
      </c>
      <c r="F216" s="9"/>
      <c r="G216" s="33" t="str">
        <f>_xlfn.XLOOKUP(CT216,'Just Methods'!T:T,'Just Methods'!S:S)</f>
        <v xml:space="preserve"> 22" GMFL2 </v>
      </c>
      <c r="H216" s="47" t="str">
        <f>_xlfn.XLOOKUP(CT216,'Just Methods'!T:T,'Just Methods'!C:C)</f>
        <v>GMFL.22</v>
      </c>
      <c r="I216" s="9" t="str">
        <f>_xlfn.XLOOKUP(H216,'Alternative Tool Body Sheet'!A:A,'Alternative Tool Body Sheet'!C:C)</f>
        <v>22/24 GMFL</v>
      </c>
      <c r="J216" s="9">
        <f t="shared" si="6"/>
        <v>5</v>
      </c>
      <c r="K216" s="9" t="s">
        <v>114</v>
      </c>
      <c r="L216" s="9">
        <v>22</v>
      </c>
      <c r="M216" s="9">
        <v>19</v>
      </c>
      <c r="N216" s="9">
        <v>18.18</v>
      </c>
      <c r="P216" s="9">
        <v>19.5</v>
      </c>
      <c r="Q216" s="9" t="s">
        <v>115</v>
      </c>
      <c r="R216" s="9">
        <v>21.25</v>
      </c>
      <c r="S216" s="9">
        <v>20</v>
      </c>
      <c r="T216" s="9">
        <v>19.25</v>
      </c>
      <c r="U216" s="9" t="s">
        <v>116</v>
      </c>
      <c r="V216" s="9">
        <v>10</v>
      </c>
      <c r="W216" s="9">
        <v>10</v>
      </c>
      <c r="X216" s="9">
        <v>1</v>
      </c>
      <c r="Y216" s="9">
        <v>1</v>
      </c>
      <c r="Z216" s="9">
        <v>1</v>
      </c>
      <c r="AC216" s="9">
        <v>216</v>
      </c>
      <c r="AD216" s="9">
        <v>72</v>
      </c>
      <c r="AN216" s="9">
        <v>750</v>
      </c>
      <c r="AO216" s="9">
        <v>93</v>
      </c>
      <c r="AQ216" s="9">
        <v>1155</v>
      </c>
      <c r="AS216" s="9">
        <v>134</v>
      </c>
      <c r="AT216" s="9">
        <v>425</v>
      </c>
      <c r="AV216" s="9">
        <v>16.600000000000001</v>
      </c>
      <c r="AW216" s="9">
        <v>1.38</v>
      </c>
      <c r="AX216" s="9">
        <v>250</v>
      </c>
      <c r="AY216" s="9">
        <v>2000</v>
      </c>
      <c r="AZ216" s="9" t="s">
        <v>978</v>
      </c>
      <c r="BA216" s="9" t="s">
        <v>102</v>
      </c>
      <c r="BB216" s="9" t="s">
        <v>101</v>
      </c>
      <c r="BC216" s="9" t="s">
        <v>101</v>
      </c>
      <c r="BD216" s="9" t="s">
        <v>102</v>
      </c>
      <c r="BE216" s="9" t="s">
        <v>102</v>
      </c>
      <c r="BF216" s="9" t="s">
        <v>919</v>
      </c>
      <c r="BG216" s="9" t="s">
        <v>920</v>
      </c>
      <c r="BH216" s="9" t="s">
        <v>105</v>
      </c>
      <c r="BI216" s="9">
        <v>8</v>
      </c>
      <c r="BJ216" s="9">
        <v>2</v>
      </c>
      <c r="BK216" s="9">
        <v>2</v>
      </c>
      <c r="BL216" s="9">
        <v>24</v>
      </c>
      <c r="BM216" s="9">
        <v>4</v>
      </c>
      <c r="BN216" s="9">
        <v>10</v>
      </c>
      <c r="BO216" s="9">
        <v>8</v>
      </c>
      <c r="BP216" s="9">
        <v>8</v>
      </c>
      <c r="BQ216" s="9">
        <v>2</v>
      </c>
      <c r="BR216" s="9">
        <v>24</v>
      </c>
      <c r="BS216" s="9">
        <v>4</v>
      </c>
      <c r="BT216" s="9">
        <v>10</v>
      </c>
      <c r="CI216" s="51" t="s">
        <v>973</v>
      </c>
      <c r="CJ216" s="8" t="b">
        <v>0</v>
      </c>
      <c r="CT216" s="8" t="s">
        <v>976</v>
      </c>
    </row>
    <row r="217" spans="1:98" s="8" customFormat="1" x14ac:dyDescent="0.25">
      <c r="A217" s="13">
        <v>120369</v>
      </c>
      <c r="B217" s="9">
        <v>22</v>
      </c>
      <c r="C217" s="9" t="s">
        <v>979</v>
      </c>
      <c r="D217" s="9" t="s">
        <v>94</v>
      </c>
      <c r="E217" s="9" t="s">
        <v>212</v>
      </c>
      <c r="F217" s="9"/>
      <c r="G217" s="33" t="str">
        <f>_xlfn.XLOOKUP(CT217,'Just Methods'!T:T,'Just Methods'!S:S)</f>
        <v xml:space="preserve"> 22" MFL+DEF+XYZ (xHD) </v>
      </c>
      <c r="H217" s="47" t="str">
        <f>_xlfn.XLOOKUP(CT217,'Just Methods'!T:T,'Just Methods'!C:C)</f>
        <v>DEF.MFL.XYZ.22</v>
      </c>
      <c r="I217" s="9" t="str">
        <f>_xlfn.XLOOKUP(H217,'Alternative Tool Body Sheet'!A:A,'Alternative Tool Body Sheet'!C:C)</f>
        <v>20/22 MFL</v>
      </c>
      <c r="J217" s="9">
        <f t="shared" si="6"/>
        <v>5</v>
      </c>
      <c r="K217" s="9" t="s">
        <v>114</v>
      </c>
      <c r="L217" s="9">
        <v>22</v>
      </c>
      <c r="M217" s="9">
        <v>19.350000000000001</v>
      </c>
      <c r="P217" s="9">
        <v>20.25</v>
      </c>
      <c r="V217" s="9">
        <v>10</v>
      </c>
      <c r="AA217" s="9">
        <v>48</v>
      </c>
      <c r="AD217" s="9">
        <v>64</v>
      </c>
      <c r="AH217" s="9">
        <v>192</v>
      </c>
      <c r="AN217" s="9">
        <v>750</v>
      </c>
      <c r="AO217" s="9">
        <v>134</v>
      </c>
      <c r="AQ217" s="9">
        <v>1251</v>
      </c>
      <c r="AY217" s="9">
        <v>2000</v>
      </c>
      <c r="BA217" s="9" t="s">
        <v>102</v>
      </c>
      <c r="BB217" s="9" t="s">
        <v>101</v>
      </c>
      <c r="BC217" s="9" t="s">
        <v>101</v>
      </c>
      <c r="BD217" s="9" t="s">
        <v>102</v>
      </c>
      <c r="BE217" s="9" t="s">
        <v>102</v>
      </c>
      <c r="BF217" s="9" t="s">
        <v>118</v>
      </c>
      <c r="BG217" s="9" t="s">
        <v>118</v>
      </c>
      <c r="BH217" s="9" t="s">
        <v>105</v>
      </c>
      <c r="BI217" s="9">
        <v>12</v>
      </c>
      <c r="BJ217" s="9">
        <v>2</v>
      </c>
      <c r="BK217" s="9">
        <v>2</v>
      </c>
      <c r="BL217" s="9">
        <v>24</v>
      </c>
      <c r="BM217" s="9">
        <v>4</v>
      </c>
      <c r="BN217" s="9">
        <v>15</v>
      </c>
      <c r="BO217" s="9">
        <v>12</v>
      </c>
      <c r="BP217" s="9">
        <v>12</v>
      </c>
      <c r="BQ217" s="9">
        <v>2</v>
      </c>
      <c r="BR217" s="9">
        <v>24</v>
      </c>
      <c r="BS217" s="9">
        <v>4</v>
      </c>
      <c r="BT217" s="9">
        <v>15</v>
      </c>
      <c r="BX217" s="8">
        <v>105850</v>
      </c>
      <c r="BY217" s="8">
        <v>109322</v>
      </c>
      <c r="CI217" s="51"/>
      <c r="CJ217" s="8" t="b">
        <v>0</v>
      </c>
      <c r="CT217" s="8">
        <v>120369</v>
      </c>
    </row>
    <row r="218" spans="1:98" s="8" customFormat="1" x14ac:dyDescent="0.25">
      <c r="A218" s="13">
        <v>124936</v>
      </c>
      <c r="B218" s="9">
        <v>22</v>
      </c>
      <c r="C218" s="9" t="s">
        <v>980</v>
      </c>
      <c r="D218" s="9" t="s">
        <v>94</v>
      </c>
      <c r="E218" s="9" t="s">
        <v>194</v>
      </c>
      <c r="F218" s="9"/>
      <c r="G218" s="33" t="str">
        <f>_xlfn.XLOOKUP(CT218,'Just Methods'!T:T,'Just Methods'!S:S)</f>
        <v xml:space="preserve"> 22" DEF+XYZ (xHD) </v>
      </c>
      <c r="H218" s="47" t="str">
        <f>_xlfn.XLOOKUP(CT218,'Just Methods'!T:T,'Just Methods'!C:C)</f>
        <v>DEF.XYZ.22</v>
      </c>
      <c r="I218" s="9" t="str">
        <f>_xlfn.XLOOKUP(H218,'Alternative Tool Body Sheet'!A:A,'Alternative Tool Body Sheet'!C:C)</f>
        <v>20/24 DEF</v>
      </c>
      <c r="J218" s="9">
        <f t="shared" si="6"/>
        <v>5</v>
      </c>
      <c r="K218" s="9" t="s">
        <v>114</v>
      </c>
      <c r="L218" s="9">
        <v>22</v>
      </c>
      <c r="M218" s="9">
        <v>16.5</v>
      </c>
      <c r="N218" s="9">
        <v>25</v>
      </c>
      <c r="Q218" s="9" t="s">
        <v>115</v>
      </c>
      <c r="R218" s="9">
        <v>19.5</v>
      </c>
      <c r="U218" s="9" t="s">
        <v>116</v>
      </c>
      <c r="V218" s="9">
        <v>15</v>
      </c>
      <c r="AA218" s="9">
        <v>48</v>
      </c>
      <c r="AN218" s="9">
        <v>750</v>
      </c>
      <c r="AO218" s="9">
        <v>88</v>
      </c>
      <c r="AQ218" s="9">
        <v>514</v>
      </c>
      <c r="AT218" s="9">
        <v>56.3</v>
      </c>
      <c r="AW218" s="9">
        <v>1.2</v>
      </c>
      <c r="AX218" s="9">
        <v>250</v>
      </c>
      <c r="AY218" s="9">
        <v>2000</v>
      </c>
      <c r="AZ218" s="9" t="s">
        <v>981</v>
      </c>
      <c r="BA218" s="9" t="s">
        <v>102</v>
      </c>
      <c r="BB218" s="9" t="s">
        <v>101</v>
      </c>
      <c r="BC218" s="9" t="s">
        <v>101</v>
      </c>
      <c r="BD218" s="9" t="s">
        <v>102</v>
      </c>
      <c r="BE218" s="9" t="s">
        <v>102</v>
      </c>
      <c r="BF218" s="9" t="s">
        <v>118</v>
      </c>
      <c r="BG218" s="9" t="s">
        <v>118</v>
      </c>
      <c r="BH218" s="9" t="s">
        <v>105</v>
      </c>
      <c r="BI218" s="9">
        <v>8</v>
      </c>
      <c r="BJ218" s="9">
        <v>2</v>
      </c>
      <c r="BK218" s="9">
        <v>2</v>
      </c>
      <c r="BL218" s="9">
        <v>24</v>
      </c>
      <c r="BM218" s="9">
        <v>4</v>
      </c>
      <c r="BN218" s="9">
        <v>10</v>
      </c>
      <c r="BO218" s="9">
        <v>8</v>
      </c>
      <c r="BP218" s="9">
        <v>8</v>
      </c>
      <c r="BQ218" s="9">
        <v>2</v>
      </c>
      <c r="BR218" s="9">
        <v>24</v>
      </c>
      <c r="BS218" s="9">
        <v>4</v>
      </c>
      <c r="BT218" s="9">
        <v>10</v>
      </c>
      <c r="BY218" s="8">
        <v>109322</v>
      </c>
      <c r="CI218" s="51"/>
      <c r="CJ218" s="8" t="b">
        <v>0</v>
      </c>
      <c r="CT218" s="8">
        <v>124936</v>
      </c>
    </row>
    <row r="219" spans="1:98" s="8" customFormat="1" x14ac:dyDescent="0.25">
      <c r="A219" s="13">
        <v>117836</v>
      </c>
      <c r="B219" s="9">
        <v>22</v>
      </c>
      <c r="C219" s="9" t="s">
        <v>982</v>
      </c>
      <c r="D219" s="9" t="s">
        <v>94</v>
      </c>
      <c r="E219" s="9" t="s">
        <v>95</v>
      </c>
      <c r="F219" s="9"/>
      <c r="G219" s="33" t="str">
        <f>_xlfn.XLOOKUP(CT219,'Just Methods'!T:T,'Just Methods'!S:S)</f>
        <v xml:space="preserve"> 22" DEF Single Body </v>
      </c>
      <c r="H219" s="47" t="str">
        <f>_xlfn.XLOOKUP(CT219,'Just Methods'!T:T,'Just Methods'!C:C)</f>
        <v>DEF.22</v>
      </c>
      <c r="I219" s="9" t="str">
        <f>_xlfn.XLOOKUP(H219,'Alternative Tool Body Sheet'!A:A,'Alternative Tool Body Sheet'!C:C)</f>
        <v>20/24 DEF</v>
      </c>
      <c r="J219" s="9">
        <f t="shared" si="6"/>
        <v>5</v>
      </c>
      <c r="K219" s="9" t="s">
        <v>114</v>
      </c>
      <c r="L219" s="9">
        <v>22</v>
      </c>
      <c r="M219" s="9">
        <v>16.5</v>
      </c>
      <c r="N219" s="9">
        <v>25</v>
      </c>
      <c r="P219" s="9">
        <v>19.5</v>
      </c>
      <c r="Q219" s="9" t="s">
        <v>115</v>
      </c>
      <c r="R219" s="9">
        <v>19.5</v>
      </c>
      <c r="U219" s="9" t="s">
        <v>116</v>
      </c>
      <c r="V219" s="9">
        <v>15</v>
      </c>
      <c r="AA219" s="9">
        <v>48</v>
      </c>
      <c r="AN219" s="9">
        <v>750</v>
      </c>
      <c r="AO219" s="9">
        <v>46.1</v>
      </c>
      <c r="AQ219" s="9">
        <v>321</v>
      </c>
      <c r="AT219" s="9">
        <v>49</v>
      </c>
      <c r="AX219" s="9">
        <v>250</v>
      </c>
      <c r="AY219" s="9">
        <v>2000</v>
      </c>
      <c r="AZ219" s="9" t="s">
        <v>983</v>
      </c>
      <c r="BA219" s="9" t="s">
        <v>102</v>
      </c>
      <c r="BB219" s="9" t="s">
        <v>101</v>
      </c>
      <c r="BC219" s="9" t="s">
        <v>101</v>
      </c>
      <c r="BD219" s="9" t="s">
        <v>102</v>
      </c>
      <c r="BE219" s="9" t="s">
        <v>102</v>
      </c>
      <c r="BF219" s="9" t="s">
        <v>919</v>
      </c>
      <c r="BG219" s="9" t="s">
        <v>984</v>
      </c>
      <c r="BH219" s="9" t="s">
        <v>105</v>
      </c>
      <c r="BI219" s="9">
        <v>4</v>
      </c>
      <c r="BJ219" s="9">
        <v>2</v>
      </c>
      <c r="BK219" s="9">
        <v>2</v>
      </c>
      <c r="BL219" s="9">
        <v>24</v>
      </c>
      <c r="BM219" s="9">
        <v>4</v>
      </c>
      <c r="BN219" s="9">
        <v>6</v>
      </c>
      <c r="BO219" s="9">
        <v>4</v>
      </c>
      <c r="BP219" s="9">
        <v>4</v>
      </c>
      <c r="BQ219" s="9">
        <v>2</v>
      </c>
      <c r="BR219" s="9">
        <v>24</v>
      </c>
      <c r="BS219" s="9">
        <v>4</v>
      </c>
      <c r="BT219" s="9">
        <v>6</v>
      </c>
      <c r="BY219" s="8">
        <v>109322</v>
      </c>
      <c r="CI219" s="51"/>
      <c r="CJ219" s="8" t="b">
        <v>0</v>
      </c>
      <c r="CT219" s="8">
        <v>117836</v>
      </c>
    </row>
    <row r="220" spans="1:98" s="8" customFormat="1" x14ac:dyDescent="0.25">
      <c r="A220" s="13">
        <v>129500</v>
      </c>
      <c r="B220" s="9">
        <v>22</v>
      </c>
      <c r="C220" s="9" t="s">
        <v>985</v>
      </c>
      <c r="D220" s="9" t="s">
        <v>121</v>
      </c>
      <c r="E220" s="9" t="s">
        <v>331</v>
      </c>
      <c r="F220" s="9"/>
      <c r="G220" s="33" t="str">
        <f>_xlfn.XLOOKUP(CT220,'Just Methods'!T:T,'Just Methods'!S:S)</f>
        <v xml:space="preserve"> 22" MFL2+DEF+SpirALL+MFL XYZ+LFM </v>
      </c>
      <c r="H220" s="47" t="str">
        <f>_xlfn.XLOOKUP(CT220,'Just Methods'!T:T,'Just Methods'!C:C)</f>
        <v>DEF.LFM.MFL.SMFL.XYZ.22</v>
      </c>
      <c r="I220" s="9" t="str">
        <f>_xlfn.XLOOKUP(H220,'Alternative Tool Body Sheet'!A:A,'Alternative Tool Body Sheet'!C:C)</f>
        <v>20/22 MDS</v>
      </c>
      <c r="J220" s="9">
        <f t="shared" si="6"/>
        <v>7</v>
      </c>
      <c r="K220" s="9" t="s">
        <v>114</v>
      </c>
      <c r="L220" s="9">
        <v>22</v>
      </c>
      <c r="M220" s="9">
        <v>19.25</v>
      </c>
      <c r="Q220" s="9" t="s">
        <v>115</v>
      </c>
      <c r="R220" s="9">
        <v>20.25</v>
      </c>
      <c r="S220" s="9">
        <v>20.25</v>
      </c>
      <c r="U220" s="9" t="s">
        <v>99</v>
      </c>
      <c r="V220" s="9">
        <v>10</v>
      </c>
      <c r="W220" s="9">
        <v>10</v>
      </c>
      <c r="X220" s="9">
        <v>0.6</v>
      </c>
      <c r="Y220" s="9">
        <v>1</v>
      </c>
      <c r="Z220" s="9">
        <v>0.6</v>
      </c>
      <c r="AA220" s="9">
        <v>84</v>
      </c>
      <c r="AD220" s="9">
        <v>84</v>
      </c>
      <c r="AF220" s="9">
        <v>252</v>
      </c>
      <c r="AH220" s="9">
        <v>252</v>
      </c>
      <c r="AJ220" s="9">
        <v>552</v>
      </c>
      <c r="AN220" s="9">
        <v>750</v>
      </c>
      <c r="AO220" s="9">
        <v>169</v>
      </c>
      <c r="AQ220" s="9">
        <v>2955</v>
      </c>
      <c r="AT220" s="9">
        <v>119</v>
      </c>
      <c r="AX220" s="9">
        <v>400</v>
      </c>
      <c r="AY220" s="9">
        <v>2000</v>
      </c>
      <c r="AZ220" s="9" t="s">
        <v>986</v>
      </c>
      <c r="BA220" s="9" t="s">
        <v>102</v>
      </c>
      <c r="BB220" s="9" t="s">
        <v>102</v>
      </c>
      <c r="BC220" s="9" t="s">
        <v>102</v>
      </c>
      <c r="BD220" s="9" t="s">
        <v>102</v>
      </c>
      <c r="BE220" s="9" t="s">
        <v>102</v>
      </c>
      <c r="BF220" s="9" t="s">
        <v>118</v>
      </c>
      <c r="BG220" s="9" t="s">
        <v>792</v>
      </c>
      <c r="BH220" s="9" t="s">
        <v>105</v>
      </c>
      <c r="BI220" s="9">
        <v>15</v>
      </c>
      <c r="BJ220" s="9">
        <v>2</v>
      </c>
      <c r="BK220" s="9">
        <v>2</v>
      </c>
      <c r="BL220" s="9">
        <v>24</v>
      </c>
      <c r="BM220" s="9">
        <v>4</v>
      </c>
      <c r="BN220" s="9">
        <v>20</v>
      </c>
      <c r="BO220" s="9">
        <v>15</v>
      </c>
      <c r="BP220" s="9">
        <v>15</v>
      </c>
      <c r="BQ220" s="9">
        <v>2</v>
      </c>
      <c r="BR220" s="9">
        <v>24</v>
      </c>
      <c r="BS220" s="9">
        <v>4</v>
      </c>
      <c r="BT220" s="9">
        <v>20</v>
      </c>
      <c r="BX220" s="8">
        <v>111283</v>
      </c>
      <c r="BY220" s="8">
        <v>112950</v>
      </c>
      <c r="CD220" s="8">
        <v>120123</v>
      </c>
      <c r="CH220" s="8">
        <v>111284</v>
      </c>
      <c r="CI220" s="51"/>
      <c r="CJ220" s="8" t="b">
        <v>0</v>
      </c>
      <c r="CT220" s="8">
        <v>129500</v>
      </c>
    </row>
    <row r="221" spans="1:98" s="8" customFormat="1" x14ac:dyDescent="0.25">
      <c r="A221" s="13">
        <v>129501</v>
      </c>
      <c r="B221" s="9">
        <v>22</v>
      </c>
      <c r="C221" s="9" t="s">
        <v>987</v>
      </c>
      <c r="D221" s="9" t="s">
        <v>121</v>
      </c>
      <c r="E221" s="9" t="s">
        <v>301</v>
      </c>
      <c r="F221" s="9"/>
      <c r="G221" s="33" t="str">
        <f>_xlfn.XLOOKUP(CT221,'Just Methods'!T:T,'Just Methods'!S:S)</f>
        <v xml:space="preserve"> 22" MFL2+DEF+SMFL+LFM,SpirALL MFL </v>
      </c>
      <c r="H221" s="47" t="str">
        <f>_xlfn.XLOOKUP(CT221,'Just Methods'!T:T,'Just Methods'!C:C)</f>
        <v>DEF.LFM.MFL.SMFL.22</v>
      </c>
      <c r="I221" s="9" t="str">
        <f>_xlfn.XLOOKUP(H221,'Alternative Tool Body Sheet'!A:A,'Alternative Tool Body Sheet'!C:C)</f>
        <v>20/22 MDS</v>
      </c>
      <c r="J221" s="9">
        <f t="shared" si="6"/>
        <v>7</v>
      </c>
      <c r="K221" s="9" t="s">
        <v>114</v>
      </c>
      <c r="L221" s="9">
        <v>22</v>
      </c>
      <c r="M221" s="9">
        <v>19.25</v>
      </c>
      <c r="Q221" s="9" t="s">
        <v>115</v>
      </c>
      <c r="R221" s="9">
        <v>20.25</v>
      </c>
      <c r="S221" s="9">
        <v>20.25</v>
      </c>
      <c r="U221" s="9" t="s">
        <v>99</v>
      </c>
      <c r="V221" s="9">
        <v>10</v>
      </c>
      <c r="W221" s="9">
        <v>10</v>
      </c>
      <c r="X221" s="9">
        <v>0.6</v>
      </c>
      <c r="Y221" s="9">
        <v>1</v>
      </c>
      <c r="Z221" s="9">
        <v>0.6</v>
      </c>
      <c r="AA221" s="9">
        <v>84</v>
      </c>
      <c r="AD221" s="9">
        <v>84</v>
      </c>
      <c r="AF221" s="9">
        <v>252</v>
      </c>
      <c r="AH221" s="9">
        <v>252</v>
      </c>
      <c r="AJ221" s="9">
        <v>552</v>
      </c>
      <c r="AN221" s="9">
        <v>750</v>
      </c>
      <c r="AO221" s="9">
        <v>169</v>
      </c>
      <c r="AQ221" s="9">
        <v>2955</v>
      </c>
      <c r="AT221" s="9">
        <v>187</v>
      </c>
      <c r="AX221" s="9">
        <v>400</v>
      </c>
      <c r="AY221" s="9">
        <v>2000</v>
      </c>
      <c r="AZ221" s="9" t="s">
        <v>988</v>
      </c>
      <c r="BA221" s="9" t="s">
        <v>102</v>
      </c>
      <c r="BB221" s="9" t="s">
        <v>102</v>
      </c>
      <c r="BC221" s="9" t="s">
        <v>102</v>
      </c>
      <c r="BD221" s="9" t="s">
        <v>102</v>
      </c>
      <c r="BE221" s="9" t="s">
        <v>102</v>
      </c>
      <c r="BF221" s="9" t="s">
        <v>118</v>
      </c>
      <c r="BG221" s="9" t="s">
        <v>792</v>
      </c>
      <c r="BH221" s="9" t="s">
        <v>105</v>
      </c>
      <c r="BI221" s="9">
        <v>15</v>
      </c>
      <c r="BJ221" s="9">
        <v>2</v>
      </c>
      <c r="BK221" s="9">
        <v>2</v>
      </c>
      <c r="BL221" s="9">
        <v>24</v>
      </c>
      <c r="BM221" s="9">
        <v>4</v>
      </c>
      <c r="BN221" s="9">
        <v>20</v>
      </c>
      <c r="BO221" s="9">
        <v>15</v>
      </c>
      <c r="BP221" s="9">
        <v>15</v>
      </c>
      <c r="BQ221" s="9">
        <v>2</v>
      </c>
      <c r="BR221" s="9">
        <v>24</v>
      </c>
      <c r="BS221" s="9">
        <v>4</v>
      </c>
      <c r="BT221" s="9">
        <v>20</v>
      </c>
      <c r="BX221" s="8">
        <v>111283</v>
      </c>
      <c r="BY221" s="8">
        <v>112950</v>
      </c>
      <c r="CD221" s="8">
        <v>120123</v>
      </c>
      <c r="CH221" s="8">
        <v>111284</v>
      </c>
      <c r="CI221" s="51"/>
      <c r="CJ221" s="8" t="b">
        <v>0</v>
      </c>
      <c r="CT221" s="8">
        <v>129501</v>
      </c>
    </row>
    <row r="222" spans="1:98" s="8" customFormat="1" x14ac:dyDescent="0.25">
      <c r="A222" s="13">
        <v>129507</v>
      </c>
      <c r="B222" s="9">
        <v>22</v>
      </c>
      <c r="C222" s="9" t="s">
        <v>989</v>
      </c>
      <c r="D222" s="9" t="s">
        <v>121</v>
      </c>
      <c r="E222" s="9" t="s">
        <v>122</v>
      </c>
      <c r="F222" s="9"/>
      <c r="G222" s="33" t="str">
        <f>_xlfn.XLOOKUP(CT222,'Just Methods'!T:T,'Just Methods'!S:S)</f>
        <v xml:space="preserve"> 22" MFL2+DEF2 </v>
      </c>
      <c r="H222" s="47" t="str">
        <f>_xlfn.XLOOKUP(CT222,'Just Methods'!T:T,'Just Methods'!C:C)</f>
        <v>FLEX.DEF.MFL.22</v>
      </c>
      <c r="I222" s="9" t="s">
        <v>915</v>
      </c>
      <c r="J222" s="9">
        <f t="shared" si="6"/>
        <v>7</v>
      </c>
      <c r="K222" s="9" t="s">
        <v>114</v>
      </c>
      <c r="L222" s="9">
        <v>22</v>
      </c>
      <c r="M222" s="9">
        <v>19.25</v>
      </c>
      <c r="Q222" s="9" t="s">
        <v>115</v>
      </c>
      <c r="R222" s="9">
        <v>20.25</v>
      </c>
      <c r="S222" s="9">
        <v>20.25</v>
      </c>
      <c r="U222" s="9" t="s">
        <v>99</v>
      </c>
      <c r="V222" s="9">
        <v>10</v>
      </c>
      <c r="W222" s="9">
        <v>10</v>
      </c>
      <c r="X222" s="9">
        <v>0.6</v>
      </c>
      <c r="Y222" s="9">
        <v>1</v>
      </c>
      <c r="Z222" s="9">
        <v>0.6</v>
      </c>
      <c r="AA222" s="9">
        <v>84</v>
      </c>
      <c r="AB222" s="9">
        <v>252</v>
      </c>
      <c r="AD222" s="9">
        <v>84</v>
      </c>
      <c r="AN222" s="9">
        <v>750</v>
      </c>
      <c r="AO222" s="9">
        <v>97</v>
      </c>
      <c r="AQ222" s="9">
        <v>1910</v>
      </c>
      <c r="AT222" s="9">
        <v>236</v>
      </c>
      <c r="AX222" s="9">
        <v>400</v>
      </c>
      <c r="AY222" s="9">
        <v>2000</v>
      </c>
      <c r="AZ222" s="9" t="s">
        <v>990</v>
      </c>
      <c r="BA222" s="9" t="s">
        <v>102</v>
      </c>
      <c r="BB222" s="9" t="s">
        <v>102</v>
      </c>
      <c r="BC222" s="9" t="s">
        <v>102</v>
      </c>
      <c r="BD222" s="9" t="s">
        <v>102</v>
      </c>
      <c r="BE222" s="9" t="s">
        <v>102</v>
      </c>
      <c r="BF222" s="9" t="s">
        <v>118</v>
      </c>
      <c r="BG222" s="9" t="s">
        <v>792</v>
      </c>
      <c r="BH222" s="9" t="s">
        <v>105</v>
      </c>
      <c r="BI222" s="9">
        <v>9</v>
      </c>
      <c r="BJ222" s="9">
        <v>2</v>
      </c>
      <c r="BK222" s="9">
        <v>2</v>
      </c>
      <c r="BL222" s="9">
        <v>24</v>
      </c>
      <c r="BM222" s="9">
        <v>4</v>
      </c>
      <c r="BN222" s="9">
        <v>12</v>
      </c>
      <c r="BO222" s="9">
        <v>9</v>
      </c>
      <c r="BP222" s="9">
        <v>9</v>
      </c>
      <c r="BQ222" s="9">
        <v>2</v>
      </c>
      <c r="BR222" s="9">
        <v>24</v>
      </c>
      <c r="BS222" s="9">
        <v>4</v>
      </c>
      <c r="BT222" s="9">
        <v>12</v>
      </c>
      <c r="BX222" s="8">
        <v>111283</v>
      </c>
      <c r="BY222" s="8">
        <v>112950</v>
      </c>
      <c r="CI222" s="51"/>
      <c r="CJ222" s="8" t="b">
        <v>0</v>
      </c>
      <c r="CT222" s="8">
        <v>129507</v>
      </c>
    </row>
    <row r="223" spans="1:98" s="8" customFormat="1" x14ac:dyDescent="0.25">
      <c r="A223" s="13" t="s">
        <v>991</v>
      </c>
      <c r="B223" s="9">
        <v>22</v>
      </c>
      <c r="C223" s="9" t="s">
        <v>992</v>
      </c>
      <c r="D223" s="9" t="s">
        <v>94</v>
      </c>
      <c r="E223" s="9" t="s">
        <v>169</v>
      </c>
      <c r="F223" s="9"/>
      <c r="G223" s="33" t="str">
        <f>_xlfn.XLOOKUP(CT223,'Just Methods'!T:T,'Just Methods'!S:S)</f>
        <v xml:space="preserve"> 22" MFL (ATEX) </v>
      </c>
      <c r="H223" s="47" t="str">
        <f>_xlfn.XLOOKUP(CT223,'Just Methods'!T:T,'Just Methods'!C:C)</f>
        <v>MFL.22</v>
      </c>
      <c r="I223" s="9" t="str">
        <f>_xlfn.XLOOKUP(H223,'Alternative Tool Body Sheet'!A:A,'Alternative Tool Body Sheet'!C:C)</f>
        <v>20/22 MFL</v>
      </c>
      <c r="J223" s="9">
        <f t="shared" si="6"/>
        <v>5</v>
      </c>
      <c r="K223" s="9" t="s">
        <v>114</v>
      </c>
      <c r="L223" s="9">
        <v>22</v>
      </c>
      <c r="P223" s="9">
        <v>20.25</v>
      </c>
      <c r="V223" s="9">
        <v>10</v>
      </c>
      <c r="W223" s="9">
        <v>10</v>
      </c>
      <c r="X223" s="9">
        <v>0.5</v>
      </c>
      <c r="Y223" s="9">
        <v>1</v>
      </c>
      <c r="Z223" s="9">
        <v>0.52600000000000002</v>
      </c>
      <c r="AD223" s="9">
        <v>64</v>
      </c>
      <c r="AH223" s="9">
        <v>192</v>
      </c>
      <c r="AN223" s="9">
        <v>750</v>
      </c>
      <c r="AO223" s="9">
        <v>80</v>
      </c>
      <c r="AQ223" s="9">
        <v>1150</v>
      </c>
      <c r="AT223" s="9">
        <v>45</v>
      </c>
      <c r="AX223" s="9">
        <v>250</v>
      </c>
      <c r="AY223" s="9">
        <v>2000</v>
      </c>
      <c r="BA223" s="9" t="s">
        <v>102</v>
      </c>
      <c r="BB223" s="9" t="s">
        <v>102</v>
      </c>
      <c r="BC223" s="9" t="s">
        <v>102</v>
      </c>
      <c r="BD223" s="9" t="s">
        <v>102</v>
      </c>
      <c r="BE223" s="9" t="s">
        <v>102</v>
      </c>
      <c r="BF223" s="9" t="s">
        <v>118</v>
      </c>
      <c r="BG223" s="9" t="s">
        <v>118</v>
      </c>
      <c r="BH223" s="9" t="s">
        <v>105</v>
      </c>
      <c r="BI223" s="9">
        <v>7</v>
      </c>
      <c r="BJ223" s="9">
        <v>2</v>
      </c>
      <c r="BK223" s="9">
        <v>2</v>
      </c>
      <c r="BL223" s="9">
        <v>24</v>
      </c>
      <c r="BM223" s="9">
        <v>4</v>
      </c>
      <c r="BN223" s="9">
        <v>9</v>
      </c>
      <c r="BO223" s="9">
        <v>7</v>
      </c>
      <c r="BP223" s="9">
        <v>7</v>
      </c>
      <c r="BQ223" s="9">
        <v>2</v>
      </c>
      <c r="BR223" s="9">
        <v>24</v>
      </c>
      <c r="BS223" s="9">
        <v>4</v>
      </c>
      <c r="BT223" s="9">
        <v>9</v>
      </c>
      <c r="BX223" s="8">
        <v>105850</v>
      </c>
      <c r="CI223" s="51"/>
      <c r="CJ223" s="8" t="b">
        <v>0</v>
      </c>
      <c r="CT223" s="8" t="s">
        <v>991</v>
      </c>
    </row>
    <row r="224" spans="1:98" s="8" customFormat="1" x14ac:dyDescent="0.25">
      <c r="A224" s="13">
        <v>109620</v>
      </c>
      <c r="B224" s="9">
        <v>22</v>
      </c>
      <c r="C224" s="9" t="s">
        <v>993</v>
      </c>
      <c r="D224" s="9" t="s">
        <v>94</v>
      </c>
      <c r="E224" s="9" t="s">
        <v>145</v>
      </c>
      <c r="F224" s="9"/>
      <c r="G224" s="33" t="str">
        <f>_xlfn.XLOOKUP(CT224,'Just Methods'!T:T,'Just Methods'!S:S)</f>
        <v xml:space="preserve"> 22" MFL (20-22) + DEF (20-24) ATEX </v>
      </c>
      <c r="H224" s="47" t="str">
        <f>_xlfn.XLOOKUP(CT224,'Just Methods'!T:T,'Just Methods'!C:C)</f>
        <v>DEF.MFL.22</v>
      </c>
      <c r="I224" s="9" t="str">
        <f>_xlfn.XLOOKUP(H224,'Alternative Tool Body Sheet'!A:A,'Alternative Tool Body Sheet'!C:C)</f>
        <v>20/22 MFL</v>
      </c>
      <c r="J224" s="9">
        <f t="shared" si="6"/>
        <v>5</v>
      </c>
      <c r="K224" s="9" t="s">
        <v>114</v>
      </c>
      <c r="L224" s="9">
        <v>22</v>
      </c>
      <c r="M224" s="9">
        <v>19.350000000000001</v>
      </c>
      <c r="N224" s="9">
        <v>12.05</v>
      </c>
      <c r="P224" s="9">
        <v>20.25</v>
      </c>
      <c r="Q224" s="9" t="s">
        <v>115</v>
      </c>
      <c r="R224" s="9">
        <v>20</v>
      </c>
      <c r="T224" s="9">
        <v>19.5</v>
      </c>
      <c r="U224" s="9" t="s">
        <v>116</v>
      </c>
      <c r="V224" s="9">
        <v>10</v>
      </c>
      <c r="W224" s="9">
        <v>10</v>
      </c>
      <c r="X224" s="9">
        <v>0.5</v>
      </c>
      <c r="Y224" s="9">
        <v>1</v>
      </c>
      <c r="Z224" s="9">
        <v>0.52600000000000002</v>
      </c>
      <c r="AA224" s="9">
        <v>48</v>
      </c>
      <c r="AD224" s="9">
        <v>64</v>
      </c>
      <c r="AH224" s="9">
        <v>192</v>
      </c>
      <c r="AN224" s="9">
        <v>750</v>
      </c>
      <c r="AO224" s="9">
        <v>142</v>
      </c>
      <c r="AQ224" s="9">
        <v>1340</v>
      </c>
      <c r="AS224" s="9">
        <v>0</v>
      </c>
      <c r="AT224" s="9">
        <v>0</v>
      </c>
      <c r="AY224" s="9">
        <v>2000</v>
      </c>
      <c r="BA224" s="9" t="s">
        <v>102</v>
      </c>
      <c r="BB224" s="9" t="s">
        <v>101</v>
      </c>
      <c r="BC224" s="9" t="s">
        <v>101</v>
      </c>
      <c r="BD224" s="9" t="s">
        <v>102</v>
      </c>
      <c r="BE224" s="9" t="s">
        <v>102</v>
      </c>
      <c r="BF224" s="9" t="s">
        <v>126</v>
      </c>
      <c r="BG224" s="9" t="s">
        <v>126</v>
      </c>
      <c r="BH224" s="9" t="s">
        <v>105</v>
      </c>
      <c r="BI224" s="9">
        <v>12</v>
      </c>
      <c r="BJ224" s="9">
        <v>2</v>
      </c>
      <c r="BK224" s="9">
        <v>2</v>
      </c>
      <c r="BL224" s="9">
        <v>24</v>
      </c>
      <c r="BM224" s="9">
        <v>4</v>
      </c>
      <c r="BN224" s="9">
        <v>15</v>
      </c>
      <c r="BO224" s="9">
        <v>12</v>
      </c>
      <c r="BP224" s="9">
        <v>12</v>
      </c>
      <c r="BQ224" s="9">
        <v>2</v>
      </c>
      <c r="BR224" s="9">
        <v>24</v>
      </c>
      <c r="BS224" s="9">
        <v>4</v>
      </c>
      <c r="BT224" s="9">
        <v>15</v>
      </c>
      <c r="BX224" s="8">
        <v>105850</v>
      </c>
      <c r="BY224" s="8">
        <v>109322</v>
      </c>
      <c r="CI224" s="51"/>
      <c r="CJ224" s="8" t="b">
        <v>0</v>
      </c>
      <c r="CT224" s="8">
        <v>109620</v>
      </c>
    </row>
    <row r="225" spans="1:98" s="8" customFormat="1" x14ac:dyDescent="0.25">
      <c r="A225" s="13">
        <v>129503</v>
      </c>
      <c r="B225" s="9">
        <v>22</v>
      </c>
      <c r="C225" s="9" t="s">
        <v>994</v>
      </c>
      <c r="D225" s="9" t="s">
        <v>121</v>
      </c>
      <c r="E225" s="9" t="s">
        <v>189</v>
      </c>
      <c r="F225" s="9"/>
      <c r="G225" s="33" t="str">
        <f>_xlfn.XLOOKUP(CT225,'Just Methods'!T:T,'Just Methods'!S:S)</f>
        <v xml:space="preserve"> 22" MFL2+DEF+ SpirALL+MFL </v>
      </c>
      <c r="H225" s="47" t="str">
        <f>_xlfn.XLOOKUP(CT225,'Just Methods'!T:T,'Just Methods'!C:C)</f>
        <v>DEF.MFL.SMFL.22</v>
      </c>
      <c r="I225" s="9" t="s">
        <v>915</v>
      </c>
      <c r="J225" s="9">
        <f t="shared" si="6"/>
        <v>7</v>
      </c>
      <c r="K225" s="9" t="s">
        <v>114</v>
      </c>
      <c r="L225" s="9">
        <v>22</v>
      </c>
      <c r="M225" s="9">
        <v>19.25</v>
      </c>
      <c r="Q225" s="9" t="s">
        <v>115</v>
      </c>
      <c r="R225" s="9">
        <v>20.25</v>
      </c>
      <c r="S225" s="9">
        <v>20.25</v>
      </c>
      <c r="U225" s="9" t="s">
        <v>99</v>
      </c>
      <c r="V225" s="9">
        <v>8.3000000000000007</v>
      </c>
      <c r="W225" s="9">
        <v>10</v>
      </c>
      <c r="X225" s="9">
        <v>0.6</v>
      </c>
      <c r="Y225" s="9">
        <v>1</v>
      </c>
      <c r="Z225" s="9">
        <v>0.6</v>
      </c>
      <c r="AA225" s="9">
        <v>84</v>
      </c>
      <c r="AD225" s="9">
        <v>84</v>
      </c>
      <c r="AH225" s="9">
        <v>252</v>
      </c>
      <c r="AJ225" s="9">
        <v>552</v>
      </c>
      <c r="AN225" s="9">
        <v>750</v>
      </c>
      <c r="AO225" s="9">
        <v>136</v>
      </c>
      <c r="AQ225" s="9">
        <v>2625</v>
      </c>
      <c r="AT225" s="9">
        <v>212</v>
      </c>
      <c r="AX225" s="9">
        <v>400</v>
      </c>
      <c r="AY225" s="9">
        <v>2000</v>
      </c>
      <c r="AZ225" s="9" t="s">
        <v>995</v>
      </c>
      <c r="BA225" s="9" t="s">
        <v>102</v>
      </c>
      <c r="BB225" s="9" t="s">
        <v>102</v>
      </c>
      <c r="BC225" s="9" t="s">
        <v>102</v>
      </c>
      <c r="BD225" s="9" t="s">
        <v>102</v>
      </c>
      <c r="BE225" s="9" t="s">
        <v>102</v>
      </c>
      <c r="BF225" s="9" t="s">
        <v>118</v>
      </c>
      <c r="BG225" s="9" t="s">
        <v>792</v>
      </c>
      <c r="BH225" s="9" t="s">
        <v>105</v>
      </c>
      <c r="BI225" s="9">
        <v>12</v>
      </c>
      <c r="BJ225" s="9">
        <v>2</v>
      </c>
      <c r="BK225" s="9">
        <v>2</v>
      </c>
      <c r="BL225" s="9">
        <v>24</v>
      </c>
      <c r="BM225" s="9">
        <v>4</v>
      </c>
      <c r="BN225" s="9">
        <v>15</v>
      </c>
      <c r="BO225" s="9">
        <v>12</v>
      </c>
      <c r="BP225" s="9">
        <v>12</v>
      </c>
      <c r="BQ225" s="9">
        <v>2</v>
      </c>
      <c r="BR225" s="9">
        <v>24</v>
      </c>
      <c r="BS225" s="9">
        <v>4</v>
      </c>
      <c r="BT225" s="9">
        <v>15</v>
      </c>
      <c r="BX225" s="8">
        <v>111283</v>
      </c>
      <c r="BY225" s="8">
        <v>112950</v>
      </c>
      <c r="CD225" s="8">
        <v>120123</v>
      </c>
      <c r="CI225" s="51"/>
      <c r="CJ225" s="8" t="b">
        <v>0</v>
      </c>
      <c r="CT225" s="8">
        <v>129503</v>
      </c>
    </row>
    <row r="226" spans="1:98" s="8" customFormat="1" x14ac:dyDescent="0.25">
      <c r="A226" s="13">
        <v>129504</v>
      </c>
      <c r="B226" s="9">
        <v>22</v>
      </c>
      <c r="C226" s="9" t="s">
        <v>996</v>
      </c>
      <c r="D226" s="9" t="s">
        <v>121</v>
      </c>
      <c r="E226" s="9" t="s">
        <v>410</v>
      </c>
      <c r="F226" s="9"/>
      <c r="G226" s="33" t="str">
        <f>_xlfn.XLOOKUP(CT226,'Just Methods'!T:T,'Just Methods'!S:S)</f>
        <v xml:space="preserve"> 22" MFL2+DEF+LFM+XYZ </v>
      </c>
      <c r="H226" s="47" t="str">
        <f>_xlfn.XLOOKUP(CT226,'Just Methods'!T:T,'Just Methods'!C:C)</f>
        <v>FLEXDEFLFMMFLXYZ.22</v>
      </c>
      <c r="I226" s="9" t="s">
        <v>915</v>
      </c>
      <c r="J226" s="9">
        <f t="shared" si="6"/>
        <v>7</v>
      </c>
      <c r="K226" s="9" t="s">
        <v>114</v>
      </c>
      <c r="L226" s="9">
        <v>22</v>
      </c>
      <c r="M226" s="9">
        <v>19.25</v>
      </c>
      <c r="Q226" s="9" t="s">
        <v>115</v>
      </c>
      <c r="R226" s="9">
        <v>20.25</v>
      </c>
      <c r="S226" s="9">
        <v>20.25</v>
      </c>
      <c r="U226" s="9" t="s">
        <v>99</v>
      </c>
      <c r="V226" s="9">
        <v>10</v>
      </c>
      <c r="W226" s="9">
        <v>10</v>
      </c>
      <c r="X226" s="9">
        <v>0.6</v>
      </c>
      <c r="Y226" s="9">
        <v>1</v>
      </c>
      <c r="Z226" s="9">
        <v>0.6</v>
      </c>
      <c r="AA226" s="9">
        <v>84</v>
      </c>
      <c r="AB226" s="9">
        <v>252</v>
      </c>
      <c r="AD226" s="9">
        <v>84</v>
      </c>
      <c r="AF226" s="9">
        <v>252</v>
      </c>
      <c r="AN226" s="9">
        <v>750</v>
      </c>
      <c r="AO226" s="9">
        <v>129</v>
      </c>
      <c r="AQ226" s="9">
        <v>2515</v>
      </c>
      <c r="AT226" s="9">
        <v>129</v>
      </c>
      <c r="AX226" s="9">
        <v>400</v>
      </c>
      <c r="AY226" s="9">
        <v>2000</v>
      </c>
      <c r="AZ226" s="9" t="s">
        <v>997</v>
      </c>
      <c r="BA226" s="9" t="s">
        <v>102</v>
      </c>
      <c r="BB226" s="9" t="s">
        <v>102</v>
      </c>
      <c r="BC226" s="9" t="s">
        <v>102</v>
      </c>
      <c r="BD226" s="9" t="s">
        <v>102</v>
      </c>
      <c r="BE226" s="9" t="s">
        <v>102</v>
      </c>
      <c r="BF226" s="9" t="s">
        <v>118</v>
      </c>
      <c r="BG226" s="9" t="s">
        <v>792</v>
      </c>
      <c r="BH226" s="9" t="s">
        <v>105</v>
      </c>
      <c r="BI226" s="9">
        <v>11</v>
      </c>
      <c r="BJ226" s="9">
        <v>2</v>
      </c>
      <c r="BK226" s="9">
        <v>2</v>
      </c>
      <c r="BL226" s="9">
        <v>24</v>
      </c>
      <c r="BM226" s="9">
        <v>4</v>
      </c>
      <c r="BN226" s="9">
        <v>14</v>
      </c>
      <c r="BO226" s="9">
        <v>11</v>
      </c>
      <c r="BP226" s="9">
        <v>11</v>
      </c>
      <c r="BQ226" s="9">
        <v>2</v>
      </c>
      <c r="BR226" s="9">
        <v>24</v>
      </c>
      <c r="BS226" s="9">
        <v>4</v>
      </c>
      <c r="BT226" s="9">
        <v>14</v>
      </c>
      <c r="BX226" s="8">
        <v>111283</v>
      </c>
      <c r="BY226" s="8">
        <v>112950</v>
      </c>
      <c r="CI226" s="51"/>
      <c r="CJ226" s="8" t="b">
        <v>0</v>
      </c>
      <c r="CT226" s="8">
        <v>129504</v>
      </c>
    </row>
    <row r="227" spans="1:98" s="8" customFormat="1" x14ac:dyDescent="0.25">
      <c r="A227" s="13">
        <v>129502</v>
      </c>
      <c r="B227" s="9">
        <v>22</v>
      </c>
      <c r="C227" s="9" t="s">
        <v>998</v>
      </c>
      <c r="D227" s="9" t="s">
        <v>121</v>
      </c>
      <c r="E227" s="9" t="s">
        <v>139</v>
      </c>
      <c r="F227" s="9"/>
      <c r="G227" s="33" t="str">
        <f>_xlfn.XLOOKUP(CT227,'Just Methods'!T:T,'Just Methods'!S:S)</f>
        <v xml:space="preserve"> 22" MFL2+DEF+SpirALL+MFL+XYZ </v>
      </c>
      <c r="H227" s="47" t="str">
        <f>_xlfn.XLOOKUP(CT227,'Just Methods'!T:T,'Just Methods'!C:C)</f>
        <v>DEF.MFL.SMFL.XYZ.22</v>
      </c>
      <c r="I227" s="9" t="str">
        <f>_xlfn.XLOOKUP(H227,'Alternative Tool Body Sheet'!A:A,'Alternative Tool Body Sheet'!C:C)</f>
        <v>20/22 MDS</v>
      </c>
      <c r="J227" s="9">
        <f t="shared" si="6"/>
        <v>7</v>
      </c>
      <c r="K227" s="9" t="s">
        <v>114</v>
      </c>
      <c r="L227" s="9">
        <v>22</v>
      </c>
      <c r="M227" s="9">
        <v>19.25</v>
      </c>
      <c r="Q227" s="9" t="s">
        <v>115</v>
      </c>
      <c r="R227" s="9">
        <v>20.25</v>
      </c>
      <c r="S227" s="9">
        <v>20.25</v>
      </c>
      <c r="U227" s="9" t="s">
        <v>99</v>
      </c>
      <c r="V227" s="9">
        <v>8.3000000000000007</v>
      </c>
      <c r="W227" s="9">
        <v>10</v>
      </c>
      <c r="X227" s="9">
        <v>0.6</v>
      </c>
      <c r="Y227" s="9">
        <v>1</v>
      </c>
      <c r="Z227" s="9">
        <v>0.6</v>
      </c>
      <c r="AA227" s="9">
        <v>84</v>
      </c>
      <c r="AD227" s="9">
        <v>84</v>
      </c>
      <c r="AH227" s="9">
        <v>252</v>
      </c>
      <c r="AJ227" s="9">
        <v>252</v>
      </c>
      <c r="AN227" s="9">
        <v>750</v>
      </c>
      <c r="AO227" s="9">
        <v>136</v>
      </c>
      <c r="AQ227" s="9">
        <v>2625</v>
      </c>
      <c r="AT227" s="9">
        <v>129</v>
      </c>
      <c r="AX227" s="9">
        <v>400</v>
      </c>
      <c r="AY227" s="9">
        <v>2000</v>
      </c>
      <c r="AZ227" s="9" t="s">
        <v>999</v>
      </c>
      <c r="BA227" s="9" t="s">
        <v>102</v>
      </c>
      <c r="BB227" s="9" t="s">
        <v>102</v>
      </c>
      <c r="BC227" s="9" t="s">
        <v>102</v>
      </c>
      <c r="BD227" s="9" t="s">
        <v>102</v>
      </c>
      <c r="BE227" s="9" t="s">
        <v>102</v>
      </c>
      <c r="BF227" s="9" t="s">
        <v>118</v>
      </c>
      <c r="BG227" s="9" t="s">
        <v>792</v>
      </c>
      <c r="BH227" s="9" t="s">
        <v>105</v>
      </c>
      <c r="BI227" s="9">
        <v>12</v>
      </c>
      <c r="BJ227" s="9">
        <v>2</v>
      </c>
      <c r="BK227" s="9">
        <v>2</v>
      </c>
      <c r="BL227" s="9">
        <v>24</v>
      </c>
      <c r="BM227" s="9">
        <v>4</v>
      </c>
      <c r="BN227" s="9">
        <v>15</v>
      </c>
      <c r="BO227" s="9">
        <v>12</v>
      </c>
      <c r="BP227" s="9">
        <v>12</v>
      </c>
      <c r="BQ227" s="9">
        <v>2</v>
      </c>
      <c r="BR227" s="9">
        <v>24</v>
      </c>
      <c r="BS227" s="9">
        <v>4</v>
      </c>
      <c r="BT227" s="9">
        <v>15</v>
      </c>
      <c r="BX227" s="8">
        <v>111283</v>
      </c>
      <c r="BY227" s="8">
        <v>112950</v>
      </c>
      <c r="CD227" s="8">
        <v>120123</v>
      </c>
      <c r="CI227" s="51"/>
      <c r="CJ227" s="8" t="b">
        <v>0</v>
      </c>
      <c r="CT227" s="8">
        <v>129502</v>
      </c>
    </row>
    <row r="228" spans="1:98" s="8" customFormat="1" x14ac:dyDescent="0.25">
      <c r="A228" s="13">
        <v>110470</v>
      </c>
      <c r="B228" s="9">
        <v>24</v>
      </c>
      <c r="C228" s="9" t="s">
        <v>1000</v>
      </c>
      <c r="D228" s="9" t="s">
        <v>121</v>
      </c>
      <c r="E228" s="9" t="s">
        <v>410</v>
      </c>
      <c r="F228" s="9"/>
      <c r="G228" s="33" t="str">
        <f>_xlfn.XLOOKUP(CT228,'Just Methods'!T:T,'Just Methods'!S:S)</f>
        <v xml:space="preserve"> 24" MDS FLEX MFL3+DEF+LFM+XYZ </v>
      </c>
      <c r="H228" s="47" t="str">
        <f>_xlfn.XLOOKUP(CT228,'Just Methods'!T:T,'Just Methods'!C:C)</f>
        <v>FLEXDEFLFMMFLXYZ.24</v>
      </c>
      <c r="I228" s="9" t="s">
        <v>1001</v>
      </c>
      <c r="J228" s="9">
        <f t="shared" si="6"/>
        <v>7</v>
      </c>
      <c r="K228" s="9" t="s">
        <v>114</v>
      </c>
      <c r="L228" s="9">
        <v>24</v>
      </c>
      <c r="M228" s="9">
        <v>20.399999999999999</v>
      </c>
      <c r="N228" s="9">
        <v>15</v>
      </c>
      <c r="O228" s="9">
        <v>21.875</v>
      </c>
      <c r="P228" s="9">
        <v>23</v>
      </c>
      <c r="Q228" s="9" t="s">
        <v>115</v>
      </c>
      <c r="R228" s="9">
        <v>21.6</v>
      </c>
      <c r="U228" s="9" t="s">
        <v>99</v>
      </c>
      <c r="V228" s="9">
        <v>10</v>
      </c>
      <c r="W228" s="9">
        <v>10</v>
      </c>
      <c r="X228" s="9">
        <v>0.59</v>
      </c>
      <c r="Y228" s="9">
        <v>1</v>
      </c>
      <c r="Z228" s="9">
        <v>0.65800000000000003</v>
      </c>
      <c r="AA228" s="9">
        <v>88</v>
      </c>
      <c r="AB228" s="9">
        <v>264</v>
      </c>
      <c r="AD228" s="9">
        <v>88</v>
      </c>
      <c r="AF228" s="9">
        <v>264</v>
      </c>
      <c r="AN228" s="9">
        <v>750</v>
      </c>
      <c r="AO228" s="9">
        <v>120</v>
      </c>
      <c r="AQ228" s="9">
        <v>2812</v>
      </c>
      <c r="AT228" s="9">
        <v>50</v>
      </c>
      <c r="AX228" s="9">
        <v>400</v>
      </c>
      <c r="AY228" s="9">
        <v>2000</v>
      </c>
      <c r="AZ228" s="9" t="s">
        <v>1002</v>
      </c>
      <c r="BA228" s="9" t="s">
        <v>102</v>
      </c>
      <c r="BB228" s="9" t="s">
        <v>102</v>
      </c>
      <c r="BC228" s="9" t="s">
        <v>101</v>
      </c>
      <c r="BD228" s="9" t="s">
        <v>102</v>
      </c>
      <c r="BE228" s="9" t="s">
        <v>101</v>
      </c>
      <c r="BF228" s="9" t="s">
        <v>118</v>
      </c>
      <c r="BG228" s="9" t="s">
        <v>792</v>
      </c>
      <c r="BH228" s="9" t="s">
        <v>105</v>
      </c>
      <c r="BI228" s="9">
        <v>10</v>
      </c>
      <c r="BJ228" s="9">
        <v>2</v>
      </c>
      <c r="BK228" s="9">
        <v>2</v>
      </c>
      <c r="BL228" s="9">
        <v>26</v>
      </c>
      <c r="BM228" s="9">
        <v>6</v>
      </c>
      <c r="BN228" s="9">
        <v>13</v>
      </c>
      <c r="BO228" s="9">
        <v>10</v>
      </c>
      <c r="BP228" s="9">
        <v>10</v>
      </c>
      <c r="BQ228" s="9">
        <v>2</v>
      </c>
      <c r="BR228" s="9">
        <v>26</v>
      </c>
      <c r="BS228" s="9">
        <v>6</v>
      </c>
      <c r="BT228" s="9">
        <v>13</v>
      </c>
      <c r="BX228" s="8">
        <v>110710</v>
      </c>
      <c r="BY228" s="8" t="s">
        <v>1003</v>
      </c>
      <c r="CH228" s="8">
        <v>109687</v>
      </c>
      <c r="CI228" s="51"/>
      <c r="CJ228" s="8" t="b">
        <v>0</v>
      </c>
      <c r="CT228" s="8">
        <v>110470</v>
      </c>
    </row>
    <row r="229" spans="1:98" s="8" customFormat="1" x14ac:dyDescent="0.25">
      <c r="A229" s="24">
        <v>130192</v>
      </c>
      <c r="B229" s="12">
        <v>24</v>
      </c>
      <c r="C229" s="12" t="s">
        <v>1004</v>
      </c>
      <c r="D229" s="12" t="s">
        <v>121</v>
      </c>
      <c r="E229" s="12" t="s">
        <v>286</v>
      </c>
      <c r="F229" s="12"/>
      <c r="G229" s="33" t="str">
        <f>_xlfn.XLOOKUP(CT229,'Just Methods'!T:T,'Just Methods'!S:S)</f>
        <v xml:space="preserve"> 24" MDS FLEX DEF+LFM+ULTRA RES MFL+XYZ </v>
      </c>
      <c r="H229" s="47" t="str">
        <f>_xlfn.XLOOKUP(CT229,'Just Methods'!T:T,'Just Methods'!C:C)</f>
        <v>DEF.LFM.UMFL.XYZ.24</v>
      </c>
      <c r="I229" s="9" t="str">
        <f>_xlfn.XLOOKUP(H229,'Alternative Tool Body Sheet'!A:A,'Alternative Tool Body Sheet'!C:C)</f>
        <v>24 MDS</v>
      </c>
      <c r="J229" s="12">
        <f t="shared" si="6"/>
        <v>7</v>
      </c>
      <c r="K229" s="12" t="s">
        <v>114</v>
      </c>
      <c r="L229" s="12">
        <v>24</v>
      </c>
      <c r="M229" s="12">
        <v>20.399999999999999</v>
      </c>
      <c r="N229" s="12">
        <v>15</v>
      </c>
      <c r="O229" s="12">
        <v>21.875</v>
      </c>
      <c r="P229" s="12">
        <v>23</v>
      </c>
      <c r="Q229" s="12" t="s">
        <v>115</v>
      </c>
      <c r="R229" s="12">
        <v>21.6</v>
      </c>
      <c r="S229" s="12"/>
      <c r="T229" s="12"/>
      <c r="U229" s="12" t="s">
        <v>99</v>
      </c>
      <c r="V229" s="12">
        <v>10</v>
      </c>
      <c r="W229" s="12">
        <v>10</v>
      </c>
      <c r="X229" s="12">
        <v>0.59</v>
      </c>
      <c r="Y229" s="12">
        <v>1</v>
      </c>
      <c r="Z229" s="12">
        <v>0.65800000000000003</v>
      </c>
      <c r="AA229" s="12">
        <v>88</v>
      </c>
      <c r="AB229" s="12"/>
      <c r="AC229" s="12"/>
      <c r="AD229" s="12">
        <v>88</v>
      </c>
      <c r="AE229" s="12"/>
      <c r="AF229" s="12">
        <v>264</v>
      </c>
      <c r="AG229" s="12"/>
      <c r="AH229" s="12">
        <v>528</v>
      </c>
      <c r="AI229" s="12"/>
      <c r="AJ229" s="12"/>
      <c r="AK229" s="12"/>
      <c r="AL229" s="12"/>
      <c r="AM229" s="12"/>
      <c r="AN229" s="12">
        <v>750</v>
      </c>
      <c r="AO229" s="12">
        <v>120</v>
      </c>
      <c r="AP229" s="12"/>
      <c r="AQ229" s="12">
        <v>2812</v>
      </c>
      <c r="AR229" s="12"/>
      <c r="AS229" s="12"/>
      <c r="AT229" s="12">
        <v>52</v>
      </c>
      <c r="AU229" s="12"/>
      <c r="AV229" s="12"/>
      <c r="AW229" s="12"/>
      <c r="AX229" s="12">
        <v>400</v>
      </c>
      <c r="AY229" s="12">
        <v>2000</v>
      </c>
      <c r="AZ229" s="12" t="s">
        <v>1005</v>
      </c>
      <c r="BA229" s="12" t="s">
        <v>102</v>
      </c>
      <c r="BB229" s="12" t="s">
        <v>102</v>
      </c>
      <c r="BC229" s="12" t="s">
        <v>101</v>
      </c>
      <c r="BD229" s="12" t="s">
        <v>102</v>
      </c>
      <c r="BE229" s="12" t="s">
        <v>101</v>
      </c>
      <c r="BF229" s="12" t="s">
        <v>118</v>
      </c>
      <c r="BG229" s="12" t="s">
        <v>792</v>
      </c>
      <c r="BH229" s="12" t="s">
        <v>105</v>
      </c>
      <c r="BI229" s="12">
        <v>10</v>
      </c>
      <c r="BJ229" s="12">
        <v>2</v>
      </c>
      <c r="BK229" s="12">
        <v>2</v>
      </c>
      <c r="BL229" s="12">
        <v>26</v>
      </c>
      <c r="BM229" s="12">
        <v>6</v>
      </c>
      <c r="BN229" s="12">
        <v>13</v>
      </c>
      <c r="BO229" s="12">
        <v>10</v>
      </c>
      <c r="BP229" s="12">
        <v>10</v>
      </c>
      <c r="BQ229" s="12">
        <v>2</v>
      </c>
      <c r="BR229" s="12">
        <v>26</v>
      </c>
      <c r="BS229" s="12">
        <v>6</v>
      </c>
      <c r="BT229" s="12">
        <v>13</v>
      </c>
      <c r="BX229" s="55">
        <v>130001</v>
      </c>
      <c r="BY229" s="8" t="s">
        <v>1003</v>
      </c>
      <c r="CH229" s="8">
        <v>109687</v>
      </c>
      <c r="CI229" s="51"/>
      <c r="CJ229" s="8" t="b">
        <v>0</v>
      </c>
      <c r="CT229" s="8">
        <v>130192</v>
      </c>
    </row>
    <row r="230" spans="1:98" s="8" customFormat="1" x14ac:dyDescent="0.25">
      <c r="A230" s="13">
        <v>113660</v>
      </c>
      <c r="B230" s="9">
        <v>24</v>
      </c>
      <c r="C230" s="9" t="s">
        <v>1006</v>
      </c>
      <c r="D230" s="9" t="s">
        <v>121</v>
      </c>
      <c r="E230" s="9" t="s">
        <v>272</v>
      </c>
      <c r="F230" s="9"/>
      <c r="G230" s="33" t="str">
        <f>_xlfn.XLOOKUP(CT230,'Just Methods'!T:T,'Just Methods'!S:S)</f>
        <v xml:space="preserve"> 24" MDS FLEX MFL3+DEF+LFM </v>
      </c>
      <c r="H230" s="47" t="str">
        <f>_xlfn.XLOOKUP(CT230,'Just Methods'!T:T,'Just Methods'!C:C)</f>
        <v>FLEX.DEF.LFM.MFL.24</v>
      </c>
      <c r="I230" s="9" t="str">
        <f>_xlfn.XLOOKUP(H230,'Alternative Tool Body Sheet'!A:A,'Alternative Tool Body Sheet'!C:C)</f>
        <v>24 MDS</v>
      </c>
      <c r="J230" s="9">
        <f t="shared" si="6"/>
        <v>7</v>
      </c>
      <c r="K230" s="9" t="s">
        <v>114</v>
      </c>
      <c r="L230" s="9">
        <v>24</v>
      </c>
      <c r="M230" s="9">
        <v>20.399999999999999</v>
      </c>
      <c r="N230" s="9">
        <v>15</v>
      </c>
      <c r="O230" s="9">
        <v>21.875</v>
      </c>
      <c r="P230" s="9">
        <v>23</v>
      </c>
      <c r="Q230" s="9" t="s">
        <v>115</v>
      </c>
      <c r="R230" s="9">
        <v>21.6</v>
      </c>
      <c r="U230" s="9" t="s">
        <v>99</v>
      </c>
      <c r="V230" s="9">
        <v>10</v>
      </c>
      <c r="W230" s="9">
        <v>10</v>
      </c>
      <c r="X230" s="9">
        <v>0.59</v>
      </c>
      <c r="Y230" s="9">
        <v>1</v>
      </c>
      <c r="Z230" s="9">
        <v>0.65800000000000003</v>
      </c>
      <c r="AA230" s="9">
        <v>88</v>
      </c>
      <c r="AB230" s="9">
        <v>264</v>
      </c>
      <c r="AD230" s="9">
        <v>88</v>
      </c>
      <c r="AF230" s="9">
        <v>264</v>
      </c>
      <c r="AN230" s="9">
        <v>750</v>
      </c>
      <c r="AO230" s="9">
        <v>120</v>
      </c>
      <c r="AQ230" s="9">
        <v>2804</v>
      </c>
      <c r="AT230" s="9">
        <v>67</v>
      </c>
      <c r="AX230" s="9">
        <v>400</v>
      </c>
      <c r="AY230" s="9">
        <v>2000</v>
      </c>
      <c r="AZ230" s="9" t="s">
        <v>1007</v>
      </c>
      <c r="BA230" s="9" t="s">
        <v>102</v>
      </c>
      <c r="BB230" s="9" t="s">
        <v>102</v>
      </c>
      <c r="BC230" s="9" t="s">
        <v>101</v>
      </c>
      <c r="BD230" s="9" t="s">
        <v>102</v>
      </c>
      <c r="BE230" s="9" t="s">
        <v>101</v>
      </c>
      <c r="BF230" s="9" t="s">
        <v>118</v>
      </c>
      <c r="BG230" s="9" t="s">
        <v>1008</v>
      </c>
      <c r="BH230" s="9" t="s">
        <v>105</v>
      </c>
      <c r="BI230" s="9">
        <v>10</v>
      </c>
      <c r="BJ230" s="9">
        <v>2</v>
      </c>
      <c r="BK230" s="9">
        <v>2</v>
      </c>
      <c r="BL230" s="9">
        <v>26</v>
      </c>
      <c r="BM230" s="9">
        <v>6</v>
      </c>
      <c r="BN230" s="9">
        <v>13</v>
      </c>
      <c r="BO230" s="9">
        <v>10</v>
      </c>
      <c r="BP230" s="9">
        <v>10</v>
      </c>
      <c r="BQ230" s="9">
        <v>2</v>
      </c>
      <c r="BR230" s="9">
        <v>26</v>
      </c>
      <c r="BS230" s="9">
        <v>6</v>
      </c>
      <c r="BT230" s="9">
        <v>13</v>
      </c>
      <c r="BX230" s="8">
        <v>110710</v>
      </c>
      <c r="BY230" s="8" t="s">
        <v>1003</v>
      </c>
      <c r="CH230" s="8">
        <v>109687</v>
      </c>
      <c r="CI230" s="51"/>
      <c r="CJ230" s="8" t="b">
        <v>0</v>
      </c>
      <c r="CT230" s="8">
        <v>113660</v>
      </c>
    </row>
    <row r="231" spans="1:98" s="8" customFormat="1" x14ac:dyDescent="0.25">
      <c r="A231" s="13">
        <v>125460</v>
      </c>
      <c r="B231" s="9">
        <v>24</v>
      </c>
      <c r="C231" s="9" t="s">
        <v>1009</v>
      </c>
      <c r="D231" s="9" t="s">
        <v>94</v>
      </c>
      <c r="E231" s="9" t="s">
        <v>421</v>
      </c>
      <c r="F231" s="9"/>
      <c r="G231" s="33" t="str">
        <f>_xlfn.XLOOKUP(CT231,'Just Methods'!T:T,'Just Methods'!S:S)</f>
        <v xml:space="preserve"> 24" DEF2+GMFL+XYZ </v>
      </c>
      <c r="H231" s="47" t="str">
        <f>_xlfn.XLOOKUP(CT231,'Just Methods'!T:T,'Just Methods'!C:C)</f>
        <v>DEF.GMFL.XYZ.24</v>
      </c>
      <c r="I231" s="9" t="str">
        <f>_xlfn.XLOOKUP(H231,'Alternative Tool Body Sheet'!A:A,'Alternative Tool Body Sheet'!C:C)</f>
        <v>20/24 DEF</v>
      </c>
      <c r="J231" s="9">
        <f t="shared" si="6"/>
        <v>5</v>
      </c>
      <c r="K231" s="9" t="s">
        <v>114</v>
      </c>
      <c r="L231" s="9">
        <v>24</v>
      </c>
      <c r="M231" s="9">
        <v>19</v>
      </c>
      <c r="Q231" s="9" t="s">
        <v>115</v>
      </c>
      <c r="R231" s="9">
        <v>20.75</v>
      </c>
      <c r="S231" s="9">
        <v>20</v>
      </c>
      <c r="T231" s="9">
        <v>19.5</v>
      </c>
      <c r="U231" s="9" t="s">
        <v>116</v>
      </c>
      <c r="V231" s="9">
        <v>10</v>
      </c>
      <c r="W231" s="9">
        <v>10</v>
      </c>
      <c r="X231" s="9">
        <v>1</v>
      </c>
      <c r="Y231" s="9">
        <v>1</v>
      </c>
      <c r="Z231" s="9">
        <v>1</v>
      </c>
      <c r="AA231" s="9">
        <v>48</v>
      </c>
      <c r="AC231" s="9">
        <v>216</v>
      </c>
      <c r="AD231" s="9">
        <v>72</v>
      </c>
      <c r="AN231" s="9">
        <v>750</v>
      </c>
      <c r="AO231" s="9">
        <v>142</v>
      </c>
      <c r="AQ231" s="9">
        <v>1475</v>
      </c>
      <c r="AT231" s="9">
        <v>18</v>
      </c>
      <c r="AX231" s="9">
        <v>250</v>
      </c>
      <c r="AY231" s="9">
        <v>2000</v>
      </c>
      <c r="AZ231" s="9" t="s">
        <v>1010</v>
      </c>
      <c r="BA231" s="9" t="s">
        <v>102</v>
      </c>
      <c r="BB231" s="9" t="s">
        <v>102</v>
      </c>
      <c r="BC231" s="9" t="s">
        <v>102</v>
      </c>
      <c r="BD231" s="9" t="s">
        <v>102</v>
      </c>
      <c r="BE231" s="9" t="s">
        <v>102</v>
      </c>
      <c r="BF231" s="9" t="s">
        <v>118</v>
      </c>
      <c r="BG231" s="9" t="s">
        <v>118</v>
      </c>
      <c r="BH231" s="9" t="s">
        <v>105</v>
      </c>
      <c r="BI231" s="9">
        <v>17</v>
      </c>
      <c r="BJ231" s="9">
        <v>2</v>
      </c>
      <c r="BK231" s="9">
        <v>2</v>
      </c>
      <c r="BL231" s="9">
        <v>26</v>
      </c>
      <c r="BM231" s="9">
        <v>6</v>
      </c>
      <c r="BN231" s="9">
        <v>22</v>
      </c>
      <c r="BO231" s="9">
        <v>17</v>
      </c>
      <c r="BP231" s="9">
        <v>17</v>
      </c>
      <c r="BQ231" s="9">
        <v>2</v>
      </c>
      <c r="BR231" s="9">
        <v>26</v>
      </c>
      <c r="BS231" s="9">
        <v>6</v>
      </c>
      <c r="BT231" s="9">
        <v>22</v>
      </c>
      <c r="BY231" s="8">
        <v>102397</v>
      </c>
      <c r="CI231" s="51" t="s">
        <v>973</v>
      </c>
      <c r="CJ231" s="8" t="b">
        <v>0</v>
      </c>
      <c r="CT231" s="8">
        <v>125460</v>
      </c>
    </row>
    <row r="232" spans="1:98" s="8" customFormat="1" x14ac:dyDescent="0.25">
      <c r="A232" s="13">
        <v>110639</v>
      </c>
      <c r="B232" s="9">
        <v>24</v>
      </c>
      <c r="C232" s="9" t="s">
        <v>1011</v>
      </c>
      <c r="D232" s="9" t="s">
        <v>94</v>
      </c>
      <c r="E232" s="9" t="s">
        <v>194</v>
      </c>
      <c r="F232" s="9"/>
      <c r="G232" s="33" t="str">
        <f>_xlfn.XLOOKUP(CT232,'Just Methods'!T:T,'Just Methods'!S:S)</f>
        <v xml:space="preserve"> 24" DEF1+XYZ(20-24) ATEX </v>
      </c>
      <c r="H232" s="47" t="str">
        <f>_xlfn.XLOOKUP(CT232,'Just Methods'!T:T,'Just Methods'!C:C)</f>
        <v>DEF.XYZ.24 </v>
      </c>
      <c r="I232" s="9" t="s">
        <v>966</v>
      </c>
      <c r="J232" s="9">
        <f t="shared" si="6"/>
        <v>5</v>
      </c>
      <c r="K232" s="9" t="s">
        <v>114</v>
      </c>
      <c r="L232" s="9">
        <v>24</v>
      </c>
      <c r="M232" s="9">
        <v>18</v>
      </c>
      <c r="N232" s="9">
        <v>25</v>
      </c>
      <c r="P232" s="9">
        <v>23</v>
      </c>
      <c r="Q232" s="9" t="s">
        <v>115</v>
      </c>
      <c r="R232" s="9">
        <v>21.5</v>
      </c>
      <c r="T232" s="9">
        <v>18.25</v>
      </c>
      <c r="V232" s="9">
        <v>15</v>
      </c>
      <c r="AA232" s="9">
        <v>48</v>
      </c>
      <c r="AN232" s="9">
        <v>750</v>
      </c>
      <c r="AO232" s="9">
        <v>95</v>
      </c>
      <c r="AQ232" s="9">
        <v>590</v>
      </c>
      <c r="AS232" s="9">
        <v>0</v>
      </c>
      <c r="AT232" s="9">
        <v>0</v>
      </c>
      <c r="AY232" s="9">
        <v>2000</v>
      </c>
      <c r="BA232" s="9" t="s">
        <v>102</v>
      </c>
      <c r="BB232" s="9" t="s">
        <v>102</v>
      </c>
      <c r="BC232" s="9" t="s">
        <v>102</v>
      </c>
      <c r="BD232" s="9" t="s">
        <v>102</v>
      </c>
      <c r="BE232" s="9" t="s">
        <v>102</v>
      </c>
      <c r="BF232" s="9" t="s">
        <v>118</v>
      </c>
      <c r="BG232" s="9" t="s">
        <v>792</v>
      </c>
      <c r="BH232" s="9" t="s">
        <v>105</v>
      </c>
      <c r="BI232" s="9">
        <v>8</v>
      </c>
      <c r="BJ232" s="9">
        <v>2</v>
      </c>
      <c r="BK232" s="9">
        <v>2</v>
      </c>
      <c r="BL232" s="9">
        <v>26</v>
      </c>
      <c r="BM232" s="9">
        <v>6</v>
      </c>
      <c r="BN232" s="9">
        <v>10</v>
      </c>
      <c r="BO232" s="9">
        <v>8</v>
      </c>
      <c r="BP232" s="9">
        <v>8</v>
      </c>
      <c r="BQ232" s="9">
        <v>2</v>
      </c>
      <c r="BR232" s="9">
        <v>26</v>
      </c>
      <c r="BS232" s="9">
        <v>6</v>
      </c>
      <c r="BT232" s="9">
        <v>10</v>
      </c>
      <c r="BY232" s="8">
        <v>102397</v>
      </c>
      <c r="CI232" s="51"/>
      <c r="CJ232" s="8" t="b">
        <v>0</v>
      </c>
      <c r="CT232" s="8">
        <v>110639</v>
      </c>
    </row>
    <row r="233" spans="1:98" s="8" customFormat="1" x14ac:dyDescent="0.25">
      <c r="A233" s="13">
        <v>114681</v>
      </c>
      <c r="B233" s="9">
        <v>24</v>
      </c>
      <c r="C233" s="9" t="s">
        <v>1012</v>
      </c>
      <c r="D233" s="9" t="s">
        <v>94</v>
      </c>
      <c r="E233" s="9" t="s">
        <v>194</v>
      </c>
      <c r="F233" s="9"/>
      <c r="G233" s="33" t="str">
        <f>_xlfn.XLOOKUP(CT233,'Just Methods'!T:T,'Just Methods'!S:S)</f>
        <v xml:space="preserve"> 24" DEF+XYZ ATEX </v>
      </c>
      <c r="H233" s="47" t="str">
        <f>_xlfn.XLOOKUP(CT233,'Just Methods'!T:T,'Just Methods'!C:C)</f>
        <v>DEF.XYZ.24</v>
      </c>
      <c r="I233" s="9" t="str">
        <f>_xlfn.XLOOKUP(H233,'Alternative Tool Body Sheet'!A:A,'Alternative Tool Body Sheet'!C:C)</f>
        <v>20/24 DEF</v>
      </c>
      <c r="J233" s="9">
        <f t="shared" si="6"/>
        <v>5</v>
      </c>
      <c r="K233" s="9" t="s">
        <v>114</v>
      </c>
      <c r="L233" s="9">
        <v>24</v>
      </c>
      <c r="M233" s="9">
        <v>18</v>
      </c>
      <c r="N233" s="9">
        <v>25</v>
      </c>
      <c r="P233" s="9">
        <v>23</v>
      </c>
      <c r="Q233" s="9" t="s">
        <v>115</v>
      </c>
      <c r="R233" s="9">
        <v>21.5</v>
      </c>
      <c r="T233" s="9">
        <v>18.25</v>
      </c>
      <c r="U233" s="9" t="s">
        <v>116</v>
      </c>
      <c r="V233" s="9">
        <v>15</v>
      </c>
      <c r="AA233" s="9">
        <v>48</v>
      </c>
      <c r="AN233" s="9">
        <v>750</v>
      </c>
      <c r="AO233" s="9">
        <v>95</v>
      </c>
      <c r="AQ233" s="9">
        <v>590</v>
      </c>
      <c r="AT233" s="9">
        <v>19</v>
      </c>
      <c r="AX233" s="9">
        <v>250</v>
      </c>
      <c r="AY233" s="9">
        <v>2000</v>
      </c>
      <c r="AZ233" s="9" t="s">
        <v>1013</v>
      </c>
      <c r="BA233" s="9" t="s">
        <v>102</v>
      </c>
      <c r="BB233" s="9" t="s">
        <v>101</v>
      </c>
      <c r="BC233" s="9" t="s">
        <v>101</v>
      </c>
      <c r="BD233" s="9" t="s">
        <v>102</v>
      </c>
      <c r="BE233" s="9" t="s">
        <v>102</v>
      </c>
      <c r="BF233" s="9" t="s">
        <v>118</v>
      </c>
      <c r="BG233" s="9" t="s">
        <v>792</v>
      </c>
      <c r="BH233" s="9" t="s">
        <v>105</v>
      </c>
      <c r="BI233" s="9">
        <v>8</v>
      </c>
      <c r="BJ233" s="9">
        <v>2</v>
      </c>
      <c r="BK233" s="9">
        <v>2</v>
      </c>
      <c r="BL233" s="9">
        <v>26</v>
      </c>
      <c r="BM233" s="9">
        <v>6</v>
      </c>
      <c r="BN233" s="9">
        <v>10</v>
      </c>
      <c r="BO233" s="9">
        <v>8</v>
      </c>
      <c r="BP233" s="9">
        <v>8</v>
      </c>
      <c r="BQ233" s="9">
        <v>2</v>
      </c>
      <c r="BR233" s="9">
        <v>26</v>
      </c>
      <c r="BS233" s="9">
        <v>6</v>
      </c>
      <c r="BT233" s="9">
        <v>10</v>
      </c>
      <c r="BY233" s="8">
        <v>102397</v>
      </c>
      <c r="CI233" s="51"/>
      <c r="CJ233" s="8" t="b">
        <v>0</v>
      </c>
      <c r="CT233" s="8">
        <v>114681</v>
      </c>
    </row>
    <row r="234" spans="1:98" s="8" customFormat="1" x14ac:dyDescent="0.25">
      <c r="A234" s="13">
        <v>111481</v>
      </c>
      <c r="B234" s="9">
        <v>24</v>
      </c>
      <c r="C234" s="9" t="s">
        <v>1014</v>
      </c>
      <c r="D234" s="9" t="s">
        <v>121</v>
      </c>
      <c r="E234" s="9" t="s">
        <v>331</v>
      </c>
      <c r="F234" s="9"/>
      <c r="G234" s="33" t="str">
        <f>_xlfn.XLOOKUP(CT234,'Just Methods'!T:T,'Just Methods'!S:S)</f>
        <v xml:space="preserve"> 24" MFL3+DEF+SpirALL® MFL+XYZ+LFM </v>
      </c>
      <c r="H234" s="47" t="str">
        <f>_xlfn.XLOOKUP(CT234,'Just Methods'!T:T,'Just Methods'!C:C)</f>
        <v>DEF.LFM.MFL.SMFL.XYZ.24</v>
      </c>
      <c r="I234" s="9" t="str">
        <f>_xlfn.XLOOKUP(H234,'Alternative Tool Body Sheet'!A:A,'Alternative Tool Body Sheet'!C:C)</f>
        <v xml:space="preserve">24 MDS </v>
      </c>
      <c r="J234" s="9">
        <f t="shared" si="6"/>
        <v>7</v>
      </c>
      <c r="K234" s="9" t="s">
        <v>114</v>
      </c>
      <c r="L234" s="9">
        <v>24</v>
      </c>
      <c r="M234" s="9">
        <v>20.399999999999999</v>
      </c>
      <c r="N234" s="9">
        <v>15</v>
      </c>
      <c r="O234" s="9">
        <v>21.875</v>
      </c>
      <c r="P234" s="9">
        <v>23</v>
      </c>
      <c r="Q234" s="9" t="s">
        <v>115</v>
      </c>
      <c r="R234" s="9">
        <v>21.6</v>
      </c>
      <c r="U234" s="9" t="s">
        <v>99</v>
      </c>
      <c r="V234" s="9">
        <v>8.3000000000000007</v>
      </c>
      <c r="W234" s="9">
        <v>10</v>
      </c>
      <c r="X234" s="9">
        <v>0.59</v>
      </c>
      <c r="Y234" s="9">
        <v>1</v>
      </c>
      <c r="Z234" s="9">
        <v>0.65800000000000003</v>
      </c>
      <c r="AA234" s="9">
        <v>88</v>
      </c>
      <c r="AD234" s="9">
        <v>88</v>
      </c>
      <c r="AF234" s="9">
        <v>264</v>
      </c>
      <c r="AH234" s="9">
        <v>264</v>
      </c>
      <c r="AJ234" s="9">
        <v>576</v>
      </c>
      <c r="AN234" s="9">
        <v>750</v>
      </c>
      <c r="AO234" s="9">
        <v>165</v>
      </c>
      <c r="AQ234" s="9">
        <v>3970</v>
      </c>
      <c r="AT234" s="9">
        <v>15</v>
      </c>
      <c r="AX234" s="9">
        <v>400</v>
      </c>
      <c r="AY234" s="9">
        <v>2000</v>
      </c>
      <c r="AZ234" s="9" t="s">
        <v>1015</v>
      </c>
      <c r="BA234" s="9" t="s">
        <v>102</v>
      </c>
      <c r="BB234" s="9" t="s">
        <v>102</v>
      </c>
      <c r="BC234" s="9" t="s">
        <v>101</v>
      </c>
      <c r="BD234" s="9" t="s">
        <v>102</v>
      </c>
      <c r="BE234" s="9" t="s">
        <v>101</v>
      </c>
      <c r="BF234" s="9" t="s">
        <v>118</v>
      </c>
      <c r="BG234" s="9" t="s">
        <v>792</v>
      </c>
      <c r="BH234" s="9" t="s">
        <v>105</v>
      </c>
      <c r="BI234" s="9">
        <v>14</v>
      </c>
      <c r="BJ234" s="9">
        <v>2</v>
      </c>
      <c r="BK234" s="9">
        <v>2</v>
      </c>
      <c r="BL234" s="9">
        <v>26</v>
      </c>
      <c r="BM234" s="9">
        <v>6</v>
      </c>
      <c r="BN234" s="9">
        <v>19</v>
      </c>
      <c r="BO234" s="9">
        <v>14</v>
      </c>
      <c r="BP234" s="9">
        <v>14</v>
      </c>
      <c r="BQ234" s="9">
        <v>2</v>
      </c>
      <c r="BR234" s="9">
        <v>26</v>
      </c>
      <c r="BS234" s="9">
        <v>6</v>
      </c>
      <c r="BT234" s="9">
        <v>19</v>
      </c>
      <c r="BX234" s="8">
        <v>110710</v>
      </c>
      <c r="BY234" s="8" t="s">
        <v>1003</v>
      </c>
      <c r="CD234" s="8">
        <v>118879</v>
      </c>
      <c r="CH234" s="8">
        <v>109687</v>
      </c>
      <c r="CI234" s="51"/>
      <c r="CJ234" s="8" t="b">
        <v>0</v>
      </c>
      <c r="CT234" s="8">
        <v>111481</v>
      </c>
    </row>
    <row r="235" spans="1:98" s="8" customFormat="1" x14ac:dyDescent="0.25">
      <c r="A235" s="13">
        <v>109465</v>
      </c>
      <c r="B235" s="9">
        <v>24</v>
      </c>
      <c r="C235" s="9" t="s">
        <v>1016</v>
      </c>
      <c r="D235" s="9" t="s">
        <v>94</v>
      </c>
      <c r="E235" s="9" t="s">
        <v>349</v>
      </c>
      <c r="F235" s="9"/>
      <c r="G235" s="33" t="str">
        <f>_xlfn.XLOOKUP(CT235,'Just Methods'!T:T,'Just Methods'!S:S)</f>
        <v xml:space="preserve"> 24" GMFL2+DEF ATEX </v>
      </c>
      <c r="H235" s="47" t="str">
        <f>_xlfn.XLOOKUP(CT235,'Just Methods'!T:T,'Just Methods'!C:C)</f>
        <v>DEF.GMFL.24</v>
      </c>
      <c r="I235" s="9" t="str">
        <f>_xlfn.XLOOKUP(H235,'Alternative Tool Body Sheet'!A:A,'Alternative Tool Body Sheet'!C:C)</f>
        <v>20/24 DEF</v>
      </c>
      <c r="J235" s="9">
        <f t="shared" si="6"/>
        <v>5</v>
      </c>
      <c r="K235" s="9" t="s">
        <v>114</v>
      </c>
      <c r="L235" s="9">
        <v>24</v>
      </c>
      <c r="M235" s="9">
        <v>19</v>
      </c>
      <c r="N235" s="9">
        <v>25</v>
      </c>
      <c r="P235" s="9">
        <v>19.5</v>
      </c>
      <c r="Q235" s="9" t="s">
        <v>115</v>
      </c>
      <c r="R235" s="9">
        <v>20.75</v>
      </c>
      <c r="S235" s="9">
        <v>20</v>
      </c>
      <c r="T235" s="9">
        <v>19.25</v>
      </c>
      <c r="U235" s="9" t="s">
        <v>116</v>
      </c>
      <c r="V235" s="9">
        <v>10</v>
      </c>
      <c r="W235" s="9">
        <v>10</v>
      </c>
      <c r="X235" s="9">
        <v>1</v>
      </c>
      <c r="Y235" s="9">
        <v>1</v>
      </c>
      <c r="Z235" s="9">
        <v>1</v>
      </c>
      <c r="AA235" s="9">
        <v>48</v>
      </c>
      <c r="AC235" s="9">
        <v>216</v>
      </c>
      <c r="AD235" s="9">
        <v>72</v>
      </c>
      <c r="AN235" s="9">
        <v>750</v>
      </c>
      <c r="AO235" s="9">
        <v>148</v>
      </c>
      <c r="AQ235" s="9">
        <v>1500</v>
      </c>
      <c r="AT235" s="9">
        <v>24</v>
      </c>
      <c r="AV235" s="9">
        <v>25</v>
      </c>
      <c r="AW235" s="9">
        <v>2.08</v>
      </c>
      <c r="AX235" s="9">
        <v>250</v>
      </c>
      <c r="AY235" s="9">
        <v>2000</v>
      </c>
      <c r="AZ235" s="9" t="s">
        <v>1017</v>
      </c>
      <c r="BA235" s="9" t="s">
        <v>102</v>
      </c>
      <c r="BB235" s="9" t="s">
        <v>101</v>
      </c>
      <c r="BC235" s="9" t="s">
        <v>101</v>
      </c>
      <c r="BD235" s="9" t="s">
        <v>102</v>
      </c>
      <c r="BE235" s="9" t="s">
        <v>102</v>
      </c>
      <c r="BF235" s="9" t="s">
        <v>118</v>
      </c>
      <c r="BG235" s="9" t="s">
        <v>920</v>
      </c>
      <c r="BH235" s="9" t="s">
        <v>105</v>
      </c>
      <c r="BI235" s="9">
        <v>13</v>
      </c>
      <c r="BJ235" s="9">
        <v>2</v>
      </c>
      <c r="BK235" s="9">
        <v>2</v>
      </c>
      <c r="BL235" s="9">
        <v>26</v>
      </c>
      <c r="BM235" s="9">
        <v>6</v>
      </c>
      <c r="BN235" s="9">
        <v>18</v>
      </c>
      <c r="BO235" s="9">
        <v>13</v>
      </c>
      <c r="BP235" s="9">
        <v>13</v>
      </c>
      <c r="BQ235" s="9">
        <v>2</v>
      </c>
      <c r="BR235" s="9">
        <v>26</v>
      </c>
      <c r="BS235" s="9">
        <v>6</v>
      </c>
      <c r="BT235" s="9">
        <v>18</v>
      </c>
      <c r="CI235" s="51" t="s">
        <v>973</v>
      </c>
      <c r="CJ235" s="8" t="b">
        <v>0</v>
      </c>
      <c r="CT235" s="8">
        <v>109465</v>
      </c>
    </row>
    <row r="236" spans="1:98" s="8" customFormat="1" x14ac:dyDescent="0.25">
      <c r="A236" s="13">
        <v>113651</v>
      </c>
      <c r="B236" s="9">
        <v>24</v>
      </c>
      <c r="C236" s="9" t="s">
        <v>1018</v>
      </c>
      <c r="D236" s="9" t="s">
        <v>121</v>
      </c>
      <c r="E236" s="9" t="s">
        <v>301</v>
      </c>
      <c r="F236" s="9"/>
      <c r="G236" s="33" t="str">
        <f>_xlfn.XLOOKUP(CT236,'Just Methods'!T:T,'Just Methods'!S:S)</f>
        <v xml:space="preserve"> 24" MFL3+DEF+SpirALL® MFL+LFM </v>
      </c>
      <c r="H236" s="47" t="str">
        <f>_xlfn.XLOOKUP(CT236,'Just Methods'!T:T,'Just Methods'!C:C)</f>
        <v>DEF.LFM.MFL.SMFL.24</v>
      </c>
      <c r="I236" s="9" t="str">
        <f>_xlfn.XLOOKUP(H236,'Alternative Tool Body Sheet'!A:A,'Alternative Tool Body Sheet'!C:C)</f>
        <v xml:space="preserve">24 MDS </v>
      </c>
      <c r="J236" s="9">
        <f t="shared" si="6"/>
        <v>7</v>
      </c>
      <c r="K236" s="9" t="s">
        <v>114</v>
      </c>
      <c r="L236" s="9">
        <v>24</v>
      </c>
      <c r="M236" s="9">
        <v>20.399999999999999</v>
      </c>
      <c r="N236" s="9">
        <v>15</v>
      </c>
      <c r="O236" s="9">
        <v>21.875</v>
      </c>
      <c r="P236" s="9">
        <v>23</v>
      </c>
      <c r="Q236" s="9" t="s">
        <v>115</v>
      </c>
      <c r="R236" s="9">
        <v>21.6</v>
      </c>
      <c r="U236" s="9" t="s">
        <v>99</v>
      </c>
      <c r="V236" s="9">
        <v>8.3000000000000007</v>
      </c>
      <c r="W236" s="9">
        <v>10</v>
      </c>
      <c r="X236" s="9">
        <v>0.59</v>
      </c>
      <c r="Y236" s="9">
        <v>1</v>
      </c>
      <c r="Z236" s="9">
        <v>0.65800000000000003</v>
      </c>
      <c r="AA236" s="9">
        <v>88</v>
      </c>
      <c r="AD236" s="9">
        <v>88</v>
      </c>
      <c r="AF236" s="9">
        <v>264</v>
      </c>
      <c r="AH236" s="9">
        <v>264</v>
      </c>
      <c r="AJ236" s="9">
        <v>576</v>
      </c>
      <c r="AN236" s="9">
        <v>750</v>
      </c>
      <c r="AO236" s="9">
        <v>165</v>
      </c>
      <c r="AQ236" s="9">
        <v>3900</v>
      </c>
      <c r="AT236" s="9">
        <v>40</v>
      </c>
      <c r="AX236" s="9">
        <v>400</v>
      </c>
      <c r="AY236" s="9">
        <v>2000</v>
      </c>
      <c r="AZ236" s="9" t="s">
        <v>1019</v>
      </c>
      <c r="BA236" s="9" t="s">
        <v>102</v>
      </c>
      <c r="BB236" s="9" t="s">
        <v>102</v>
      </c>
      <c r="BC236" s="9" t="s">
        <v>101</v>
      </c>
      <c r="BD236" s="9" t="s">
        <v>102</v>
      </c>
      <c r="BE236" s="9" t="s">
        <v>101</v>
      </c>
      <c r="BF236" s="9" t="s">
        <v>118</v>
      </c>
      <c r="BG236" s="9" t="s">
        <v>792</v>
      </c>
      <c r="BH236" s="9" t="s">
        <v>105</v>
      </c>
      <c r="BI236" s="9">
        <v>14</v>
      </c>
      <c r="BJ236" s="9">
        <v>2</v>
      </c>
      <c r="BK236" s="9">
        <v>2</v>
      </c>
      <c r="BL236" s="9">
        <v>26</v>
      </c>
      <c r="BM236" s="9">
        <v>6</v>
      </c>
      <c r="BN236" s="9">
        <v>19</v>
      </c>
      <c r="BO236" s="9">
        <v>14</v>
      </c>
      <c r="BP236" s="9">
        <v>14</v>
      </c>
      <c r="BQ236" s="9">
        <v>2</v>
      </c>
      <c r="BR236" s="9">
        <v>26</v>
      </c>
      <c r="BS236" s="9">
        <v>6</v>
      </c>
      <c r="BT236" s="9">
        <v>19</v>
      </c>
      <c r="BX236" s="8">
        <v>110710</v>
      </c>
      <c r="BY236" s="8" t="s">
        <v>1003</v>
      </c>
      <c r="CD236" s="8">
        <v>118879</v>
      </c>
      <c r="CH236" s="8">
        <v>109687</v>
      </c>
      <c r="CI236" s="51"/>
      <c r="CJ236" s="8" t="b">
        <v>0</v>
      </c>
      <c r="CT236" s="8">
        <v>113651</v>
      </c>
    </row>
    <row r="237" spans="1:98" s="8" customFormat="1" x14ac:dyDescent="0.25">
      <c r="A237" s="13">
        <v>111453</v>
      </c>
      <c r="B237" s="9">
        <v>24</v>
      </c>
      <c r="C237" s="9" t="s">
        <v>1020</v>
      </c>
      <c r="D237" s="9" t="s">
        <v>94</v>
      </c>
      <c r="E237" s="9" t="s">
        <v>258</v>
      </c>
      <c r="F237" s="9"/>
      <c r="G237" s="33" t="str">
        <f>_xlfn.XLOOKUP(CT237,'Just Methods'!T:T,'Just Methods'!S:S)</f>
        <v xml:space="preserve"> 24" GMFL2 (xHD ATEX) </v>
      </c>
      <c r="H237" s="47" t="str">
        <f>_xlfn.XLOOKUP(CT237,'Just Methods'!T:T,'Just Methods'!C:C)</f>
        <v>GMFL.24</v>
      </c>
      <c r="I237" s="9" t="str">
        <f>_xlfn.XLOOKUP(H237,'Alternative Tool Body Sheet'!A:A,'Alternative Tool Body Sheet'!C:C)</f>
        <v>22/24 GMFL</v>
      </c>
      <c r="J237" s="9">
        <f t="shared" si="6"/>
        <v>5</v>
      </c>
      <c r="K237" s="9" t="s">
        <v>114</v>
      </c>
      <c r="L237" s="9">
        <v>24</v>
      </c>
      <c r="P237" s="9">
        <v>23</v>
      </c>
      <c r="V237" s="9">
        <v>10</v>
      </c>
      <c r="W237" s="9">
        <v>10</v>
      </c>
      <c r="X237" s="9">
        <v>1</v>
      </c>
      <c r="Y237" s="9">
        <v>1</v>
      </c>
      <c r="Z237" s="9">
        <v>1</v>
      </c>
      <c r="AC237" s="9">
        <v>216</v>
      </c>
      <c r="AD237" s="9">
        <v>72</v>
      </c>
      <c r="AS237" s="9">
        <v>0</v>
      </c>
      <c r="AT237" s="9">
        <v>91</v>
      </c>
      <c r="AX237" s="9">
        <v>250</v>
      </c>
      <c r="AY237" s="9">
        <v>2000</v>
      </c>
      <c r="BA237" s="9" t="s">
        <v>102</v>
      </c>
      <c r="BB237" s="9" t="s">
        <v>102</v>
      </c>
      <c r="BC237" s="9" t="s">
        <v>102</v>
      </c>
      <c r="BD237" s="9" t="s">
        <v>102</v>
      </c>
      <c r="BE237" s="9" t="s">
        <v>102</v>
      </c>
      <c r="BF237" s="9" t="s">
        <v>118</v>
      </c>
      <c r="BG237" s="9" t="s">
        <v>118</v>
      </c>
      <c r="BH237" s="9" t="s">
        <v>105</v>
      </c>
      <c r="CI237" s="51" t="s">
        <v>973</v>
      </c>
      <c r="CJ237" s="8" t="b">
        <v>0</v>
      </c>
      <c r="CT237" s="8">
        <v>111453</v>
      </c>
    </row>
    <row r="238" spans="1:98" s="8" customFormat="1" x14ac:dyDescent="0.25">
      <c r="A238" s="13">
        <v>129306</v>
      </c>
      <c r="B238" s="9">
        <v>24</v>
      </c>
      <c r="C238" s="9" t="s">
        <v>1021</v>
      </c>
      <c r="D238" s="9" t="s">
        <v>121</v>
      </c>
      <c r="E238" s="9" t="s">
        <v>122</v>
      </c>
      <c r="F238" s="9"/>
      <c r="G238" s="33" t="str">
        <f>_xlfn.XLOOKUP(CT238,'Just Methods'!T:T,'Just Methods'!S:S)</f>
        <v xml:space="preserve"> 24" MDS FLEX MFL+DEF </v>
      </c>
      <c r="H238" s="47" t="str">
        <f>_xlfn.XLOOKUP(CT238,'Just Methods'!T:T,'Just Methods'!C:C)</f>
        <v>FLEX.DEF.MFL.24</v>
      </c>
      <c r="I238" s="9" t="str">
        <f>_xlfn.XLOOKUP(H238,'Alternative Tool Body Sheet'!A:A,'Alternative Tool Body Sheet'!C:C)</f>
        <v>24 MDS</v>
      </c>
      <c r="J238" s="9">
        <f t="shared" si="6"/>
        <v>7</v>
      </c>
      <c r="K238" s="9" t="s">
        <v>114</v>
      </c>
      <c r="L238" s="9">
        <v>24</v>
      </c>
      <c r="M238" s="9">
        <v>20.399999999999999</v>
      </c>
      <c r="Q238" s="9" t="s">
        <v>115</v>
      </c>
      <c r="R238" s="9">
        <v>21.6</v>
      </c>
      <c r="U238" s="9" t="s">
        <v>99</v>
      </c>
      <c r="V238" s="9">
        <v>10</v>
      </c>
      <c r="W238" s="9">
        <v>10</v>
      </c>
      <c r="X238" s="9">
        <v>0.59</v>
      </c>
      <c r="Y238" s="9">
        <v>1</v>
      </c>
      <c r="Z238" s="9">
        <v>0.65800000000000003</v>
      </c>
      <c r="AA238" s="9">
        <v>88</v>
      </c>
      <c r="AB238" s="9">
        <v>264</v>
      </c>
      <c r="AD238" s="9">
        <v>88</v>
      </c>
      <c r="AN238" s="9">
        <v>750</v>
      </c>
      <c r="AO238" s="9">
        <v>120</v>
      </c>
      <c r="AQ238" s="9">
        <v>1831</v>
      </c>
      <c r="AS238" s="9">
        <v>67</v>
      </c>
      <c r="AX238" s="9">
        <v>400</v>
      </c>
      <c r="AY238" s="9">
        <v>2000</v>
      </c>
      <c r="AZ238" s="9" t="s">
        <v>1022</v>
      </c>
      <c r="BA238" s="9" t="s">
        <v>102</v>
      </c>
      <c r="BB238" s="9" t="s">
        <v>101</v>
      </c>
      <c r="BC238" s="9" t="s">
        <v>101</v>
      </c>
      <c r="BD238" s="9" t="s">
        <v>101</v>
      </c>
      <c r="BE238" s="9" t="s">
        <v>102</v>
      </c>
      <c r="BF238" s="9" t="s">
        <v>118</v>
      </c>
      <c r="BG238" s="9" t="s">
        <v>118</v>
      </c>
      <c r="BH238" s="9" t="s">
        <v>105</v>
      </c>
      <c r="BI238" s="9">
        <v>10</v>
      </c>
      <c r="BJ238" s="9">
        <v>2</v>
      </c>
      <c r="BK238" s="9">
        <v>2</v>
      </c>
      <c r="BL238" s="9">
        <v>26</v>
      </c>
      <c r="BM238" s="9">
        <v>6</v>
      </c>
      <c r="BN238" s="9">
        <v>13</v>
      </c>
      <c r="BO238" s="9">
        <v>10</v>
      </c>
      <c r="BP238" s="9">
        <v>10</v>
      </c>
      <c r="BQ238" s="9">
        <v>2</v>
      </c>
      <c r="BR238" s="9">
        <v>26</v>
      </c>
      <c r="BS238" s="9">
        <v>6</v>
      </c>
      <c r="BT238" s="9">
        <v>13</v>
      </c>
      <c r="BX238" s="8">
        <v>110710</v>
      </c>
      <c r="BY238" s="8" t="s">
        <v>1003</v>
      </c>
      <c r="CI238" s="51"/>
      <c r="CJ238" s="8" t="b">
        <v>0</v>
      </c>
      <c r="CT238" s="8">
        <v>129306</v>
      </c>
    </row>
    <row r="239" spans="1:98" s="8" customFormat="1" x14ac:dyDescent="0.25">
      <c r="A239" s="24">
        <v>130194</v>
      </c>
      <c r="B239" s="12">
        <v>24</v>
      </c>
      <c r="C239" s="12" t="s">
        <v>1023</v>
      </c>
      <c r="D239" s="9" t="s">
        <v>121</v>
      </c>
      <c r="E239" s="12" t="s">
        <v>212</v>
      </c>
      <c r="F239" s="12"/>
      <c r="G239" s="33" t="str">
        <f>_xlfn.XLOOKUP(CT239,'Just Methods'!T:T,'Just Methods'!S:S)</f>
        <v xml:space="preserve"> 24" MDS FLEX DEF+ULTRA RES MFL+XYZ </v>
      </c>
      <c r="H239" s="47" t="str">
        <f>_xlfn.XLOOKUP(CT239,'Just Methods'!T:T,'Just Methods'!C:C)</f>
        <v>DEF.UMFL.XYZ.24</v>
      </c>
      <c r="I239" s="9" t="str">
        <f>_xlfn.XLOOKUP(H239,'Alternative Tool Body Sheet'!A:A,'Alternative Tool Body Sheet'!C:C)</f>
        <v>24 MDS</v>
      </c>
      <c r="J239" s="12">
        <f t="shared" si="6"/>
        <v>7</v>
      </c>
      <c r="K239" s="12" t="s">
        <v>114</v>
      </c>
      <c r="L239" s="12">
        <v>24</v>
      </c>
      <c r="M239" s="12">
        <v>20.399999999999999</v>
      </c>
      <c r="N239" s="12"/>
      <c r="O239" s="12"/>
      <c r="P239" s="12"/>
      <c r="Q239" s="12" t="s">
        <v>115</v>
      </c>
      <c r="R239" s="12">
        <v>21.6</v>
      </c>
      <c r="S239" s="12"/>
      <c r="T239" s="12"/>
      <c r="U239" s="12" t="s">
        <v>99</v>
      </c>
      <c r="V239" s="12">
        <v>10</v>
      </c>
      <c r="W239" s="12">
        <v>10</v>
      </c>
      <c r="X239" s="12">
        <v>0.59</v>
      </c>
      <c r="Y239" s="12">
        <v>1</v>
      </c>
      <c r="Z239" s="12">
        <v>0.65800000000000003</v>
      </c>
      <c r="AA239" s="12">
        <v>88</v>
      </c>
      <c r="AB239" s="12"/>
      <c r="AC239" s="12"/>
      <c r="AD239" s="12">
        <v>88</v>
      </c>
      <c r="AE239" s="12"/>
      <c r="AF239" s="12"/>
      <c r="AG239" s="12"/>
      <c r="AH239" s="12">
        <v>528</v>
      </c>
      <c r="AI239" s="12"/>
      <c r="AJ239" s="12"/>
      <c r="AK239" s="12"/>
      <c r="AL239" s="12"/>
      <c r="AM239" s="12"/>
      <c r="AN239" s="12">
        <v>750</v>
      </c>
      <c r="AO239" s="12">
        <v>120</v>
      </c>
      <c r="AP239" s="12"/>
      <c r="AQ239" s="12">
        <v>1840</v>
      </c>
      <c r="AR239" s="12"/>
      <c r="AS239" s="12"/>
      <c r="AT239" s="12">
        <v>56</v>
      </c>
      <c r="AU239" s="12"/>
      <c r="AV239" s="12"/>
      <c r="AW239" s="12"/>
      <c r="AX239" s="12">
        <v>400</v>
      </c>
      <c r="AY239" s="12">
        <v>2000</v>
      </c>
      <c r="AZ239" s="12" t="s">
        <v>1024</v>
      </c>
      <c r="BA239" s="12" t="s">
        <v>102</v>
      </c>
      <c r="BB239" s="12" t="s">
        <v>101</v>
      </c>
      <c r="BC239" s="12" t="s">
        <v>101</v>
      </c>
      <c r="BD239" s="12" t="s">
        <v>101</v>
      </c>
      <c r="BE239" s="12" t="s">
        <v>102</v>
      </c>
      <c r="BF239" s="12" t="s">
        <v>118</v>
      </c>
      <c r="BG239" s="12" t="s">
        <v>118</v>
      </c>
      <c r="BH239" s="12" t="s">
        <v>105</v>
      </c>
      <c r="BI239" s="12">
        <v>10</v>
      </c>
      <c r="BJ239" s="12">
        <v>2</v>
      </c>
      <c r="BK239" s="12">
        <v>2</v>
      </c>
      <c r="BL239" s="12">
        <v>26</v>
      </c>
      <c r="BM239" s="12">
        <v>6</v>
      </c>
      <c r="BN239" s="12">
        <v>13</v>
      </c>
      <c r="BO239" s="12">
        <v>10</v>
      </c>
      <c r="BP239" s="12">
        <v>10</v>
      </c>
      <c r="BQ239" s="12">
        <v>2</v>
      </c>
      <c r="BR239" s="12">
        <v>26</v>
      </c>
      <c r="BS239" s="12">
        <v>6</v>
      </c>
      <c r="BT239" s="12">
        <v>13</v>
      </c>
      <c r="BX239" s="55">
        <v>130001</v>
      </c>
      <c r="BY239" s="8" t="s">
        <v>1003</v>
      </c>
      <c r="CI239" s="51"/>
      <c r="CJ239" s="8" t="b">
        <v>0</v>
      </c>
      <c r="CT239" s="8">
        <v>130194</v>
      </c>
    </row>
    <row r="240" spans="1:98" s="8" customFormat="1" x14ac:dyDescent="0.25">
      <c r="A240" s="13">
        <v>109346</v>
      </c>
      <c r="B240" s="9">
        <v>24</v>
      </c>
      <c r="C240" s="9" t="s">
        <v>1025</v>
      </c>
      <c r="D240" s="9" t="s">
        <v>94</v>
      </c>
      <c r="E240" s="9" t="s">
        <v>258</v>
      </c>
      <c r="F240" s="9"/>
      <c r="G240" s="33" t="str">
        <f>_xlfn.XLOOKUP(CT240,'Just Methods'!T:T,'Just Methods'!S:S)</f>
        <v xml:space="preserve"> 24" GMFL2 (xHD) </v>
      </c>
      <c r="H240" s="47" t="str">
        <f>_xlfn.XLOOKUP(CT240,'Just Methods'!T:T,'Just Methods'!C:C)</f>
        <v>GMFL.24</v>
      </c>
      <c r="I240" s="9" t="str">
        <f>_xlfn.XLOOKUP(H240,'Alternative Tool Body Sheet'!A:A,'Alternative Tool Body Sheet'!C:C)</f>
        <v>22/24 GMFL</v>
      </c>
      <c r="J240" s="9">
        <f t="shared" si="6"/>
        <v>5</v>
      </c>
      <c r="K240" s="9" t="s">
        <v>114</v>
      </c>
      <c r="L240" s="9">
        <v>24</v>
      </c>
      <c r="M240" s="9">
        <v>19</v>
      </c>
      <c r="P240" s="9">
        <v>23</v>
      </c>
      <c r="Q240" s="9" t="s">
        <v>115</v>
      </c>
      <c r="R240" s="9">
        <v>20.75</v>
      </c>
      <c r="U240" s="9" t="s">
        <v>116</v>
      </c>
      <c r="V240" s="9">
        <v>10</v>
      </c>
      <c r="W240" s="9">
        <v>10</v>
      </c>
      <c r="X240" s="9">
        <v>1</v>
      </c>
      <c r="Y240" s="9">
        <v>1</v>
      </c>
      <c r="Z240" s="9">
        <v>1</v>
      </c>
      <c r="AC240" s="9">
        <v>216</v>
      </c>
      <c r="AD240" s="9">
        <v>72</v>
      </c>
      <c r="AN240" s="9">
        <v>750</v>
      </c>
      <c r="AO240" s="9">
        <v>93</v>
      </c>
      <c r="AQ240" s="9">
        <v>1170</v>
      </c>
      <c r="AT240" s="9">
        <v>31</v>
      </c>
      <c r="AX240" s="9">
        <v>250</v>
      </c>
      <c r="AY240" s="9">
        <v>2000</v>
      </c>
      <c r="AZ240" s="9" t="s">
        <v>1026</v>
      </c>
      <c r="BA240" s="9" t="s">
        <v>102</v>
      </c>
      <c r="BB240" s="9" t="s">
        <v>101</v>
      </c>
      <c r="BC240" s="9" t="s">
        <v>101</v>
      </c>
      <c r="BD240" s="9" t="s">
        <v>101</v>
      </c>
      <c r="BE240" s="9" t="s">
        <v>102</v>
      </c>
      <c r="BF240" s="9" t="s">
        <v>118</v>
      </c>
      <c r="BG240" s="9" t="s">
        <v>118</v>
      </c>
      <c r="BH240" s="9" t="s">
        <v>105</v>
      </c>
      <c r="BI240" s="9">
        <v>8</v>
      </c>
      <c r="BJ240" s="9">
        <v>2</v>
      </c>
      <c r="BK240" s="9">
        <v>2</v>
      </c>
      <c r="BL240" s="9">
        <v>26</v>
      </c>
      <c r="BM240" s="9">
        <v>6</v>
      </c>
      <c r="BN240" s="9">
        <v>10</v>
      </c>
      <c r="BO240" s="9">
        <v>8</v>
      </c>
      <c r="BP240" s="9">
        <v>8</v>
      </c>
      <c r="BQ240" s="9">
        <v>2</v>
      </c>
      <c r="BR240" s="9">
        <v>26</v>
      </c>
      <c r="BS240" s="9">
        <v>6</v>
      </c>
      <c r="BT240" s="9">
        <v>10</v>
      </c>
      <c r="CI240" s="51" t="s">
        <v>973</v>
      </c>
      <c r="CJ240" s="8" t="b">
        <v>0</v>
      </c>
      <c r="CT240" s="8">
        <v>109346</v>
      </c>
    </row>
    <row r="241" spans="1:98" s="8" customFormat="1" x14ac:dyDescent="0.25">
      <c r="A241" s="24">
        <v>130195</v>
      </c>
      <c r="B241" s="12">
        <v>24</v>
      </c>
      <c r="C241" s="12" t="s">
        <v>1027</v>
      </c>
      <c r="D241" s="9" t="s">
        <v>121</v>
      </c>
      <c r="E241" s="12" t="s">
        <v>145</v>
      </c>
      <c r="F241" s="12"/>
      <c r="G241" s="33" t="str">
        <f>_xlfn.XLOOKUP(CT241,'Just Methods'!T:T,'Just Methods'!S:S)</f>
        <v xml:space="preserve"> 24" MDS FLEX DEF+ULTRA RES MFL </v>
      </c>
      <c r="H241" s="47" t="str">
        <f>_xlfn.XLOOKUP(CT241,'Just Methods'!T:T,'Just Methods'!C:C)</f>
        <v>DEF.UMFL.24</v>
      </c>
      <c r="I241" s="9" t="str">
        <f>_xlfn.XLOOKUP(H241,'Alternative Tool Body Sheet'!A:A,'Alternative Tool Body Sheet'!C:C)</f>
        <v>24 MDS</v>
      </c>
      <c r="J241" s="12">
        <f t="shared" si="6"/>
        <v>7</v>
      </c>
      <c r="K241" s="12" t="s">
        <v>114</v>
      </c>
      <c r="L241" s="12">
        <v>24</v>
      </c>
      <c r="M241" s="12">
        <v>20.399999999999999</v>
      </c>
      <c r="N241" s="12"/>
      <c r="O241" s="12"/>
      <c r="P241" s="12"/>
      <c r="Q241" s="12" t="s">
        <v>115</v>
      </c>
      <c r="R241" s="12">
        <v>21.6</v>
      </c>
      <c r="S241" s="12"/>
      <c r="T241" s="12"/>
      <c r="U241" s="12" t="s">
        <v>99</v>
      </c>
      <c r="V241" s="12">
        <v>10</v>
      </c>
      <c r="W241" s="12">
        <v>10</v>
      </c>
      <c r="X241" s="12">
        <v>0.59</v>
      </c>
      <c r="Y241" s="12">
        <v>1</v>
      </c>
      <c r="Z241" s="12">
        <v>0.65800000000000003</v>
      </c>
      <c r="AA241" s="12">
        <v>88</v>
      </c>
      <c r="AB241" s="12"/>
      <c r="AC241" s="12"/>
      <c r="AD241" s="12">
        <v>88</v>
      </c>
      <c r="AE241" s="12"/>
      <c r="AF241" s="12"/>
      <c r="AG241" s="12"/>
      <c r="AH241" s="12">
        <v>528</v>
      </c>
      <c r="AI241" s="12"/>
      <c r="AJ241" s="12"/>
      <c r="AK241" s="12"/>
      <c r="AL241" s="12"/>
      <c r="AM241" s="12"/>
      <c r="AN241" s="12">
        <v>750</v>
      </c>
      <c r="AO241" s="12">
        <v>120</v>
      </c>
      <c r="AP241" s="12"/>
      <c r="AQ241" s="12">
        <v>1831</v>
      </c>
      <c r="AR241" s="12"/>
      <c r="AS241" s="12">
        <v>67</v>
      </c>
      <c r="AT241" s="12">
        <v>108</v>
      </c>
      <c r="AU241" s="12"/>
      <c r="AV241" s="12"/>
      <c r="AW241" s="12"/>
      <c r="AX241" s="12">
        <v>400</v>
      </c>
      <c r="AY241" s="12">
        <v>2000</v>
      </c>
      <c r="AZ241" s="12" t="s">
        <v>1028</v>
      </c>
      <c r="BA241" s="12" t="s">
        <v>102</v>
      </c>
      <c r="BB241" s="12" t="s">
        <v>101</v>
      </c>
      <c r="BC241" s="12" t="s">
        <v>101</v>
      </c>
      <c r="BD241" s="12" t="s">
        <v>101</v>
      </c>
      <c r="BE241" s="12" t="s">
        <v>102</v>
      </c>
      <c r="BF241" s="12" t="s">
        <v>118</v>
      </c>
      <c r="BG241" s="12" t="s">
        <v>118</v>
      </c>
      <c r="BH241" s="12" t="s">
        <v>105</v>
      </c>
      <c r="BI241" s="12">
        <v>10</v>
      </c>
      <c r="BJ241" s="12">
        <v>2</v>
      </c>
      <c r="BK241" s="12">
        <v>2</v>
      </c>
      <c r="BL241" s="12">
        <v>26</v>
      </c>
      <c r="BM241" s="12">
        <v>6</v>
      </c>
      <c r="BN241" s="12">
        <v>13</v>
      </c>
      <c r="BO241" s="12">
        <v>10</v>
      </c>
      <c r="BP241" s="12">
        <v>10</v>
      </c>
      <c r="BQ241" s="12">
        <v>2</v>
      </c>
      <c r="BR241" s="12">
        <v>26</v>
      </c>
      <c r="BS241" s="12">
        <v>6</v>
      </c>
      <c r="BT241" s="12">
        <v>13</v>
      </c>
      <c r="BX241" s="55">
        <v>130001</v>
      </c>
      <c r="BY241" s="8" t="s">
        <v>1003</v>
      </c>
      <c r="CI241" s="51"/>
      <c r="CJ241" s="8" t="b">
        <v>0</v>
      </c>
      <c r="CT241" s="8">
        <v>130195</v>
      </c>
    </row>
    <row r="242" spans="1:98" s="8" customFormat="1" x14ac:dyDescent="0.25">
      <c r="A242" s="13">
        <v>114661</v>
      </c>
      <c r="B242" s="9">
        <v>24</v>
      </c>
      <c r="C242" s="9" t="s">
        <v>1029</v>
      </c>
      <c r="D242" s="9" t="s">
        <v>94</v>
      </c>
      <c r="E242" s="9" t="s">
        <v>95</v>
      </c>
      <c r="F242" s="9"/>
      <c r="G242" s="33" t="str">
        <f>_xlfn.XLOOKUP(CT242,'Just Methods'!T:T,'Just Methods'!S:S)</f>
        <v xml:space="preserve"> 24" DEF (Short) </v>
      </c>
      <c r="H242" s="47" t="str">
        <f>_xlfn.XLOOKUP(CT242,'Just Methods'!T:T,'Just Methods'!C:C)</f>
        <v>DEF.24</v>
      </c>
      <c r="I242" s="9" t="str">
        <f>_xlfn.XLOOKUP(H242,'Alternative Tool Body Sheet'!A:A,'Alternative Tool Body Sheet'!C:C)</f>
        <v>20/24 DEF</v>
      </c>
      <c r="J242" s="9">
        <f t="shared" si="6"/>
        <v>5</v>
      </c>
      <c r="K242" s="9" t="s">
        <v>114</v>
      </c>
      <c r="L242" s="9">
        <v>24</v>
      </c>
      <c r="M242" s="9">
        <v>18</v>
      </c>
      <c r="N242" s="9">
        <v>25</v>
      </c>
      <c r="P242" s="9">
        <v>21.5</v>
      </c>
      <c r="Q242" s="9" t="s">
        <v>115</v>
      </c>
      <c r="R242" s="9">
        <v>21.5</v>
      </c>
      <c r="U242" s="9" t="s">
        <v>116</v>
      </c>
      <c r="V242" s="9">
        <v>15</v>
      </c>
      <c r="AA242" s="9">
        <v>48</v>
      </c>
      <c r="AN242" s="9">
        <v>750</v>
      </c>
      <c r="AO242" s="9">
        <v>46.1</v>
      </c>
      <c r="AQ242" s="9">
        <v>321</v>
      </c>
      <c r="AT242" s="9">
        <v>55</v>
      </c>
      <c r="AX242" s="9">
        <v>250</v>
      </c>
      <c r="AY242" s="9">
        <v>2000</v>
      </c>
      <c r="AZ242" s="9" t="s">
        <v>1030</v>
      </c>
      <c r="BA242" s="9" t="s">
        <v>102</v>
      </c>
      <c r="BB242" s="9" t="s">
        <v>101</v>
      </c>
      <c r="BC242" s="9" t="s">
        <v>101</v>
      </c>
      <c r="BD242" s="9" t="s">
        <v>102</v>
      </c>
      <c r="BE242" s="9" t="s">
        <v>102</v>
      </c>
      <c r="BF242" s="9" t="s">
        <v>919</v>
      </c>
      <c r="BG242" s="9" t="s">
        <v>920</v>
      </c>
      <c r="BH242" s="9" t="s">
        <v>105</v>
      </c>
      <c r="BI242" s="9">
        <v>4</v>
      </c>
      <c r="BJ242" s="9">
        <v>2</v>
      </c>
      <c r="BK242" s="9">
        <v>2</v>
      </c>
      <c r="BL242" s="9">
        <v>26</v>
      </c>
      <c r="BM242" s="9">
        <v>6</v>
      </c>
      <c r="BN242" s="9">
        <v>6</v>
      </c>
      <c r="BO242" s="9">
        <v>4</v>
      </c>
      <c r="BP242" s="9">
        <v>4</v>
      </c>
      <c r="BQ242" s="9">
        <v>2</v>
      </c>
      <c r="BR242" s="9">
        <v>26</v>
      </c>
      <c r="BS242" s="9">
        <v>6</v>
      </c>
      <c r="BT242" s="9">
        <v>6</v>
      </c>
      <c r="BY242" s="8">
        <v>102397</v>
      </c>
      <c r="CI242" s="51"/>
      <c r="CJ242" s="8" t="b">
        <v>0</v>
      </c>
      <c r="CT242" s="8">
        <v>114661</v>
      </c>
    </row>
    <row r="243" spans="1:98" s="8" customFormat="1" x14ac:dyDescent="0.25">
      <c r="A243" s="24">
        <v>130190</v>
      </c>
      <c r="B243" s="12">
        <v>24</v>
      </c>
      <c r="C243" s="12" t="s">
        <v>1031</v>
      </c>
      <c r="D243" s="9" t="s">
        <v>121</v>
      </c>
      <c r="E243" s="12" t="s">
        <v>331</v>
      </c>
      <c r="F243" s="12"/>
      <c r="G243" s="33" t="str">
        <f>_xlfn.XLOOKUP(CT243,'Just Methods'!T:T,'Just Methods'!S:S)</f>
        <v xml:space="preserve"> 24" MDS DEF2+LFM+SMFL3+ULTRA RES MFL, SpirALL MFL </v>
      </c>
      <c r="H243" s="47" t="str">
        <f>_xlfn.XLOOKUP(CT243,'Just Methods'!T:T,'Just Methods'!C:C)</f>
        <v>DEF.LFM.SMFL.UMFL.XYZ.24</v>
      </c>
      <c r="I243" s="9" t="s">
        <v>1001</v>
      </c>
      <c r="J243" s="12">
        <f t="shared" si="6"/>
        <v>7</v>
      </c>
      <c r="K243" s="12" t="s">
        <v>114</v>
      </c>
      <c r="L243" s="12">
        <v>24</v>
      </c>
      <c r="M243" s="12">
        <v>20.399999999999999</v>
      </c>
      <c r="N243" s="12">
        <v>15</v>
      </c>
      <c r="O243" s="12">
        <v>21.875</v>
      </c>
      <c r="P243" s="12">
        <v>23</v>
      </c>
      <c r="Q243" s="12" t="s">
        <v>115</v>
      </c>
      <c r="R243" s="12">
        <v>21.6</v>
      </c>
      <c r="S243" s="12"/>
      <c r="T243" s="12"/>
      <c r="U243" s="12" t="s">
        <v>99</v>
      </c>
      <c r="V243" s="12">
        <v>10</v>
      </c>
      <c r="W243" s="12">
        <v>10</v>
      </c>
      <c r="X243" s="12">
        <v>0.59</v>
      </c>
      <c r="Y243" s="12">
        <v>1</v>
      </c>
      <c r="Z243" s="12">
        <v>0.65800000000000003</v>
      </c>
      <c r="AA243" s="12">
        <v>88</v>
      </c>
      <c r="AB243" s="12"/>
      <c r="AC243" s="12"/>
      <c r="AD243" s="12">
        <v>88</v>
      </c>
      <c r="AE243" s="12"/>
      <c r="AF243" s="12">
        <v>264</v>
      </c>
      <c r="AG243" s="12"/>
      <c r="AH243" s="12">
        <v>528</v>
      </c>
      <c r="AI243" s="12"/>
      <c r="AJ243" s="12">
        <v>576</v>
      </c>
      <c r="AK243" s="12"/>
      <c r="AL243" s="12"/>
      <c r="AM243" s="12"/>
      <c r="AN243" s="12">
        <v>750</v>
      </c>
      <c r="AO243" s="12">
        <v>165</v>
      </c>
      <c r="AP243" s="12"/>
      <c r="AQ243" s="12">
        <v>3970</v>
      </c>
      <c r="AR243" s="12"/>
      <c r="AS243" s="12"/>
      <c r="AT243" s="12">
        <v>43</v>
      </c>
      <c r="AU243" s="12"/>
      <c r="AV243" s="12"/>
      <c r="AW243" s="12"/>
      <c r="AX243" s="12">
        <v>400</v>
      </c>
      <c r="AY243" s="12">
        <v>2000</v>
      </c>
      <c r="AZ243" s="12" t="s">
        <v>1032</v>
      </c>
      <c r="BA243" s="12" t="s">
        <v>102</v>
      </c>
      <c r="BB243" s="12" t="s">
        <v>102</v>
      </c>
      <c r="BC243" s="12" t="s">
        <v>101</v>
      </c>
      <c r="BD243" s="12" t="s">
        <v>102</v>
      </c>
      <c r="BE243" s="12" t="s">
        <v>101</v>
      </c>
      <c r="BF243" s="12" t="s">
        <v>118</v>
      </c>
      <c r="BG243" s="12" t="s">
        <v>792</v>
      </c>
      <c r="BH243" s="12" t="s">
        <v>105</v>
      </c>
      <c r="BI243" s="12">
        <v>14</v>
      </c>
      <c r="BJ243" s="12">
        <v>2</v>
      </c>
      <c r="BK243" s="12">
        <v>2</v>
      </c>
      <c r="BL243" s="12">
        <v>26</v>
      </c>
      <c r="BM243" s="12">
        <v>6</v>
      </c>
      <c r="BN243" s="12">
        <v>19</v>
      </c>
      <c r="BO243" s="12">
        <v>14</v>
      </c>
      <c r="BP243" s="12">
        <v>14</v>
      </c>
      <c r="BQ243" s="12">
        <v>2</v>
      </c>
      <c r="BR243" s="12">
        <v>26</v>
      </c>
      <c r="BS243" s="12">
        <v>6</v>
      </c>
      <c r="BT243" s="12">
        <v>19</v>
      </c>
      <c r="BX243" s="55">
        <v>130001</v>
      </c>
      <c r="BY243" s="8" t="s">
        <v>1003</v>
      </c>
      <c r="CD243" s="8">
        <v>118879</v>
      </c>
      <c r="CH243" s="8">
        <v>109687</v>
      </c>
      <c r="CI243" s="51"/>
      <c r="CJ243" s="8" t="b">
        <v>0</v>
      </c>
      <c r="CT243" s="8">
        <v>130190</v>
      </c>
    </row>
    <row r="244" spans="1:98" s="8" customFormat="1" x14ac:dyDescent="0.25">
      <c r="A244" s="13">
        <v>114485</v>
      </c>
      <c r="B244" s="9">
        <v>24</v>
      </c>
      <c r="C244" s="9" t="s">
        <v>1033</v>
      </c>
      <c r="D244" s="9" t="s">
        <v>94</v>
      </c>
      <c r="E244" s="9" t="s">
        <v>421</v>
      </c>
      <c r="F244" s="9"/>
      <c r="G244" s="33" t="str">
        <f>_xlfn.XLOOKUP(CT244,'Just Methods'!T:T,'Just Methods'!S:S)</f>
        <v xml:space="preserve"> 24" GMFL2+DEF+XYZ ATEX </v>
      </c>
      <c r="H244" s="47" t="str">
        <f>_xlfn.XLOOKUP(CT244,'Just Methods'!T:T,'Just Methods'!C:C)</f>
        <v>DEF.GMFL.XYZ.24</v>
      </c>
      <c r="I244" s="9" t="str">
        <f>_xlfn.XLOOKUP(H244,'Alternative Tool Body Sheet'!A:A,'Alternative Tool Body Sheet'!C:C)</f>
        <v>20/24 DEF</v>
      </c>
      <c r="J244" s="9">
        <f t="shared" si="6"/>
        <v>5</v>
      </c>
      <c r="K244" s="9" t="s">
        <v>114</v>
      </c>
      <c r="L244" s="9">
        <v>24</v>
      </c>
      <c r="M244" s="9">
        <v>19</v>
      </c>
      <c r="N244" s="9">
        <v>25</v>
      </c>
      <c r="P244" s="9">
        <v>23</v>
      </c>
      <c r="Q244" s="9" t="s">
        <v>115</v>
      </c>
      <c r="R244" s="9">
        <v>20.75</v>
      </c>
      <c r="U244" s="9" t="s">
        <v>116</v>
      </c>
      <c r="V244" s="9">
        <v>10</v>
      </c>
      <c r="W244" s="9">
        <v>10</v>
      </c>
      <c r="X244" s="9">
        <v>1</v>
      </c>
      <c r="Y244" s="9">
        <v>1</v>
      </c>
      <c r="Z244" s="9">
        <v>1</v>
      </c>
      <c r="AA244" s="9">
        <v>48</v>
      </c>
      <c r="AC244" s="9">
        <v>216</v>
      </c>
      <c r="AD244" s="9">
        <v>72</v>
      </c>
      <c r="AN244" s="9">
        <v>750</v>
      </c>
      <c r="AO244" s="9">
        <v>148</v>
      </c>
      <c r="AQ244" s="9">
        <v>1525</v>
      </c>
      <c r="AT244" s="9">
        <v>18</v>
      </c>
      <c r="AX244" s="9">
        <v>250</v>
      </c>
      <c r="AY244" s="9">
        <v>2000</v>
      </c>
      <c r="AZ244" s="9" t="s">
        <v>1034</v>
      </c>
      <c r="BA244" s="9" t="s">
        <v>102</v>
      </c>
      <c r="BB244" s="9" t="s">
        <v>101</v>
      </c>
      <c r="BC244" s="9" t="s">
        <v>101</v>
      </c>
      <c r="BD244" s="9" t="s">
        <v>102</v>
      </c>
      <c r="BE244" s="9" t="s">
        <v>102</v>
      </c>
      <c r="BF244" s="9" t="s">
        <v>126</v>
      </c>
      <c r="BG244" s="9" t="s">
        <v>126</v>
      </c>
      <c r="BH244" s="9" t="s">
        <v>105</v>
      </c>
      <c r="BI244" s="9">
        <v>13</v>
      </c>
      <c r="BJ244" s="9">
        <v>2</v>
      </c>
      <c r="BK244" s="9">
        <v>2</v>
      </c>
      <c r="BL244" s="9">
        <v>26</v>
      </c>
      <c r="BM244" s="9">
        <v>6</v>
      </c>
      <c r="BN244" s="9">
        <v>18</v>
      </c>
      <c r="BO244" s="9">
        <v>13</v>
      </c>
      <c r="BP244" s="9">
        <v>13</v>
      </c>
      <c r="BQ244" s="9">
        <v>2</v>
      </c>
      <c r="BR244" s="9">
        <v>26</v>
      </c>
      <c r="BS244" s="9">
        <v>6</v>
      </c>
      <c r="BT244" s="9">
        <v>18</v>
      </c>
      <c r="BY244" s="8">
        <v>102397</v>
      </c>
      <c r="CI244" s="51" t="s">
        <v>973</v>
      </c>
      <c r="CJ244" s="8" t="b">
        <v>0</v>
      </c>
      <c r="CT244" s="8">
        <v>114485</v>
      </c>
    </row>
    <row r="245" spans="1:98" s="8" customFormat="1" x14ac:dyDescent="0.25">
      <c r="A245" s="24">
        <v>130191</v>
      </c>
      <c r="B245" s="12">
        <v>24</v>
      </c>
      <c r="C245" s="12" t="s">
        <v>1035</v>
      </c>
      <c r="D245" s="12" t="s">
        <v>121</v>
      </c>
      <c r="E245" s="12" t="s">
        <v>301</v>
      </c>
      <c r="F245" s="12"/>
      <c r="G245" s="33" t="str">
        <f>_xlfn.XLOOKUP(CT245,'Just Methods'!T:T,'Just Methods'!S:S)</f>
        <v xml:space="preserve"> 24" MDS DEF2+LFM+SMFL3+ULTRA RES MFL, SpirALL MFL </v>
      </c>
      <c r="H245" s="47" t="str">
        <f>_xlfn.XLOOKUP(CT245,'Just Methods'!T:T,'Just Methods'!C:C)</f>
        <v>DEF.LFM.SMFL.UMFL.24</v>
      </c>
      <c r="I245" s="9" t="str">
        <f>_xlfn.XLOOKUP(H245,'Alternative Tool Body Sheet'!A:A,'Alternative Tool Body Sheet'!C:C)</f>
        <v>24 MDS</v>
      </c>
      <c r="J245" s="12">
        <f t="shared" si="6"/>
        <v>7</v>
      </c>
      <c r="K245" s="12" t="s">
        <v>114</v>
      </c>
      <c r="L245" s="12">
        <v>24</v>
      </c>
      <c r="M245" s="12">
        <v>20.399999999999999</v>
      </c>
      <c r="N245" s="12">
        <v>15</v>
      </c>
      <c r="O245" s="12">
        <v>21.875</v>
      </c>
      <c r="P245" s="12">
        <v>23</v>
      </c>
      <c r="Q245" s="12" t="s">
        <v>115</v>
      </c>
      <c r="R245" s="12">
        <v>21.6</v>
      </c>
      <c r="S245" s="12"/>
      <c r="T245" s="12"/>
      <c r="U245" s="12" t="s">
        <v>99</v>
      </c>
      <c r="V245" s="12">
        <v>10</v>
      </c>
      <c r="W245" s="12">
        <v>10</v>
      </c>
      <c r="X245" s="12">
        <v>0.59</v>
      </c>
      <c r="Y245" s="12">
        <v>1</v>
      </c>
      <c r="Z245" s="12">
        <v>0.65800000000000003</v>
      </c>
      <c r="AA245" s="12">
        <v>88</v>
      </c>
      <c r="AB245" s="12"/>
      <c r="AC245" s="12"/>
      <c r="AD245" s="12">
        <v>88</v>
      </c>
      <c r="AE245" s="12"/>
      <c r="AF245" s="12">
        <v>264</v>
      </c>
      <c r="AG245" s="12"/>
      <c r="AH245" s="12">
        <v>528</v>
      </c>
      <c r="AI245" s="12"/>
      <c r="AJ245" s="12">
        <v>576</v>
      </c>
      <c r="AK245" s="12"/>
      <c r="AL245" s="12"/>
      <c r="AM245" s="12"/>
      <c r="AN245" s="12">
        <v>750</v>
      </c>
      <c r="AO245" s="12">
        <v>165</v>
      </c>
      <c r="AP245" s="12"/>
      <c r="AQ245" s="12">
        <v>3970</v>
      </c>
      <c r="AR245" s="12"/>
      <c r="AS245" s="12"/>
      <c r="AT245" s="12">
        <v>68</v>
      </c>
      <c r="AU245" s="12"/>
      <c r="AV245" s="12"/>
      <c r="AW245" s="12"/>
      <c r="AX245" s="12">
        <v>400</v>
      </c>
      <c r="AY245" s="12">
        <v>2000</v>
      </c>
      <c r="AZ245" s="12" t="s">
        <v>1036</v>
      </c>
      <c r="BA245" s="12" t="s">
        <v>102</v>
      </c>
      <c r="BB245" s="12" t="s">
        <v>102</v>
      </c>
      <c r="BC245" s="12" t="s">
        <v>101</v>
      </c>
      <c r="BD245" s="12" t="s">
        <v>102</v>
      </c>
      <c r="BE245" s="12" t="s">
        <v>101</v>
      </c>
      <c r="BF245" s="12" t="s">
        <v>118</v>
      </c>
      <c r="BG245" s="12" t="s">
        <v>729</v>
      </c>
      <c r="BH245" s="12" t="s">
        <v>105</v>
      </c>
      <c r="BI245" s="12">
        <v>14</v>
      </c>
      <c r="BJ245" s="12">
        <v>2</v>
      </c>
      <c r="BK245" s="12">
        <v>2</v>
      </c>
      <c r="BL245" s="12">
        <v>26</v>
      </c>
      <c r="BM245" s="12">
        <v>6</v>
      </c>
      <c r="BN245" s="12">
        <v>19</v>
      </c>
      <c r="BO245" s="12">
        <v>14</v>
      </c>
      <c r="BP245" s="12">
        <v>14</v>
      </c>
      <c r="BQ245" s="12">
        <v>2</v>
      </c>
      <c r="BR245" s="12">
        <v>26</v>
      </c>
      <c r="BS245" s="12">
        <v>6</v>
      </c>
      <c r="BT245" s="12">
        <v>19</v>
      </c>
      <c r="BX245" s="55">
        <v>130001</v>
      </c>
      <c r="BY245" s="8" t="s">
        <v>1003</v>
      </c>
      <c r="CD245" s="8">
        <v>118879</v>
      </c>
      <c r="CH245" s="8">
        <v>109687</v>
      </c>
      <c r="CI245" s="51"/>
      <c r="CJ245" s="8" t="b">
        <v>0</v>
      </c>
      <c r="CT245" s="8">
        <v>130191</v>
      </c>
    </row>
    <row r="246" spans="1:98" s="8" customFormat="1" x14ac:dyDescent="0.25">
      <c r="A246" s="13">
        <v>114495</v>
      </c>
      <c r="B246" s="9">
        <v>24</v>
      </c>
      <c r="C246" s="9" t="s">
        <v>1037</v>
      </c>
      <c r="D246" s="9" t="s">
        <v>94</v>
      </c>
      <c r="E246" s="9" t="s">
        <v>296</v>
      </c>
      <c r="F246" s="9"/>
      <c r="G246" s="33" t="str">
        <f>_xlfn.XLOOKUP(CT246,'Just Methods'!T:T,'Just Methods'!S:S)</f>
        <v xml:space="preserve"> 24" GMFL2+XYZ </v>
      </c>
      <c r="H246" s="47" t="str">
        <f>_xlfn.XLOOKUP(CT246,'Just Methods'!T:T,'Just Methods'!C:C)</f>
        <v>GMFL.XYZ.24</v>
      </c>
      <c r="I246" s="9" t="str">
        <f>_xlfn.XLOOKUP(H246,'Alternative Tool Body Sheet'!A:A,'Alternative Tool Body Sheet'!C:C)</f>
        <v>22/24 GMFL</v>
      </c>
      <c r="J246" s="9">
        <f t="shared" si="6"/>
        <v>5</v>
      </c>
      <c r="K246" s="9" t="s">
        <v>114</v>
      </c>
      <c r="L246" s="9">
        <v>24</v>
      </c>
      <c r="M246" s="9">
        <v>19.5</v>
      </c>
      <c r="N246" s="9">
        <v>18.75</v>
      </c>
      <c r="P246" s="9">
        <v>23</v>
      </c>
      <c r="Q246" s="9" t="s">
        <v>115</v>
      </c>
      <c r="R246" s="9">
        <v>23</v>
      </c>
      <c r="T246" s="9">
        <v>19.75</v>
      </c>
      <c r="U246" s="9" t="s">
        <v>116</v>
      </c>
      <c r="V246" s="9">
        <v>10</v>
      </c>
      <c r="W246" s="9">
        <v>10</v>
      </c>
      <c r="X246" s="9">
        <v>1</v>
      </c>
      <c r="Y246" s="9">
        <v>1</v>
      </c>
      <c r="Z246" s="9">
        <v>1</v>
      </c>
      <c r="AC246" s="9">
        <v>216</v>
      </c>
      <c r="AD246" s="9">
        <v>72</v>
      </c>
      <c r="AN246" s="9">
        <v>750</v>
      </c>
      <c r="AO246" s="9">
        <v>143</v>
      </c>
      <c r="AQ246" s="9">
        <v>1500</v>
      </c>
      <c r="AT246" s="9">
        <v>100</v>
      </c>
      <c r="AY246" s="9">
        <v>2000</v>
      </c>
      <c r="BA246" s="9" t="s">
        <v>102</v>
      </c>
      <c r="BB246" s="9" t="s">
        <v>101</v>
      </c>
      <c r="BC246" s="9" t="s">
        <v>101</v>
      </c>
      <c r="BD246" s="9" t="s">
        <v>102</v>
      </c>
      <c r="BE246" s="9" t="s">
        <v>102</v>
      </c>
      <c r="BF246" s="9" t="s">
        <v>126</v>
      </c>
      <c r="BG246" s="9" t="s">
        <v>126</v>
      </c>
      <c r="BH246" s="9" t="s">
        <v>105</v>
      </c>
      <c r="BI246" s="9">
        <v>12</v>
      </c>
      <c r="BJ246" s="9">
        <v>2</v>
      </c>
      <c r="BK246" s="9">
        <v>2</v>
      </c>
      <c r="BL246" s="9">
        <v>26</v>
      </c>
      <c r="BM246" s="9">
        <v>6</v>
      </c>
      <c r="BN246" s="9">
        <v>15</v>
      </c>
      <c r="BO246" s="9">
        <v>12</v>
      </c>
      <c r="BP246" s="9">
        <v>12</v>
      </c>
      <c r="BQ246" s="9">
        <v>2</v>
      </c>
      <c r="BR246" s="9">
        <v>26</v>
      </c>
      <c r="BS246" s="9">
        <v>6</v>
      </c>
      <c r="BT246" s="9">
        <v>15</v>
      </c>
      <c r="CI246" s="51" t="s">
        <v>973</v>
      </c>
      <c r="CJ246" s="8" t="b">
        <v>0</v>
      </c>
      <c r="CT246" s="8">
        <v>114495</v>
      </c>
    </row>
    <row r="247" spans="1:98" s="8" customFormat="1" x14ac:dyDescent="0.25">
      <c r="A247" s="13">
        <v>129307</v>
      </c>
      <c r="B247" s="9">
        <v>24</v>
      </c>
      <c r="C247" s="9" t="s">
        <v>1038</v>
      </c>
      <c r="D247" s="9" t="s">
        <v>121</v>
      </c>
      <c r="E247" s="9" t="s">
        <v>152</v>
      </c>
      <c r="F247" s="9"/>
      <c r="G247" s="33" t="str">
        <f>_xlfn.XLOOKUP(CT247,'Just Methods'!T:T,'Just Methods'!S:S)</f>
        <v xml:space="preserve"> 24" MDS FLEX MFL+DEF+XYZ </v>
      </c>
      <c r="H247" s="47" t="str">
        <f>_xlfn.XLOOKUP(CT247,'Just Methods'!T:T,'Just Methods'!C:C)</f>
        <v>FLEX.DEF.MFL.XYZ.24</v>
      </c>
      <c r="I247" s="9" t="str">
        <f>_xlfn.XLOOKUP(H247,'Alternative Tool Body Sheet'!A:A,'Alternative Tool Body Sheet'!C:C)</f>
        <v>24 MDS</v>
      </c>
      <c r="J247" s="9">
        <f t="shared" si="6"/>
        <v>7</v>
      </c>
      <c r="K247" s="9" t="s">
        <v>114</v>
      </c>
      <c r="L247" s="9">
        <v>24</v>
      </c>
      <c r="M247" s="9">
        <v>20.399999999999999</v>
      </c>
      <c r="Q247" s="9" t="s">
        <v>115</v>
      </c>
      <c r="R247" s="9">
        <v>21.6</v>
      </c>
      <c r="U247" s="9" t="s">
        <v>99</v>
      </c>
      <c r="V247" s="9">
        <v>10</v>
      </c>
      <c r="W247" s="9">
        <v>10</v>
      </c>
      <c r="X247" s="9">
        <v>0.59</v>
      </c>
      <c r="Y247" s="9">
        <v>1</v>
      </c>
      <c r="Z247" s="9">
        <v>0.65800000000000003</v>
      </c>
      <c r="AA247" s="9">
        <v>88</v>
      </c>
      <c r="AB247" s="9">
        <v>264</v>
      </c>
      <c r="AD247" s="9">
        <v>88</v>
      </c>
      <c r="AN247" s="9">
        <v>750</v>
      </c>
      <c r="AO247" s="9">
        <v>120</v>
      </c>
      <c r="AQ247" s="9">
        <v>1840</v>
      </c>
      <c r="AT247" s="9">
        <v>40</v>
      </c>
      <c r="AX247" s="9">
        <v>400</v>
      </c>
      <c r="AY247" s="9">
        <v>2000</v>
      </c>
      <c r="AZ247" s="9" t="s">
        <v>1039</v>
      </c>
      <c r="BA247" s="9" t="s">
        <v>102</v>
      </c>
      <c r="BB247" s="9" t="s">
        <v>101</v>
      </c>
      <c r="BC247" s="9" t="s">
        <v>101</v>
      </c>
      <c r="BD247" s="9" t="s">
        <v>101</v>
      </c>
      <c r="BE247" s="9" t="s">
        <v>102</v>
      </c>
      <c r="BF247" s="9" t="s">
        <v>118</v>
      </c>
      <c r="BG247" s="9" t="s">
        <v>118</v>
      </c>
      <c r="BH247" s="9" t="s">
        <v>105</v>
      </c>
      <c r="BI247" s="9">
        <v>10</v>
      </c>
      <c r="BJ247" s="9">
        <v>2</v>
      </c>
      <c r="BK247" s="9">
        <v>2</v>
      </c>
      <c r="BL247" s="9">
        <v>26</v>
      </c>
      <c r="BM247" s="9">
        <v>6</v>
      </c>
      <c r="BN247" s="9">
        <v>13</v>
      </c>
      <c r="BO247" s="9">
        <v>10</v>
      </c>
      <c r="BP247" s="9">
        <v>10</v>
      </c>
      <c r="BQ247" s="9">
        <v>2</v>
      </c>
      <c r="BR247" s="9">
        <v>26</v>
      </c>
      <c r="BS247" s="9">
        <v>6</v>
      </c>
      <c r="BT247" s="9">
        <v>13</v>
      </c>
      <c r="BX247" s="8">
        <v>110710</v>
      </c>
      <c r="BY247" s="8" t="s">
        <v>1003</v>
      </c>
      <c r="CI247" s="51"/>
      <c r="CJ247" s="8" t="b">
        <v>0</v>
      </c>
      <c r="CT247" s="8">
        <v>129307</v>
      </c>
    </row>
    <row r="248" spans="1:98" s="8" customFormat="1" x14ac:dyDescent="0.25">
      <c r="A248" s="24">
        <v>130193</v>
      </c>
      <c r="B248" s="12">
        <v>24</v>
      </c>
      <c r="C248" s="12" t="s">
        <v>1040</v>
      </c>
      <c r="D248" s="12" t="s">
        <v>121</v>
      </c>
      <c r="E248" s="12" t="s">
        <v>390</v>
      </c>
      <c r="F248" s="12"/>
      <c r="G248" s="33" t="str">
        <f>_xlfn.XLOOKUP(CT248,'Just Methods'!T:T,'Just Methods'!S:S)</f>
        <v xml:space="preserve"> 24" MDS FLEX DEF+LFM+ULTRA RES MFL+XYZ </v>
      </c>
      <c r="H248" s="47" t="str">
        <f>_xlfn.XLOOKUP(CT248,'Just Methods'!T:T,'Just Methods'!C:C)</f>
        <v>DEF.LFM.UMFL.24</v>
      </c>
      <c r="I248" s="9" t="str">
        <f>_xlfn.XLOOKUP(H248,'Alternative Tool Body Sheet'!A:A,'Alternative Tool Body Sheet'!C:C)</f>
        <v>24 MDS</v>
      </c>
      <c r="J248" s="12">
        <f t="shared" si="6"/>
        <v>7</v>
      </c>
      <c r="K248" s="12" t="s">
        <v>114</v>
      </c>
      <c r="L248" s="12">
        <v>24</v>
      </c>
      <c r="M248" s="12">
        <v>20.399999999999999</v>
      </c>
      <c r="N248" s="12">
        <v>15</v>
      </c>
      <c r="O248" s="12">
        <v>21.875</v>
      </c>
      <c r="P248" s="12">
        <v>23</v>
      </c>
      <c r="Q248" s="12" t="s">
        <v>115</v>
      </c>
      <c r="R248" s="12">
        <v>21.6</v>
      </c>
      <c r="S248" s="12"/>
      <c r="T248" s="12"/>
      <c r="U248" s="12" t="s">
        <v>99</v>
      </c>
      <c r="V248" s="12">
        <v>10</v>
      </c>
      <c r="W248" s="12">
        <v>10</v>
      </c>
      <c r="X248" s="12">
        <v>0.59</v>
      </c>
      <c r="Y248" s="12">
        <v>1</v>
      </c>
      <c r="Z248" s="12">
        <v>0.65800000000000003</v>
      </c>
      <c r="AA248" s="12">
        <v>88</v>
      </c>
      <c r="AB248" s="12"/>
      <c r="AC248" s="12"/>
      <c r="AD248" s="12">
        <v>88</v>
      </c>
      <c r="AE248" s="12"/>
      <c r="AF248" s="12">
        <v>264</v>
      </c>
      <c r="AG248" s="12"/>
      <c r="AH248" s="12">
        <v>528</v>
      </c>
      <c r="AI248" s="12"/>
      <c r="AJ248" s="12"/>
      <c r="AK248" s="12"/>
      <c r="AL248" s="12"/>
      <c r="AM248" s="12"/>
      <c r="AN248" s="12">
        <v>750</v>
      </c>
      <c r="AO248" s="12">
        <v>120</v>
      </c>
      <c r="AP248" s="12"/>
      <c r="AQ248" s="12">
        <v>2804</v>
      </c>
      <c r="AR248" s="12"/>
      <c r="AS248" s="12"/>
      <c r="AT248" s="12">
        <v>93</v>
      </c>
      <c r="AU248" s="12"/>
      <c r="AV248" s="12"/>
      <c r="AW248" s="12"/>
      <c r="AX248" s="12">
        <v>400</v>
      </c>
      <c r="AY248" s="12">
        <v>2000</v>
      </c>
      <c r="AZ248" s="12" t="s">
        <v>1041</v>
      </c>
      <c r="BA248" s="12" t="s">
        <v>102</v>
      </c>
      <c r="BB248" s="12" t="s">
        <v>102</v>
      </c>
      <c r="BC248" s="12" t="s">
        <v>101</v>
      </c>
      <c r="BD248" s="12" t="s">
        <v>102</v>
      </c>
      <c r="BE248" s="12" t="s">
        <v>101</v>
      </c>
      <c r="BF248" s="12" t="s">
        <v>118</v>
      </c>
      <c r="BG248" s="12" t="s">
        <v>1008</v>
      </c>
      <c r="BH248" s="12" t="s">
        <v>105</v>
      </c>
      <c r="BI248" s="12">
        <v>10</v>
      </c>
      <c r="BJ248" s="12">
        <v>2</v>
      </c>
      <c r="BK248" s="12">
        <v>2</v>
      </c>
      <c r="BL248" s="12">
        <v>26</v>
      </c>
      <c r="BM248" s="12">
        <v>6</v>
      </c>
      <c r="BN248" s="12">
        <v>13</v>
      </c>
      <c r="BO248" s="12">
        <v>10</v>
      </c>
      <c r="BP248" s="12">
        <v>10</v>
      </c>
      <c r="BQ248" s="12">
        <v>2</v>
      </c>
      <c r="BR248" s="12">
        <v>26</v>
      </c>
      <c r="BS248" s="12">
        <v>6</v>
      </c>
      <c r="BT248" s="12">
        <v>13</v>
      </c>
      <c r="BX248" s="55">
        <v>130001</v>
      </c>
      <c r="BY248" s="8" t="s">
        <v>1003</v>
      </c>
      <c r="CH248" s="8">
        <v>109687</v>
      </c>
      <c r="CI248" s="51"/>
      <c r="CJ248" s="8" t="b">
        <v>0</v>
      </c>
      <c r="CT248" s="8">
        <v>130193</v>
      </c>
    </row>
    <row r="249" spans="1:98" s="8" customFormat="1" x14ac:dyDescent="0.25">
      <c r="A249" s="13">
        <v>109410</v>
      </c>
      <c r="B249" s="9">
        <v>24</v>
      </c>
      <c r="C249" s="9" t="s">
        <v>1042</v>
      </c>
      <c r="D249" s="9" t="s">
        <v>94</v>
      </c>
      <c r="E249" s="9" t="s">
        <v>95</v>
      </c>
      <c r="F249" s="9"/>
      <c r="G249" s="33" t="str">
        <f>_xlfn.XLOOKUP(CT249,'Just Methods'!T:T,'Just Methods'!S:S)</f>
        <v xml:space="preserve"> 24" DEF (20-24) (xHD) </v>
      </c>
      <c r="H249" s="47" t="str">
        <f>_xlfn.XLOOKUP(CT249,'Just Methods'!T:T,'Just Methods'!C:C)</f>
        <v>DEF.24</v>
      </c>
      <c r="I249" s="9" t="str">
        <f>_xlfn.XLOOKUP(H249,'Alternative Tool Body Sheet'!A:A,'Alternative Tool Body Sheet'!C:C)</f>
        <v>20/24 DEF</v>
      </c>
      <c r="J249" s="9">
        <f t="shared" si="6"/>
        <v>5</v>
      </c>
      <c r="K249" s="9" t="s">
        <v>114</v>
      </c>
      <c r="L249" s="9">
        <v>24</v>
      </c>
      <c r="M249" s="9">
        <v>18</v>
      </c>
      <c r="N249" s="9">
        <v>25</v>
      </c>
      <c r="P249" s="9">
        <v>23</v>
      </c>
      <c r="Q249" s="9" t="s">
        <v>115</v>
      </c>
      <c r="R249" s="9">
        <v>21.5</v>
      </c>
      <c r="T249" s="9">
        <v>18.25</v>
      </c>
      <c r="U249" s="9" t="s">
        <v>116</v>
      </c>
      <c r="V249" s="9">
        <v>15</v>
      </c>
      <c r="AA249" s="9">
        <v>48</v>
      </c>
      <c r="AN249" s="9">
        <v>750</v>
      </c>
      <c r="AO249" s="9">
        <v>96</v>
      </c>
      <c r="AQ249" s="9">
        <v>600</v>
      </c>
      <c r="AT249" s="9">
        <v>45</v>
      </c>
      <c r="AX249" s="9">
        <v>250</v>
      </c>
      <c r="AY249" s="9">
        <v>2000</v>
      </c>
      <c r="AZ249" s="9" t="s">
        <v>1043</v>
      </c>
      <c r="BA249" s="9" t="s">
        <v>102</v>
      </c>
      <c r="BB249" s="9" t="s">
        <v>102</v>
      </c>
      <c r="BC249" s="9" t="s">
        <v>102</v>
      </c>
      <c r="BD249" s="9" t="s">
        <v>102</v>
      </c>
      <c r="BE249" s="9" t="s">
        <v>102</v>
      </c>
      <c r="BF249" s="9" t="s">
        <v>919</v>
      </c>
      <c r="BG249" s="9" t="s">
        <v>920</v>
      </c>
      <c r="BH249" s="9" t="s">
        <v>105</v>
      </c>
      <c r="BI249" s="9">
        <v>8</v>
      </c>
      <c r="BJ249" s="9">
        <v>2</v>
      </c>
      <c r="BK249" s="9">
        <v>2</v>
      </c>
      <c r="BL249" s="9">
        <v>26</v>
      </c>
      <c r="BM249" s="9">
        <v>6</v>
      </c>
      <c r="BN249" s="9">
        <v>10</v>
      </c>
      <c r="BO249" s="9">
        <v>8</v>
      </c>
      <c r="BP249" s="9">
        <v>8</v>
      </c>
      <c r="BQ249" s="9">
        <v>2</v>
      </c>
      <c r="BR249" s="9">
        <v>26</v>
      </c>
      <c r="BS249" s="9">
        <v>6</v>
      </c>
      <c r="BT249" s="9">
        <v>10</v>
      </c>
      <c r="BY249" s="8">
        <v>102397</v>
      </c>
      <c r="CI249" s="51"/>
      <c r="CJ249" s="8" t="b">
        <v>0</v>
      </c>
      <c r="CT249" s="8">
        <v>109410</v>
      </c>
    </row>
    <row r="250" spans="1:98" s="8" customFormat="1" x14ac:dyDescent="0.25">
      <c r="A250" s="13">
        <v>122700</v>
      </c>
      <c r="B250" s="9">
        <v>26</v>
      </c>
      <c r="C250" s="9" t="s">
        <v>1044</v>
      </c>
      <c r="D250" s="9" t="s">
        <v>121</v>
      </c>
      <c r="E250" s="9" t="s">
        <v>331</v>
      </c>
      <c r="F250" s="9"/>
      <c r="G250" s="33" t="str">
        <f>_xlfn.XLOOKUP(CT250,'Just Methods'!T:T,'Just Methods'!S:S)</f>
        <v xml:space="preserve"> 26" MFL+DEF2+SMFL+XYZ+LFM </v>
      </c>
      <c r="H250" s="47" t="str">
        <f>_xlfn.XLOOKUP(CT250,'Just Methods'!T:T,'Just Methods'!C:C)</f>
        <v>DEF.LFM.MFL.SMFL.XYZ.26</v>
      </c>
      <c r="I250" s="9" t="str">
        <f>_xlfn.XLOOKUP(H250,'Alternative Tool Body Sheet'!A:A,'Alternative Tool Body Sheet'!C:C)</f>
        <v>26 MDS</v>
      </c>
      <c r="J250" s="9">
        <f t="shared" si="6"/>
        <v>7</v>
      </c>
      <c r="K250" s="9" t="s">
        <v>114</v>
      </c>
      <c r="L250" s="9">
        <v>26</v>
      </c>
      <c r="M250" s="9">
        <v>22.1</v>
      </c>
      <c r="P250" s="9">
        <v>24</v>
      </c>
      <c r="Q250" s="9" t="s">
        <v>115</v>
      </c>
      <c r="R250" s="9">
        <v>23.6</v>
      </c>
      <c r="U250" s="9" t="s">
        <v>99</v>
      </c>
      <c r="V250" s="9">
        <v>8.3000000000000007</v>
      </c>
      <c r="W250" s="9">
        <v>10</v>
      </c>
      <c r="X250" s="9">
        <v>0.5</v>
      </c>
      <c r="Y250" s="9">
        <v>1</v>
      </c>
      <c r="Z250" s="9">
        <v>0.5</v>
      </c>
      <c r="AA250" s="9">
        <v>96</v>
      </c>
      <c r="AD250" s="9">
        <v>96</v>
      </c>
      <c r="AF250" s="9">
        <v>288</v>
      </c>
      <c r="AH250" s="9">
        <v>288</v>
      </c>
      <c r="AJ250" s="9">
        <v>624</v>
      </c>
      <c r="AN250" s="9">
        <v>750</v>
      </c>
      <c r="AO250" s="9">
        <v>176</v>
      </c>
      <c r="AQ250" s="9">
        <v>3500</v>
      </c>
      <c r="AT250" s="9">
        <v>15</v>
      </c>
      <c r="AX250" s="9">
        <v>400</v>
      </c>
      <c r="AY250" s="9">
        <v>2000</v>
      </c>
      <c r="AZ250" s="9" t="s">
        <v>1045</v>
      </c>
      <c r="BA250" s="9" t="s">
        <v>102</v>
      </c>
      <c r="BB250" s="9" t="s">
        <v>102</v>
      </c>
      <c r="BC250" s="9" t="s">
        <v>102</v>
      </c>
      <c r="BD250" s="9" t="s">
        <v>102</v>
      </c>
      <c r="BE250" s="9" t="s">
        <v>102</v>
      </c>
      <c r="BF250" s="9" t="s">
        <v>118</v>
      </c>
      <c r="BG250" s="9" t="s">
        <v>118</v>
      </c>
      <c r="BH250" s="9" t="s">
        <v>105</v>
      </c>
      <c r="BI250" s="9">
        <v>15</v>
      </c>
      <c r="BJ250" s="9">
        <v>3</v>
      </c>
      <c r="BK250" s="9">
        <v>3</v>
      </c>
      <c r="BL250" s="9">
        <v>28</v>
      </c>
      <c r="BM250" s="9">
        <v>6</v>
      </c>
      <c r="BN250" s="9">
        <v>20</v>
      </c>
      <c r="BO250" s="9">
        <v>15</v>
      </c>
      <c r="BP250" s="9">
        <v>15</v>
      </c>
      <c r="BQ250" s="9">
        <v>3</v>
      </c>
      <c r="BR250" s="9">
        <v>28</v>
      </c>
      <c r="BS250" s="9">
        <v>6</v>
      </c>
      <c r="BT250" s="9">
        <v>20</v>
      </c>
      <c r="BX250" s="8">
        <v>110710</v>
      </c>
      <c r="BY250" s="8">
        <v>116188</v>
      </c>
      <c r="CD250" s="8">
        <v>118879</v>
      </c>
      <c r="CH250" s="8">
        <v>118962</v>
      </c>
      <c r="CI250" s="51"/>
      <c r="CJ250" s="8" t="b">
        <v>0</v>
      </c>
      <c r="CT250" s="8">
        <v>122700</v>
      </c>
    </row>
    <row r="251" spans="1:98" s="8" customFormat="1" x14ac:dyDescent="0.25">
      <c r="A251" s="13">
        <v>122703</v>
      </c>
      <c r="B251" s="9">
        <v>26</v>
      </c>
      <c r="C251" s="9" t="s">
        <v>1046</v>
      </c>
      <c r="D251" s="9" t="s">
        <v>121</v>
      </c>
      <c r="E251" s="9" t="s">
        <v>272</v>
      </c>
      <c r="F251" s="9"/>
      <c r="G251" s="33" t="str">
        <f>_xlfn.XLOOKUP(CT251,'Just Methods'!T:T,'Just Methods'!S:S)</f>
        <v xml:space="preserve"> 26" MDS FLEX MFL+DEF2+LFM </v>
      </c>
      <c r="H251" s="47" t="str">
        <f>_xlfn.XLOOKUP(CT251,'Just Methods'!T:T,'Just Methods'!C:C)</f>
        <v>FLEX.DEF.LFM.MFL.26</v>
      </c>
      <c r="I251" s="9" t="str">
        <f>_xlfn.XLOOKUP(H251,'Alternative Tool Body Sheet'!A:A,'Alternative Tool Body Sheet'!C:C)</f>
        <v>26 MDS</v>
      </c>
      <c r="J251" s="9">
        <f t="shared" si="6"/>
        <v>7</v>
      </c>
      <c r="K251" s="9" t="s">
        <v>114</v>
      </c>
      <c r="L251" s="9">
        <v>26</v>
      </c>
      <c r="M251" s="9">
        <v>22.1</v>
      </c>
      <c r="P251" s="9">
        <v>24</v>
      </c>
      <c r="Q251" s="9" t="s">
        <v>115</v>
      </c>
      <c r="R251" s="9">
        <v>23.6</v>
      </c>
      <c r="U251" s="9" t="s">
        <v>99</v>
      </c>
      <c r="V251" s="9">
        <v>10</v>
      </c>
      <c r="W251" s="9">
        <v>10</v>
      </c>
      <c r="X251" s="9">
        <v>0.5</v>
      </c>
      <c r="Y251" s="9">
        <v>1</v>
      </c>
      <c r="Z251" s="9">
        <v>0.5</v>
      </c>
      <c r="AA251" s="9">
        <v>96</v>
      </c>
      <c r="AB251" s="9">
        <v>288</v>
      </c>
      <c r="AD251" s="9">
        <v>96</v>
      </c>
      <c r="AF251" s="9">
        <v>288</v>
      </c>
      <c r="AN251" s="9">
        <v>750</v>
      </c>
      <c r="AO251" s="9">
        <v>132</v>
      </c>
      <c r="AQ251" s="9">
        <v>2250</v>
      </c>
      <c r="AT251" s="9">
        <v>294</v>
      </c>
      <c r="AX251" s="9">
        <v>400</v>
      </c>
      <c r="AY251" s="9">
        <v>2000</v>
      </c>
      <c r="AZ251" s="9" t="s">
        <v>1047</v>
      </c>
      <c r="BA251" s="9" t="s">
        <v>102</v>
      </c>
      <c r="BB251" s="9" t="s">
        <v>101</v>
      </c>
      <c r="BC251" s="9" t="s">
        <v>101</v>
      </c>
      <c r="BD251" s="9" t="s">
        <v>102</v>
      </c>
      <c r="BE251" s="9" t="s">
        <v>102</v>
      </c>
      <c r="BF251" s="9" t="s">
        <v>118</v>
      </c>
      <c r="BG251" s="9" t="s">
        <v>118</v>
      </c>
      <c r="BH251" s="9" t="s">
        <v>105</v>
      </c>
      <c r="BI251" s="9">
        <v>11</v>
      </c>
      <c r="BJ251" s="9">
        <v>3</v>
      </c>
      <c r="BK251" s="9">
        <v>3</v>
      </c>
      <c r="BL251" s="9">
        <v>28</v>
      </c>
      <c r="BM251" s="9">
        <v>6</v>
      </c>
      <c r="BN251" s="9">
        <v>14</v>
      </c>
      <c r="BO251" s="9">
        <v>11</v>
      </c>
      <c r="BP251" s="9">
        <v>11</v>
      </c>
      <c r="BQ251" s="9">
        <v>3</v>
      </c>
      <c r="BR251" s="9">
        <v>28</v>
      </c>
      <c r="BS251" s="9">
        <v>6</v>
      </c>
      <c r="BT251" s="9">
        <v>14</v>
      </c>
      <c r="BX251" s="8">
        <v>110710</v>
      </c>
      <c r="BY251" s="8">
        <v>116188</v>
      </c>
      <c r="CH251" s="8">
        <v>118962</v>
      </c>
      <c r="CI251" s="51"/>
      <c r="CJ251" s="8" t="b">
        <v>0</v>
      </c>
      <c r="CT251" s="8">
        <v>122703</v>
      </c>
    </row>
    <row r="252" spans="1:98" s="8" customFormat="1" x14ac:dyDescent="0.25">
      <c r="A252" s="13">
        <v>129308</v>
      </c>
      <c r="B252" s="9">
        <v>26</v>
      </c>
      <c r="C252" s="9" t="s">
        <v>1048</v>
      </c>
      <c r="D252" s="9" t="s">
        <v>121</v>
      </c>
      <c r="E252" s="9" t="s">
        <v>122</v>
      </c>
      <c r="F252" s="9"/>
      <c r="G252" s="33" t="str">
        <f>_xlfn.XLOOKUP(CT252,'Just Methods'!T:T,'Just Methods'!S:S)</f>
        <v xml:space="preserve"> 26" MDS FLEX MFL+DEF </v>
      </c>
      <c r="H252" s="47" t="str">
        <f>_xlfn.XLOOKUP(CT252,'Just Methods'!T:T,'Just Methods'!C:C)</f>
        <v>FLEX.DEF.MFL.26</v>
      </c>
      <c r="I252" s="9" t="str">
        <f>_xlfn.XLOOKUP(H252,'Alternative Tool Body Sheet'!A:A,'Alternative Tool Body Sheet'!C:C)</f>
        <v>26 MDS</v>
      </c>
      <c r="J252" s="9">
        <f t="shared" si="6"/>
        <v>7</v>
      </c>
      <c r="K252" s="9" t="s">
        <v>114</v>
      </c>
      <c r="L252" s="9">
        <v>26</v>
      </c>
      <c r="M252" s="9">
        <v>22.1</v>
      </c>
      <c r="Q252" s="9" t="s">
        <v>115</v>
      </c>
      <c r="R252" s="9">
        <v>23.6</v>
      </c>
      <c r="U252" s="9" t="s">
        <v>99</v>
      </c>
      <c r="V252" s="9">
        <v>10</v>
      </c>
      <c r="W252" s="9">
        <v>10</v>
      </c>
      <c r="X252" s="9">
        <v>0.5</v>
      </c>
      <c r="Y252" s="9">
        <v>1</v>
      </c>
      <c r="Z252" s="9">
        <v>0.5</v>
      </c>
      <c r="AA252" s="9">
        <v>96</v>
      </c>
      <c r="AB252" s="9">
        <v>288</v>
      </c>
      <c r="AD252" s="9">
        <v>96</v>
      </c>
      <c r="AN252" s="9">
        <v>750</v>
      </c>
      <c r="AO252" s="9">
        <v>132</v>
      </c>
      <c r="AQ252" s="9">
        <v>1923</v>
      </c>
      <c r="AT252" s="9">
        <v>237</v>
      </c>
      <c r="AX252" s="9">
        <v>400</v>
      </c>
      <c r="AY252" s="9">
        <v>2000</v>
      </c>
      <c r="AZ252" s="9" t="s">
        <v>1049</v>
      </c>
      <c r="BA252" s="9" t="s">
        <v>102</v>
      </c>
      <c r="BB252" s="9" t="s">
        <v>101</v>
      </c>
      <c r="BC252" s="9" t="s">
        <v>101</v>
      </c>
      <c r="BD252" s="9" t="s">
        <v>101</v>
      </c>
      <c r="BE252" s="9" t="s">
        <v>102</v>
      </c>
      <c r="BF252" s="9" t="s">
        <v>118</v>
      </c>
      <c r="BG252" s="9" t="s">
        <v>118</v>
      </c>
      <c r="BH252" s="9" t="s">
        <v>105</v>
      </c>
      <c r="BI252" s="9">
        <v>11</v>
      </c>
      <c r="BJ252" s="9">
        <v>3</v>
      </c>
      <c r="BK252" s="9">
        <v>3</v>
      </c>
      <c r="BL252" s="9">
        <v>28</v>
      </c>
      <c r="BM252" s="9">
        <v>6</v>
      </c>
      <c r="BN252" s="9">
        <v>14</v>
      </c>
      <c r="BO252" s="9">
        <v>11</v>
      </c>
      <c r="BP252" s="9">
        <v>11</v>
      </c>
      <c r="BQ252" s="9">
        <v>3</v>
      </c>
      <c r="BR252" s="9">
        <v>28</v>
      </c>
      <c r="BS252" s="9">
        <v>6</v>
      </c>
      <c r="BT252" s="9">
        <v>14</v>
      </c>
      <c r="BX252" s="8">
        <v>110710</v>
      </c>
      <c r="BY252" s="8">
        <v>116188</v>
      </c>
      <c r="CI252" s="51"/>
      <c r="CJ252" s="8" t="b">
        <v>0</v>
      </c>
      <c r="CT252" s="8">
        <v>129308</v>
      </c>
    </row>
    <row r="253" spans="1:98" s="8" customFormat="1" x14ac:dyDescent="0.25">
      <c r="A253" s="13">
        <v>122701</v>
      </c>
      <c r="B253" s="9">
        <v>26</v>
      </c>
      <c r="C253" s="9" t="s">
        <v>1050</v>
      </c>
      <c r="D253" s="9" t="s">
        <v>121</v>
      </c>
      <c r="E253" s="9" t="s">
        <v>301</v>
      </c>
      <c r="F253" s="9"/>
      <c r="G253" s="33" t="str">
        <f>_xlfn.XLOOKUP(CT253,'Just Methods'!T:T,'Just Methods'!S:S)</f>
        <v xml:space="preserve"> 26" MFL+DEF2+SMFL+LFM </v>
      </c>
      <c r="H253" s="47" t="str">
        <f>_xlfn.XLOOKUP(CT253,'Just Methods'!T:T,'Just Methods'!C:C)</f>
        <v>DEF.LFM.MFL.SMFL.26</v>
      </c>
      <c r="I253" s="9" t="str">
        <f>_xlfn.XLOOKUP(H253,'Alternative Tool Body Sheet'!A:A,'Alternative Tool Body Sheet'!C:C)</f>
        <v>26 MDS</v>
      </c>
      <c r="J253" s="9">
        <f t="shared" ref="J253:J315" si="7">IF(ISNUMBER(SEARCH("Legacy",D253)),5,
IF(OR(ISNUMBER(SEARCH("MDS",D253)),ISNUMBER(SEARCH("EMAT",D253))),7,""))</f>
        <v>7</v>
      </c>
      <c r="K253" s="9" t="s">
        <v>114</v>
      </c>
      <c r="L253" s="9">
        <v>26</v>
      </c>
      <c r="M253" s="9">
        <v>22.1</v>
      </c>
      <c r="P253" s="9">
        <v>24</v>
      </c>
      <c r="Q253" s="9" t="s">
        <v>115</v>
      </c>
      <c r="R253" s="9">
        <v>23.6</v>
      </c>
      <c r="U253" s="9" t="s">
        <v>99</v>
      </c>
      <c r="V253" s="9">
        <v>10</v>
      </c>
      <c r="W253" s="9">
        <v>10</v>
      </c>
      <c r="X253" s="9">
        <v>0.5</v>
      </c>
      <c r="Y253" s="9">
        <v>1</v>
      </c>
      <c r="Z253" s="9">
        <v>0.5</v>
      </c>
      <c r="AA253" s="9">
        <v>96</v>
      </c>
      <c r="AD253" s="9">
        <v>96</v>
      </c>
      <c r="AF253" s="9">
        <v>288</v>
      </c>
      <c r="AH253" s="9">
        <v>288</v>
      </c>
      <c r="AJ253" s="9">
        <v>624</v>
      </c>
      <c r="AN253" s="9">
        <v>750</v>
      </c>
      <c r="AO253" s="9">
        <v>176</v>
      </c>
      <c r="AQ253" s="9">
        <v>3500</v>
      </c>
      <c r="AT253" s="9">
        <v>237</v>
      </c>
      <c r="AX253" s="9">
        <v>400</v>
      </c>
      <c r="AY253" s="9">
        <v>2000</v>
      </c>
      <c r="AZ253" s="9" t="s">
        <v>1051</v>
      </c>
      <c r="BA253" s="9" t="s">
        <v>102</v>
      </c>
      <c r="BB253" s="9" t="s">
        <v>102</v>
      </c>
      <c r="BC253" s="9" t="s">
        <v>102</v>
      </c>
      <c r="BD253" s="9" t="s">
        <v>102</v>
      </c>
      <c r="BE253" s="9" t="s">
        <v>102</v>
      </c>
      <c r="BF253" s="9" t="s">
        <v>118</v>
      </c>
      <c r="BG253" s="9" t="s">
        <v>118</v>
      </c>
      <c r="BH253" s="9" t="s">
        <v>105</v>
      </c>
      <c r="BI253" s="9">
        <v>15</v>
      </c>
      <c r="BJ253" s="9">
        <v>3</v>
      </c>
      <c r="BK253" s="9">
        <v>3</v>
      </c>
      <c r="BL253" s="9">
        <v>28</v>
      </c>
      <c r="BM253" s="9">
        <v>6</v>
      </c>
      <c r="BN253" s="9">
        <v>20</v>
      </c>
      <c r="BO253" s="9">
        <v>15</v>
      </c>
      <c r="BP253" s="9">
        <v>15</v>
      </c>
      <c r="BQ253" s="9">
        <v>3</v>
      </c>
      <c r="BR253" s="9">
        <v>28</v>
      </c>
      <c r="BS253" s="9">
        <v>6</v>
      </c>
      <c r="BT253" s="9">
        <v>20</v>
      </c>
      <c r="BX253" s="8">
        <v>110710</v>
      </c>
      <c r="BY253" s="8">
        <v>116188</v>
      </c>
      <c r="CD253" s="8">
        <v>118879</v>
      </c>
      <c r="CH253" s="8">
        <v>118962</v>
      </c>
      <c r="CI253" s="51"/>
      <c r="CJ253" s="8" t="b">
        <v>0</v>
      </c>
      <c r="CT253" s="8">
        <v>122701</v>
      </c>
    </row>
    <row r="254" spans="1:98" s="8" customFormat="1" x14ac:dyDescent="0.25">
      <c r="A254" s="13">
        <v>110251</v>
      </c>
      <c r="B254" s="9">
        <v>26</v>
      </c>
      <c r="C254" s="9" t="s">
        <v>1052</v>
      </c>
      <c r="D254" s="9" t="s">
        <v>94</v>
      </c>
      <c r="E254" s="9" t="s">
        <v>258</v>
      </c>
      <c r="F254" s="9"/>
      <c r="G254" s="33" t="str">
        <f>_xlfn.XLOOKUP(CT254,'Just Methods'!T:T,'Just Methods'!S:S)</f>
        <v xml:space="preserve"> 26" GMFL (xHD) </v>
      </c>
      <c r="H254" s="47" t="str">
        <f>_xlfn.XLOOKUP(CT254,'Just Methods'!T:T,'Just Methods'!C:C)</f>
        <v>GMFL.26</v>
      </c>
      <c r="I254" s="9" t="str">
        <f>_xlfn.XLOOKUP(H254,'Alternative Tool Body Sheet'!A:A,'Alternative Tool Body Sheet'!C:C)</f>
        <v>26 GMFL</v>
      </c>
      <c r="J254" s="9">
        <f t="shared" si="7"/>
        <v>5</v>
      </c>
      <c r="K254" s="9" t="s">
        <v>114</v>
      </c>
      <c r="L254" s="9">
        <v>26</v>
      </c>
      <c r="M254" s="9">
        <v>19.5</v>
      </c>
      <c r="N254" s="9">
        <v>25</v>
      </c>
      <c r="P254" s="9">
        <v>24</v>
      </c>
      <c r="Q254" s="9" t="s">
        <v>115</v>
      </c>
      <c r="R254" s="9">
        <v>24</v>
      </c>
      <c r="S254" s="9">
        <v>21</v>
      </c>
      <c r="T254" s="9">
        <v>20</v>
      </c>
      <c r="V254" s="9">
        <v>10</v>
      </c>
      <c r="W254" s="9">
        <v>10</v>
      </c>
      <c r="X254" s="9">
        <v>0.68799999999999994</v>
      </c>
      <c r="Y254" s="9">
        <v>1</v>
      </c>
      <c r="Z254" s="9">
        <v>0.68799999999999994</v>
      </c>
      <c r="AC254" s="9">
        <v>234</v>
      </c>
      <c r="AD254" s="9">
        <v>78</v>
      </c>
      <c r="AN254" s="9">
        <v>750</v>
      </c>
      <c r="AO254" s="9">
        <v>97</v>
      </c>
      <c r="AQ254" s="9">
        <v>1420</v>
      </c>
      <c r="AS254" s="9">
        <v>142</v>
      </c>
      <c r="AT254" s="9">
        <v>29</v>
      </c>
      <c r="AV254" s="9">
        <v>20.3</v>
      </c>
      <c r="AW254" s="9">
        <v>1.69</v>
      </c>
      <c r="AX254" s="9">
        <v>250</v>
      </c>
      <c r="AY254" s="9">
        <v>2000</v>
      </c>
      <c r="AZ254" s="9" t="s">
        <v>1053</v>
      </c>
      <c r="BA254" s="9" t="s">
        <v>102</v>
      </c>
      <c r="BB254" s="9" t="s">
        <v>101</v>
      </c>
      <c r="BC254" s="9" t="s">
        <v>101</v>
      </c>
      <c r="BD254" s="9" t="s">
        <v>102</v>
      </c>
      <c r="BE254" s="9" t="s">
        <v>102</v>
      </c>
      <c r="BF254" s="9" t="s">
        <v>118</v>
      </c>
      <c r="BG254" s="9" t="s">
        <v>1054</v>
      </c>
      <c r="BH254" s="9" t="s">
        <v>105</v>
      </c>
      <c r="BI254" s="9">
        <v>9</v>
      </c>
      <c r="BJ254" s="9">
        <v>3</v>
      </c>
      <c r="BK254" s="9">
        <v>3</v>
      </c>
      <c r="BL254" s="9">
        <v>28</v>
      </c>
      <c r="BM254" s="9">
        <v>6</v>
      </c>
      <c r="BN254" s="9">
        <v>12</v>
      </c>
      <c r="BO254" s="9">
        <v>9</v>
      </c>
      <c r="BP254" s="9">
        <v>9</v>
      </c>
      <c r="BQ254" s="9">
        <v>3</v>
      </c>
      <c r="BR254" s="9">
        <v>28</v>
      </c>
      <c r="BS254" s="9">
        <v>6</v>
      </c>
      <c r="BT254" s="9">
        <v>12</v>
      </c>
      <c r="CI254" s="51" t="s">
        <v>1055</v>
      </c>
      <c r="CJ254" s="8" t="b">
        <v>0</v>
      </c>
      <c r="CT254" s="8">
        <v>110251</v>
      </c>
    </row>
    <row r="255" spans="1:98" s="8" customFormat="1" x14ac:dyDescent="0.25">
      <c r="A255" s="13">
        <v>129309</v>
      </c>
      <c r="B255" s="9">
        <v>26</v>
      </c>
      <c r="C255" s="9" t="s">
        <v>1056</v>
      </c>
      <c r="D255" s="9" t="s">
        <v>121</v>
      </c>
      <c r="E255" s="9" t="s">
        <v>152</v>
      </c>
      <c r="F255" s="9"/>
      <c r="G255" s="33" t="str">
        <f>_xlfn.XLOOKUP(CT255,'Just Methods'!T:T,'Just Methods'!S:S)</f>
        <v xml:space="preserve"> 26" MDS FLEX MFL+DEF+XYZ </v>
      </c>
      <c r="H255" s="47" t="str">
        <f>_xlfn.XLOOKUP(CT255,'Just Methods'!T:T,'Just Methods'!C:C)</f>
        <v>FLEX.DEF.MFL.XYZ.26</v>
      </c>
      <c r="I255" s="9" t="str">
        <f>_xlfn.XLOOKUP(H255,'Alternative Tool Body Sheet'!A:A,'Alternative Tool Body Sheet'!C:C)</f>
        <v>26 MDS</v>
      </c>
      <c r="J255" s="9">
        <f t="shared" si="7"/>
        <v>7</v>
      </c>
      <c r="K255" s="9" t="s">
        <v>114</v>
      </c>
      <c r="L255" s="9">
        <v>26</v>
      </c>
      <c r="M255" s="9">
        <v>22.1</v>
      </c>
      <c r="Q255" s="9" t="s">
        <v>115</v>
      </c>
      <c r="R255" s="9">
        <v>23.6</v>
      </c>
      <c r="U255" s="9" t="s">
        <v>99</v>
      </c>
      <c r="V255" s="9">
        <v>10</v>
      </c>
      <c r="W255" s="9">
        <v>10</v>
      </c>
      <c r="X255" s="9">
        <v>0.5</v>
      </c>
      <c r="Y255" s="9">
        <v>1</v>
      </c>
      <c r="Z255" s="9">
        <v>0.5</v>
      </c>
      <c r="AA255" s="9">
        <v>96</v>
      </c>
      <c r="AB255" s="9">
        <v>288</v>
      </c>
      <c r="AD255" s="9">
        <v>96</v>
      </c>
      <c r="AN255" s="9">
        <v>750</v>
      </c>
      <c r="AO255" s="9">
        <v>132</v>
      </c>
      <c r="AQ255" s="9">
        <v>1877</v>
      </c>
      <c r="AT255" s="9">
        <v>15</v>
      </c>
      <c r="AX255" s="9">
        <v>400</v>
      </c>
      <c r="AY255" s="9">
        <v>2000</v>
      </c>
      <c r="AZ255" s="9" t="s">
        <v>1057</v>
      </c>
      <c r="BA255" s="9" t="s">
        <v>102</v>
      </c>
      <c r="BB255" s="9" t="s">
        <v>101</v>
      </c>
      <c r="BC255" s="9" t="s">
        <v>101</v>
      </c>
      <c r="BD255" s="9" t="s">
        <v>101</v>
      </c>
      <c r="BE255" s="9" t="s">
        <v>102</v>
      </c>
      <c r="BF255" s="9" t="s">
        <v>118</v>
      </c>
      <c r="BG255" s="9" t="s">
        <v>118</v>
      </c>
      <c r="BH255" s="9" t="s">
        <v>105</v>
      </c>
      <c r="BI255" s="9">
        <v>11</v>
      </c>
      <c r="BJ255" s="9">
        <v>3</v>
      </c>
      <c r="BK255" s="9">
        <v>3</v>
      </c>
      <c r="BL255" s="9">
        <v>28</v>
      </c>
      <c r="BM255" s="9">
        <v>6</v>
      </c>
      <c r="BN255" s="9">
        <v>14</v>
      </c>
      <c r="BO255" s="9">
        <v>11</v>
      </c>
      <c r="BP255" s="9">
        <v>11</v>
      </c>
      <c r="BQ255" s="9">
        <v>3</v>
      </c>
      <c r="BR255" s="9">
        <v>28</v>
      </c>
      <c r="BS255" s="9">
        <v>6</v>
      </c>
      <c r="BT255" s="9">
        <v>14</v>
      </c>
      <c r="BX255" s="8">
        <v>110710</v>
      </c>
      <c r="BY255" s="8">
        <v>116188</v>
      </c>
      <c r="CI255" s="51"/>
      <c r="CJ255" s="8" t="b">
        <v>0</v>
      </c>
      <c r="CT255" s="8">
        <v>129309</v>
      </c>
    </row>
    <row r="256" spans="1:98" s="8" customFormat="1" x14ac:dyDescent="0.25">
      <c r="A256" s="13">
        <v>114879</v>
      </c>
      <c r="B256" s="9">
        <v>26</v>
      </c>
      <c r="C256" s="9" t="s">
        <v>1058</v>
      </c>
      <c r="D256" s="9" t="s">
        <v>94</v>
      </c>
      <c r="E256" s="9" t="s">
        <v>194</v>
      </c>
      <c r="F256" s="9"/>
      <c r="G256" s="33" t="str">
        <f>_xlfn.XLOOKUP(CT256,'Just Methods'!T:T,'Just Methods'!S:S)</f>
        <v xml:space="preserve"> 26" DEF+XYZ (xHD) </v>
      </c>
      <c r="H256" s="47" t="str">
        <f>_xlfn.XLOOKUP(CT256,'Just Methods'!T:T,'Just Methods'!C:C)</f>
        <v>DEF.XYZ.26</v>
      </c>
      <c r="I256" s="9" t="str">
        <f>_xlfn.XLOOKUP(H256,'Alternative Tool Body Sheet'!A:A,'Alternative Tool Body Sheet'!C:C)</f>
        <v>26/30 DEF</v>
      </c>
      <c r="J256" s="9">
        <f t="shared" si="7"/>
        <v>5</v>
      </c>
      <c r="K256" s="9" t="s">
        <v>114</v>
      </c>
      <c r="L256" s="9">
        <v>26</v>
      </c>
      <c r="M256" s="9">
        <v>19.5</v>
      </c>
      <c r="N256" s="9">
        <v>25</v>
      </c>
      <c r="P256" s="9">
        <v>24</v>
      </c>
      <c r="Q256" s="9" t="s">
        <v>115</v>
      </c>
      <c r="R256" s="9">
        <v>23.5</v>
      </c>
      <c r="T256" s="9">
        <v>19.75</v>
      </c>
      <c r="U256" s="9" t="s">
        <v>116</v>
      </c>
      <c r="V256" s="9">
        <v>15</v>
      </c>
      <c r="AA256" s="9">
        <v>65</v>
      </c>
      <c r="AN256" s="9">
        <v>750</v>
      </c>
      <c r="AO256" s="9">
        <v>98</v>
      </c>
      <c r="AQ256" s="9">
        <v>745</v>
      </c>
      <c r="AS256" s="9">
        <v>0</v>
      </c>
      <c r="AT256" s="9">
        <v>25</v>
      </c>
      <c r="AX256" s="9">
        <v>250</v>
      </c>
      <c r="AY256" s="9">
        <v>2000</v>
      </c>
      <c r="AZ256" s="9" t="s">
        <v>1059</v>
      </c>
      <c r="BA256" s="9" t="s">
        <v>102</v>
      </c>
      <c r="BB256" s="9" t="s">
        <v>101</v>
      </c>
      <c r="BC256" s="9" t="s">
        <v>101</v>
      </c>
      <c r="BD256" s="9" t="s">
        <v>102</v>
      </c>
      <c r="BE256" s="9" t="s">
        <v>102</v>
      </c>
      <c r="BF256" s="9" t="s">
        <v>1060</v>
      </c>
      <c r="BG256" s="9" t="s">
        <v>1054</v>
      </c>
      <c r="BH256" s="9" t="s">
        <v>105</v>
      </c>
      <c r="BI256" s="9">
        <v>9</v>
      </c>
      <c r="BJ256" s="9">
        <v>3</v>
      </c>
      <c r="BK256" s="9">
        <v>3</v>
      </c>
      <c r="BL256" s="9">
        <v>28</v>
      </c>
      <c r="BM256" s="9">
        <v>6</v>
      </c>
      <c r="BN256" s="9">
        <v>12</v>
      </c>
      <c r="BO256" s="9">
        <v>9</v>
      </c>
      <c r="BP256" s="9">
        <v>9</v>
      </c>
      <c r="BQ256" s="9">
        <v>3</v>
      </c>
      <c r="BR256" s="9">
        <v>28</v>
      </c>
      <c r="BS256" s="9">
        <v>6</v>
      </c>
      <c r="BT256" s="9">
        <v>12</v>
      </c>
      <c r="BY256" s="8">
        <v>110887</v>
      </c>
      <c r="CI256" s="51"/>
      <c r="CJ256" s="8" t="b">
        <v>0</v>
      </c>
      <c r="CT256" s="8">
        <v>114879</v>
      </c>
    </row>
    <row r="257" spans="1:98" s="8" customFormat="1" x14ac:dyDescent="0.25">
      <c r="A257" s="13">
        <v>124832</v>
      </c>
      <c r="B257" s="9">
        <v>26</v>
      </c>
      <c r="C257" s="9" t="s">
        <v>1061</v>
      </c>
      <c r="D257" s="9" t="s">
        <v>94</v>
      </c>
      <c r="E257" s="9" t="s">
        <v>95</v>
      </c>
      <c r="F257" s="9"/>
      <c r="G257" s="33" t="str">
        <f>_xlfn.XLOOKUP(CT257,'Just Methods'!T:T,'Just Methods'!S:S)</f>
        <v xml:space="preserve"> 26" DEF (Single Body) </v>
      </c>
      <c r="H257" s="47" t="str">
        <f>_xlfn.XLOOKUP(CT257,'Just Methods'!T:T,'Just Methods'!C:C)</f>
        <v>DEF.26</v>
      </c>
      <c r="I257" s="9" t="str">
        <f>_xlfn.XLOOKUP(H257,'Alternative Tool Body Sheet'!A:A,'Alternative Tool Body Sheet'!C:C)</f>
        <v>26/30 DEF</v>
      </c>
      <c r="J257" s="9">
        <f t="shared" si="7"/>
        <v>5</v>
      </c>
      <c r="K257" s="9" t="s">
        <v>114</v>
      </c>
      <c r="L257" s="9">
        <v>26</v>
      </c>
      <c r="M257" s="9">
        <v>19.5</v>
      </c>
      <c r="N257" s="9">
        <v>25</v>
      </c>
      <c r="P257" s="9">
        <v>27</v>
      </c>
      <c r="Q257" s="9" t="s">
        <v>115</v>
      </c>
      <c r="R257" s="9">
        <v>23.5</v>
      </c>
      <c r="S257" s="9">
        <v>21.75</v>
      </c>
      <c r="T257" s="9">
        <v>21</v>
      </c>
      <c r="U257" s="9" t="s">
        <v>116</v>
      </c>
      <c r="V257" s="9">
        <v>15</v>
      </c>
      <c r="AA257" s="9">
        <v>65</v>
      </c>
      <c r="AN257" s="9">
        <v>750</v>
      </c>
      <c r="AO257" s="9">
        <v>52</v>
      </c>
      <c r="AQ257" s="9">
        <v>500</v>
      </c>
      <c r="AT257" s="9">
        <v>50</v>
      </c>
      <c r="AV257" s="9">
        <v>8.6</v>
      </c>
      <c r="AW257" s="9">
        <v>0.72</v>
      </c>
      <c r="AX257" s="9">
        <v>200</v>
      </c>
      <c r="AY257" s="9">
        <v>2000</v>
      </c>
      <c r="AZ257" s="9" t="s">
        <v>1062</v>
      </c>
      <c r="BA257" s="9" t="s">
        <v>102</v>
      </c>
      <c r="BB257" s="9" t="s">
        <v>101</v>
      </c>
      <c r="BC257" s="9" t="s">
        <v>101</v>
      </c>
      <c r="BD257" s="9" t="s">
        <v>102</v>
      </c>
      <c r="BE257" s="9" t="s">
        <v>102</v>
      </c>
      <c r="BF257" s="9" t="s">
        <v>118</v>
      </c>
      <c r="BG257" s="9" t="s">
        <v>118</v>
      </c>
      <c r="BH257" s="9" t="s">
        <v>105</v>
      </c>
      <c r="BI257" s="9">
        <v>4</v>
      </c>
      <c r="BJ257" s="9">
        <v>3</v>
      </c>
      <c r="BK257" s="9">
        <v>3</v>
      </c>
      <c r="BL257" s="9">
        <v>32</v>
      </c>
      <c r="BM257" s="9">
        <v>6</v>
      </c>
      <c r="BN257" s="9">
        <v>6</v>
      </c>
      <c r="BO257" s="9">
        <v>4</v>
      </c>
      <c r="BP257" s="9">
        <v>4</v>
      </c>
      <c r="BQ257" s="9">
        <v>3</v>
      </c>
      <c r="BR257" s="9">
        <v>32</v>
      </c>
      <c r="BS257" s="9">
        <v>6</v>
      </c>
      <c r="BT257" s="9">
        <v>6</v>
      </c>
      <c r="BY257" s="8">
        <v>110887</v>
      </c>
      <c r="CI257" s="51"/>
      <c r="CJ257" s="8" t="b">
        <v>0</v>
      </c>
      <c r="CT257" s="8">
        <v>124832</v>
      </c>
    </row>
    <row r="258" spans="1:98" s="8" customFormat="1" x14ac:dyDescent="0.25">
      <c r="A258" s="13">
        <v>120816</v>
      </c>
      <c r="B258" s="9">
        <v>26</v>
      </c>
      <c r="C258" s="9" t="s">
        <v>1063</v>
      </c>
      <c r="D258" s="9" t="s">
        <v>94</v>
      </c>
      <c r="E258" s="9" t="s">
        <v>349</v>
      </c>
      <c r="F258" s="9"/>
      <c r="G258" s="33" t="str">
        <f>_xlfn.XLOOKUP(CT258,'Just Methods'!T:T,'Just Methods'!S:S)</f>
        <v xml:space="preserve"> 26" GMFL+DEF (xHD) </v>
      </c>
      <c r="H258" s="47" t="str">
        <f>_xlfn.XLOOKUP(CT258,'Just Methods'!T:T,'Just Methods'!C:C)</f>
        <v>DEF.GMFL.26</v>
      </c>
      <c r="I258" s="9" t="str">
        <f>_xlfn.XLOOKUP(H258,'Alternative Tool Body Sheet'!A:A,'Alternative Tool Body Sheet'!C:C)</f>
        <v>26 GMFL</v>
      </c>
      <c r="J258" s="9">
        <f t="shared" si="7"/>
        <v>5</v>
      </c>
      <c r="K258" s="9" t="s">
        <v>114</v>
      </c>
      <c r="L258" s="9">
        <v>26</v>
      </c>
      <c r="M258" s="9">
        <v>19.5</v>
      </c>
      <c r="P258" s="9">
        <v>24</v>
      </c>
      <c r="Q258" s="9" t="s">
        <v>115</v>
      </c>
      <c r="R258" s="9">
        <v>24</v>
      </c>
      <c r="V258" s="9">
        <v>10</v>
      </c>
      <c r="W258" s="9">
        <v>10</v>
      </c>
      <c r="X258" s="9">
        <v>0.68799999999999994</v>
      </c>
      <c r="Y258" s="9">
        <v>1</v>
      </c>
      <c r="Z258" s="9">
        <v>0.68799999999999994</v>
      </c>
      <c r="AA258" s="9">
        <v>65</v>
      </c>
      <c r="AC258" s="9">
        <v>234</v>
      </c>
      <c r="AD258" s="9">
        <v>78</v>
      </c>
      <c r="AN258" s="9">
        <v>750</v>
      </c>
      <c r="AO258" s="9">
        <v>157</v>
      </c>
      <c r="AQ258" s="9">
        <v>1980</v>
      </c>
      <c r="AT258" s="9">
        <v>104</v>
      </c>
      <c r="AX258" s="9">
        <v>250</v>
      </c>
      <c r="AY258" s="9">
        <v>2000</v>
      </c>
      <c r="AZ258" s="9" t="s">
        <v>1064</v>
      </c>
      <c r="BA258" s="9" t="s">
        <v>102</v>
      </c>
      <c r="BB258" s="9" t="s">
        <v>101</v>
      </c>
      <c r="BC258" s="9" t="s">
        <v>101</v>
      </c>
      <c r="BD258" s="9" t="s">
        <v>102</v>
      </c>
      <c r="BE258" s="9" t="s">
        <v>102</v>
      </c>
      <c r="BF258" s="9" t="s">
        <v>118</v>
      </c>
      <c r="BG258" s="9" t="s">
        <v>118</v>
      </c>
      <c r="BH258" s="9" t="s">
        <v>105</v>
      </c>
      <c r="BI258" s="9">
        <v>14</v>
      </c>
      <c r="BJ258" s="9">
        <v>3</v>
      </c>
      <c r="BK258" s="9">
        <v>3</v>
      </c>
      <c r="BL258" s="9">
        <v>28</v>
      </c>
      <c r="BM258" s="9">
        <v>6</v>
      </c>
      <c r="BN258" s="9">
        <v>19</v>
      </c>
      <c r="BO258" s="9">
        <v>14</v>
      </c>
      <c r="BP258" s="9">
        <v>14</v>
      </c>
      <c r="BQ258" s="9">
        <v>3</v>
      </c>
      <c r="BR258" s="9">
        <v>28</v>
      </c>
      <c r="BS258" s="9">
        <v>6</v>
      </c>
      <c r="BT258" s="9">
        <v>19</v>
      </c>
      <c r="BY258" s="8">
        <v>110887</v>
      </c>
      <c r="CI258" s="51" t="s">
        <v>1055</v>
      </c>
      <c r="CJ258" s="8" t="b">
        <v>0</v>
      </c>
      <c r="CT258" s="8">
        <v>120816</v>
      </c>
    </row>
    <row r="259" spans="1:98" s="8" customFormat="1" x14ac:dyDescent="0.25">
      <c r="A259" s="13">
        <v>110890</v>
      </c>
      <c r="B259" s="9">
        <v>26</v>
      </c>
      <c r="C259" s="9" t="s">
        <v>1065</v>
      </c>
      <c r="D259" s="9" t="s">
        <v>94</v>
      </c>
      <c r="E259" s="9" t="s">
        <v>95</v>
      </c>
      <c r="F259" s="9"/>
      <c r="G259" s="33" t="str">
        <f>_xlfn.XLOOKUP(CT259,'Just Methods'!T:T,'Just Methods'!S:S)</f>
        <v xml:space="preserve"> 26" DEF (26-30) (xHD) </v>
      </c>
      <c r="H259" s="47" t="str">
        <f>_xlfn.XLOOKUP(CT259,'Just Methods'!T:T,'Just Methods'!C:C)</f>
        <v>DEF.26</v>
      </c>
      <c r="I259" s="9" t="str">
        <f>_xlfn.XLOOKUP(H259,'Alternative Tool Body Sheet'!A:A,'Alternative Tool Body Sheet'!C:C)</f>
        <v>26/30 DEF</v>
      </c>
      <c r="J259" s="9">
        <f t="shared" si="7"/>
        <v>5</v>
      </c>
      <c r="K259" s="9" t="s">
        <v>114</v>
      </c>
      <c r="L259" s="9">
        <v>26</v>
      </c>
      <c r="M259" s="9">
        <v>19.5</v>
      </c>
      <c r="N259" s="9">
        <v>25</v>
      </c>
      <c r="P259" s="9">
        <v>24</v>
      </c>
      <c r="Q259" s="9" t="s">
        <v>115</v>
      </c>
      <c r="R259" s="9">
        <v>23.5</v>
      </c>
      <c r="T259" s="9">
        <v>19.75</v>
      </c>
      <c r="U259" s="9" t="s">
        <v>116</v>
      </c>
      <c r="V259" s="9">
        <v>15</v>
      </c>
      <c r="AA259" s="9">
        <v>65</v>
      </c>
      <c r="AN259" s="9">
        <v>750</v>
      </c>
      <c r="AO259" s="9">
        <v>99</v>
      </c>
      <c r="AQ259" s="9">
        <v>720</v>
      </c>
      <c r="AT259" s="9">
        <v>56</v>
      </c>
      <c r="AX259" s="9">
        <v>250</v>
      </c>
      <c r="AY259" s="9">
        <v>2000</v>
      </c>
      <c r="AZ259" s="9" t="s">
        <v>1066</v>
      </c>
      <c r="BA259" s="9" t="s">
        <v>102</v>
      </c>
      <c r="BB259" s="9" t="s">
        <v>102</v>
      </c>
      <c r="BC259" s="9" t="s">
        <v>102</v>
      </c>
      <c r="BD259" s="9" t="s">
        <v>102</v>
      </c>
      <c r="BE259" s="9" t="s">
        <v>102</v>
      </c>
      <c r="BF259" s="9" t="s">
        <v>1060</v>
      </c>
      <c r="BG259" s="9" t="s">
        <v>1054</v>
      </c>
      <c r="BH259" s="9" t="s">
        <v>105</v>
      </c>
      <c r="BI259" s="9">
        <v>9</v>
      </c>
      <c r="BJ259" s="9">
        <v>3</v>
      </c>
      <c r="BK259" s="9">
        <v>3</v>
      </c>
      <c r="BL259" s="9">
        <v>28</v>
      </c>
      <c r="BM259" s="9">
        <v>6</v>
      </c>
      <c r="BN259" s="9">
        <v>12</v>
      </c>
      <c r="BO259" s="9">
        <v>9</v>
      </c>
      <c r="BP259" s="9">
        <v>9</v>
      </c>
      <c r="BQ259" s="9">
        <v>3</v>
      </c>
      <c r="BR259" s="9">
        <v>28</v>
      </c>
      <c r="BS259" s="9">
        <v>6</v>
      </c>
      <c r="BT259" s="9">
        <v>12</v>
      </c>
      <c r="BY259" s="8">
        <v>110887</v>
      </c>
      <c r="CI259" s="51"/>
      <c r="CJ259" s="8" t="b">
        <v>0</v>
      </c>
      <c r="CT259" s="8">
        <v>110890</v>
      </c>
    </row>
    <row r="260" spans="1:98" s="8" customFormat="1" x14ac:dyDescent="0.25">
      <c r="A260" s="13">
        <v>122702</v>
      </c>
      <c r="B260" s="9">
        <v>26</v>
      </c>
      <c r="C260" s="9" t="s">
        <v>1067</v>
      </c>
      <c r="D260" s="9" t="s">
        <v>121</v>
      </c>
      <c r="E260" s="9" t="s">
        <v>410</v>
      </c>
      <c r="F260" s="9"/>
      <c r="G260" s="33" t="str">
        <f>_xlfn.XLOOKUP(CT260,'Just Methods'!T:T,'Just Methods'!S:S)</f>
        <v xml:space="preserve"> 26" MDS FLEX MFL+DEF2+XYZ+LFM </v>
      </c>
      <c r="H260" s="47" t="str">
        <f>_xlfn.XLOOKUP(CT260,'Just Methods'!T:T,'Just Methods'!C:C)</f>
        <v>FLEXDEFLFMMFLXYZ.26</v>
      </c>
      <c r="I260" s="9" t="s">
        <v>1068</v>
      </c>
      <c r="J260" s="9">
        <f t="shared" si="7"/>
        <v>7</v>
      </c>
      <c r="K260" s="9" t="s">
        <v>114</v>
      </c>
      <c r="L260" s="9">
        <v>26</v>
      </c>
      <c r="M260" s="9">
        <v>22.1</v>
      </c>
      <c r="P260" s="9">
        <v>24</v>
      </c>
      <c r="Q260" s="9" t="s">
        <v>115</v>
      </c>
      <c r="R260" s="9">
        <v>23.6</v>
      </c>
      <c r="U260" s="9" t="s">
        <v>99</v>
      </c>
      <c r="V260" s="9">
        <v>10</v>
      </c>
      <c r="W260" s="9">
        <v>10</v>
      </c>
      <c r="X260" s="9">
        <v>0.5</v>
      </c>
      <c r="Y260" s="9">
        <v>1</v>
      </c>
      <c r="Z260" s="9">
        <v>0.5</v>
      </c>
      <c r="AA260" s="9">
        <v>96</v>
      </c>
      <c r="AB260" s="9">
        <v>288</v>
      </c>
      <c r="AD260" s="9">
        <v>96</v>
      </c>
      <c r="AF260" s="9">
        <v>288</v>
      </c>
      <c r="AN260" s="9">
        <v>750</v>
      </c>
      <c r="AO260" s="9">
        <v>132</v>
      </c>
      <c r="AQ260" s="9">
        <v>2250</v>
      </c>
      <c r="AT260" s="9">
        <v>16</v>
      </c>
      <c r="AX260" s="9">
        <v>400</v>
      </c>
      <c r="AY260" s="9">
        <v>2000</v>
      </c>
      <c r="AZ260" s="9" t="s">
        <v>1069</v>
      </c>
      <c r="BA260" s="9" t="s">
        <v>102</v>
      </c>
      <c r="BB260" s="9" t="s">
        <v>101</v>
      </c>
      <c r="BC260" s="9" t="s">
        <v>101</v>
      </c>
      <c r="BD260" s="9" t="s">
        <v>102</v>
      </c>
      <c r="BE260" s="9" t="s">
        <v>102</v>
      </c>
      <c r="BF260" s="9" t="s">
        <v>118</v>
      </c>
      <c r="BG260" s="9" t="s">
        <v>118</v>
      </c>
      <c r="BH260" s="9" t="s">
        <v>105</v>
      </c>
      <c r="BI260" s="9">
        <v>11</v>
      </c>
      <c r="BJ260" s="9">
        <v>3</v>
      </c>
      <c r="BK260" s="9">
        <v>3</v>
      </c>
      <c r="BL260" s="9">
        <v>28</v>
      </c>
      <c r="BM260" s="9">
        <v>6</v>
      </c>
      <c r="BN260" s="9">
        <v>14</v>
      </c>
      <c r="BO260" s="9">
        <v>11</v>
      </c>
      <c r="BP260" s="9">
        <v>11</v>
      </c>
      <c r="BQ260" s="9">
        <v>3</v>
      </c>
      <c r="BR260" s="9">
        <v>28</v>
      </c>
      <c r="BS260" s="9">
        <v>6</v>
      </c>
      <c r="BT260" s="9">
        <v>14</v>
      </c>
      <c r="BX260" s="8">
        <v>110710</v>
      </c>
      <c r="BY260" s="8">
        <v>116188</v>
      </c>
      <c r="CH260" s="8">
        <v>118962</v>
      </c>
      <c r="CI260" s="51"/>
      <c r="CJ260" s="8" t="b">
        <v>0</v>
      </c>
      <c r="CT260" s="8">
        <v>122702</v>
      </c>
    </row>
    <row r="261" spans="1:98" s="8" customFormat="1" x14ac:dyDescent="0.25">
      <c r="A261" s="13">
        <v>114433</v>
      </c>
      <c r="B261" s="9">
        <v>26</v>
      </c>
      <c r="C261" s="9" t="s">
        <v>1070</v>
      </c>
      <c r="D261" s="9" t="s">
        <v>94</v>
      </c>
      <c r="E261" s="9" t="s">
        <v>421</v>
      </c>
      <c r="F261" s="9"/>
      <c r="G261" s="33" t="str">
        <f>_xlfn.XLOOKUP(CT261,'Just Methods'!T:T,'Just Methods'!S:S)</f>
        <v xml:space="preserve"> 26" GMFL+DEF+XYZ (xHD) </v>
      </c>
      <c r="H261" s="47" t="str">
        <f>_xlfn.XLOOKUP(CT261,'Just Methods'!T:T,'Just Methods'!C:C)</f>
        <v>DEF.GMFL.XYZ.26</v>
      </c>
      <c r="I261" s="9" t="str">
        <f>_xlfn.XLOOKUP(H261,'Alternative Tool Body Sheet'!A:A,'Alternative Tool Body Sheet'!C:C)</f>
        <v>26 GMFL</v>
      </c>
      <c r="J261" s="9">
        <f t="shared" si="7"/>
        <v>5</v>
      </c>
      <c r="K261" s="9" t="s">
        <v>114</v>
      </c>
      <c r="L261" s="9">
        <v>26</v>
      </c>
      <c r="M261" s="9">
        <v>19.5</v>
      </c>
      <c r="N261" s="9">
        <v>25</v>
      </c>
      <c r="P261" s="9">
        <v>24</v>
      </c>
      <c r="Q261" s="9" t="s">
        <v>115</v>
      </c>
      <c r="R261" s="9">
        <v>24</v>
      </c>
      <c r="T261" s="9">
        <v>19.75</v>
      </c>
      <c r="U261" s="9" t="s">
        <v>116</v>
      </c>
      <c r="V261" s="9">
        <v>10</v>
      </c>
      <c r="W261" s="9">
        <v>10</v>
      </c>
      <c r="X261" s="9">
        <v>0.68799999999999994</v>
      </c>
      <c r="Y261" s="9">
        <v>1</v>
      </c>
      <c r="Z261" s="9">
        <v>0.68799999999999994</v>
      </c>
      <c r="AA261" s="9">
        <v>65</v>
      </c>
      <c r="AC261" s="9">
        <v>234</v>
      </c>
      <c r="AD261" s="9">
        <v>78</v>
      </c>
      <c r="AN261" s="9">
        <v>750</v>
      </c>
      <c r="AO261" s="9">
        <v>157</v>
      </c>
      <c r="AQ261" s="9">
        <v>2000</v>
      </c>
      <c r="AS261" s="9">
        <v>0</v>
      </c>
      <c r="AT261" s="9">
        <v>0</v>
      </c>
      <c r="AY261" s="9">
        <v>2000</v>
      </c>
      <c r="BA261" s="9" t="s">
        <v>102</v>
      </c>
      <c r="BB261" s="9" t="s">
        <v>101</v>
      </c>
      <c r="BC261" s="9" t="s">
        <v>101</v>
      </c>
      <c r="BD261" s="9" t="s">
        <v>102</v>
      </c>
      <c r="BE261" s="9" t="s">
        <v>102</v>
      </c>
      <c r="BF261" s="9" t="s">
        <v>126</v>
      </c>
      <c r="BG261" s="9" t="s">
        <v>126</v>
      </c>
      <c r="BH261" s="9" t="s">
        <v>105</v>
      </c>
      <c r="BI261" s="9">
        <v>14</v>
      </c>
      <c r="BJ261" s="9">
        <v>3</v>
      </c>
      <c r="BK261" s="9">
        <v>3</v>
      </c>
      <c r="BL261" s="9">
        <v>28</v>
      </c>
      <c r="BM261" s="9">
        <v>6</v>
      </c>
      <c r="BN261" s="9">
        <v>19</v>
      </c>
      <c r="BO261" s="9">
        <v>14</v>
      </c>
      <c r="BP261" s="9">
        <v>14</v>
      </c>
      <c r="BQ261" s="9">
        <v>3</v>
      </c>
      <c r="BR261" s="9">
        <v>28</v>
      </c>
      <c r="BS261" s="9">
        <v>6</v>
      </c>
      <c r="BT261" s="9">
        <v>19</v>
      </c>
      <c r="BY261" s="8">
        <v>110887</v>
      </c>
      <c r="CI261" s="51" t="s">
        <v>1055</v>
      </c>
      <c r="CJ261" s="8" t="b">
        <v>0</v>
      </c>
      <c r="CT261" s="8">
        <v>114433</v>
      </c>
    </row>
    <row r="262" spans="1:98" s="8" customFormat="1" x14ac:dyDescent="0.25">
      <c r="A262" s="13">
        <v>113608</v>
      </c>
      <c r="B262" s="9">
        <v>28</v>
      </c>
      <c r="C262" s="9" t="s">
        <v>1071</v>
      </c>
      <c r="D262" s="9" t="s">
        <v>94</v>
      </c>
      <c r="E262" s="9" t="s">
        <v>258</v>
      </c>
      <c r="F262" s="9"/>
      <c r="G262" s="33" t="str">
        <f>_xlfn.XLOOKUP(CT262,'Just Methods'!T:T,'Just Methods'!S:S)</f>
        <v xml:space="preserve"> 28" GMFL ATEX </v>
      </c>
      <c r="H262" s="47" t="str">
        <f>_xlfn.XLOOKUP(CT262,'Just Methods'!T:T,'Just Methods'!C:C)</f>
        <v>GMFL.28</v>
      </c>
      <c r="I262" s="9" t="str">
        <f>_xlfn.XLOOKUP(H262,'Alternative Tool Body Sheet'!A:A,'Alternative Tool Body Sheet'!C:C)</f>
        <v>28/30 GMFL</v>
      </c>
      <c r="J262" s="9">
        <f t="shared" si="7"/>
        <v>5</v>
      </c>
      <c r="K262" s="9" t="s">
        <v>114</v>
      </c>
      <c r="L262" s="9">
        <v>28</v>
      </c>
      <c r="M262" s="9">
        <v>22.5</v>
      </c>
      <c r="N262" s="9">
        <v>19.64</v>
      </c>
      <c r="P262" s="9">
        <v>25.5</v>
      </c>
      <c r="Q262" s="9" t="s">
        <v>115</v>
      </c>
      <c r="R262" s="9">
        <v>25.5</v>
      </c>
      <c r="T262" s="9">
        <v>22.75</v>
      </c>
      <c r="U262" s="9" t="s">
        <v>116</v>
      </c>
      <c r="V262" s="9">
        <v>10</v>
      </c>
      <c r="W262" s="9">
        <v>10</v>
      </c>
      <c r="X262" s="9">
        <v>0.81200000000000006</v>
      </c>
      <c r="Y262" s="9">
        <v>1</v>
      </c>
      <c r="Z262" s="9">
        <v>0.81200000000000006</v>
      </c>
      <c r="AC262" s="9">
        <v>270</v>
      </c>
      <c r="AD262" s="9">
        <v>90</v>
      </c>
      <c r="AN262" s="9">
        <v>750</v>
      </c>
      <c r="AO262" s="9">
        <v>108</v>
      </c>
      <c r="AQ262" s="9">
        <v>1788</v>
      </c>
      <c r="AT262" s="9">
        <v>72</v>
      </c>
      <c r="AV262" s="9">
        <v>21.5</v>
      </c>
      <c r="AW262" s="9">
        <v>1.79</v>
      </c>
      <c r="AX262" s="9">
        <v>200</v>
      </c>
      <c r="AY262" s="9">
        <v>2000</v>
      </c>
      <c r="AZ262" s="9" t="s">
        <v>1072</v>
      </c>
      <c r="BA262" s="9" t="s">
        <v>102</v>
      </c>
      <c r="BB262" s="9" t="s">
        <v>101</v>
      </c>
      <c r="BC262" s="9" t="s">
        <v>101</v>
      </c>
      <c r="BD262" s="9" t="s">
        <v>102</v>
      </c>
      <c r="BE262" s="9" t="s">
        <v>102</v>
      </c>
      <c r="BF262" s="9" t="s">
        <v>126</v>
      </c>
      <c r="BG262" s="9" t="s">
        <v>1073</v>
      </c>
      <c r="BH262" s="9" t="s">
        <v>105</v>
      </c>
      <c r="BI262" s="9">
        <v>9</v>
      </c>
      <c r="BJ262" s="9">
        <v>3</v>
      </c>
      <c r="BK262" s="9">
        <v>3</v>
      </c>
      <c r="BL262" s="9">
        <v>30</v>
      </c>
      <c r="BM262" s="9">
        <v>6</v>
      </c>
      <c r="BN262" s="9">
        <v>12</v>
      </c>
      <c r="BO262" s="9">
        <v>9</v>
      </c>
      <c r="BP262" s="9">
        <v>9</v>
      </c>
      <c r="BQ262" s="9">
        <v>3</v>
      </c>
      <c r="BR262" s="9">
        <v>30</v>
      </c>
      <c r="BS262" s="9">
        <v>6</v>
      </c>
      <c r="BT262" s="9">
        <v>12</v>
      </c>
      <c r="CI262" s="51">
        <v>109360</v>
      </c>
      <c r="CJ262" s="8" t="b">
        <v>0</v>
      </c>
      <c r="CT262" s="8">
        <v>113608</v>
      </c>
    </row>
    <row r="263" spans="1:98" s="8" customFormat="1" x14ac:dyDescent="0.25">
      <c r="A263" s="13">
        <v>113574</v>
      </c>
      <c r="B263" s="9">
        <v>28</v>
      </c>
      <c r="C263" s="9" t="s">
        <v>1074</v>
      </c>
      <c r="D263" s="9" t="s">
        <v>94</v>
      </c>
      <c r="E263" s="9" t="s">
        <v>194</v>
      </c>
      <c r="F263" s="9"/>
      <c r="G263" s="33" t="str">
        <f>_xlfn.XLOOKUP(CT263,'Just Methods'!T:T,'Just Methods'!S:S)</f>
        <v xml:space="preserve"> 28" DEF+XYZ (xHD) </v>
      </c>
      <c r="H263" s="47" t="str">
        <f>_xlfn.XLOOKUP(CT263,'Just Methods'!T:T,'Just Methods'!C:C)</f>
        <v>DEF.XYZ.28</v>
      </c>
      <c r="I263" s="9" t="str">
        <f>_xlfn.XLOOKUP(H263,'Alternative Tool Body Sheet'!A:A,'Alternative Tool Body Sheet'!C:C)</f>
        <v>26/30 DEF</v>
      </c>
      <c r="J263" s="9">
        <f t="shared" si="7"/>
        <v>5</v>
      </c>
      <c r="K263" s="9" t="s">
        <v>114</v>
      </c>
      <c r="L263" s="9">
        <v>28</v>
      </c>
      <c r="M263" s="9">
        <v>21</v>
      </c>
      <c r="N263" s="9">
        <v>25</v>
      </c>
      <c r="P263" s="9">
        <v>25.5</v>
      </c>
      <c r="Q263" s="9" t="s">
        <v>115</v>
      </c>
      <c r="R263" s="9">
        <v>25.5</v>
      </c>
      <c r="T263" s="9">
        <v>21.25</v>
      </c>
      <c r="U263" s="9" t="s">
        <v>116</v>
      </c>
      <c r="V263" s="9">
        <v>15</v>
      </c>
      <c r="AA263" s="9">
        <v>65</v>
      </c>
      <c r="AN263" s="9">
        <v>750</v>
      </c>
      <c r="AO263" s="9">
        <v>100</v>
      </c>
      <c r="AQ263" s="9">
        <v>775</v>
      </c>
      <c r="AT263" s="9">
        <v>56</v>
      </c>
      <c r="AV263" s="9">
        <v>20.6</v>
      </c>
      <c r="AW263" s="9">
        <v>1.72</v>
      </c>
      <c r="AX263" s="9">
        <v>200</v>
      </c>
      <c r="AY263" s="9">
        <v>2000</v>
      </c>
      <c r="AZ263" s="9" t="s">
        <v>1075</v>
      </c>
      <c r="BA263" s="9" t="s">
        <v>102</v>
      </c>
      <c r="BB263" s="9" t="s">
        <v>101</v>
      </c>
      <c r="BC263" s="9" t="s">
        <v>101</v>
      </c>
      <c r="BD263" s="9" t="s">
        <v>102</v>
      </c>
      <c r="BE263" s="9" t="s">
        <v>102</v>
      </c>
      <c r="BF263" s="9" t="s">
        <v>1060</v>
      </c>
      <c r="BG263" s="9" t="s">
        <v>1054</v>
      </c>
      <c r="BH263" s="9" t="s">
        <v>105</v>
      </c>
      <c r="BI263" s="9">
        <v>9</v>
      </c>
      <c r="BJ263" s="9">
        <v>3</v>
      </c>
      <c r="BK263" s="9">
        <v>3</v>
      </c>
      <c r="BL263" s="9">
        <v>30</v>
      </c>
      <c r="BM263" s="9">
        <v>6</v>
      </c>
      <c r="BN263" s="9">
        <v>12</v>
      </c>
      <c r="BO263" s="9">
        <v>9</v>
      </c>
      <c r="BP263" s="9">
        <v>9</v>
      </c>
      <c r="BQ263" s="9">
        <v>3</v>
      </c>
      <c r="BR263" s="9">
        <v>30</v>
      </c>
      <c r="BS263" s="9">
        <v>6</v>
      </c>
      <c r="BT263" s="9">
        <v>12</v>
      </c>
      <c r="BY263" s="8">
        <v>110887</v>
      </c>
      <c r="CI263" s="51"/>
      <c r="CJ263" s="8" t="b">
        <v>0</v>
      </c>
      <c r="CT263" s="8">
        <v>113574</v>
      </c>
    </row>
    <row r="264" spans="1:98" s="8" customFormat="1" x14ac:dyDescent="0.25">
      <c r="A264" s="13">
        <v>114420</v>
      </c>
      <c r="B264" s="9">
        <v>28</v>
      </c>
      <c r="C264" s="9" t="s">
        <v>1076</v>
      </c>
      <c r="D264" s="9" t="s">
        <v>94</v>
      </c>
      <c r="E264" s="9" t="s">
        <v>421</v>
      </c>
      <c r="F264" s="9"/>
      <c r="G264" s="33" t="str">
        <f>_xlfn.XLOOKUP(CT264,'Just Methods'!T:T,'Just Methods'!S:S)</f>
        <v xml:space="preserve"> 28" GMFL+DEF+XYZ (xHD) </v>
      </c>
      <c r="H264" s="47" t="str">
        <f>_xlfn.XLOOKUP(CT264,'Just Methods'!T:T,'Just Methods'!C:C)</f>
        <v>DEF.GMFL.XYZ.28</v>
      </c>
      <c r="I264" s="9" t="str">
        <f>_xlfn.XLOOKUP(H264,'Alternative Tool Body Sheet'!A:A,'Alternative Tool Body Sheet'!C:C)</f>
        <v>26/30 DEF</v>
      </c>
      <c r="J264" s="9">
        <f t="shared" si="7"/>
        <v>5</v>
      </c>
      <c r="K264" s="9" t="s">
        <v>114</v>
      </c>
      <c r="L264" s="9">
        <v>28</v>
      </c>
      <c r="M264" s="9">
        <v>22.5</v>
      </c>
      <c r="N264" s="9">
        <v>19.64</v>
      </c>
      <c r="P264" s="9">
        <v>25.5</v>
      </c>
      <c r="Q264" s="9" t="s">
        <v>115</v>
      </c>
      <c r="R264" s="9">
        <v>25.5</v>
      </c>
      <c r="T264" s="9">
        <v>22.75</v>
      </c>
      <c r="U264" s="9" t="s">
        <v>116</v>
      </c>
      <c r="V264" s="9">
        <v>10</v>
      </c>
      <c r="W264" s="9">
        <v>10</v>
      </c>
      <c r="X264" s="9">
        <v>0.81200000000000006</v>
      </c>
      <c r="Y264" s="9">
        <v>1</v>
      </c>
      <c r="Z264" s="9">
        <v>0.81200000000000006</v>
      </c>
      <c r="AA264" s="9">
        <v>65</v>
      </c>
      <c r="AC264" s="9">
        <v>270</v>
      </c>
      <c r="AD264" s="9">
        <v>90</v>
      </c>
      <c r="AN264" s="9">
        <v>750</v>
      </c>
      <c r="AO264" s="9">
        <v>167</v>
      </c>
      <c r="AQ264" s="9">
        <v>2275</v>
      </c>
      <c r="AS264" s="9">
        <v>0</v>
      </c>
      <c r="AT264" s="9">
        <v>168</v>
      </c>
      <c r="AV264" s="9">
        <v>21.5</v>
      </c>
      <c r="AW264" s="9">
        <v>1.79</v>
      </c>
      <c r="AX264" s="9">
        <v>200</v>
      </c>
      <c r="AY264" s="9">
        <v>2000</v>
      </c>
      <c r="AZ264" s="9" t="s">
        <v>1077</v>
      </c>
      <c r="BA264" s="9" t="s">
        <v>102</v>
      </c>
      <c r="BB264" s="9" t="s">
        <v>101</v>
      </c>
      <c r="BC264" s="9" t="s">
        <v>101</v>
      </c>
      <c r="BD264" s="9" t="s">
        <v>102</v>
      </c>
      <c r="BE264" s="9" t="s">
        <v>102</v>
      </c>
      <c r="BF264" s="9" t="s">
        <v>126</v>
      </c>
      <c r="BG264" s="9" t="s">
        <v>1073</v>
      </c>
      <c r="BH264" s="9" t="s">
        <v>105</v>
      </c>
      <c r="BI264" s="9">
        <v>14</v>
      </c>
      <c r="BJ264" s="9">
        <v>3</v>
      </c>
      <c r="BK264" s="9">
        <v>3</v>
      </c>
      <c r="BL264" s="9">
        <v>30</v>
      </c>
      <c r="BM264" s="9">
        <v>6</v>
      </c>
      <c r="BN264" s="9">
        <v>19</v>
      </c>
      <c r="BO264" s="9">
        <v>14</v>
      </c>
      <c r="BP264" s="9">
        <v>14</v>
      </c>
      <c r="BQ264" s="9">
        <v>3</v>
      </c>
      <c r="BR264" s="9">
        <v>30</v>
      </c>
      <c r="BS264" s="9">
        <v>6</v>
      </c>
      <c r="BT264" s="9">
        <v>19</v>
      </c>
      <c r="BY264" s="8">
        <v>110887</v>
      </c>
      <c r="CI264" s="51">
        <v>109360</v>
      </c>
      <c r="CJ264" s="8" t="b">
        <v>0</v>
      </c>
      <c r="CT264" s="8">
        <v>114420</v>
      </c>
    </row>
    <row r="265" spans="1:98" s="8" customFormat="1" x14ac:dyDescent="0.25">
      <c r="A265" s="23">
        <v>130200</v>
      </c>
      <c r="B265" s="11">
        <v>30</v>
      </c>
      <c r="C265" s="11" t="s">
        <v>1078</v>
      </c>
      <c r="D265" s="11" t="s">
        <v>121</v>
      </c>
      <c r="E265" s="11" t="s">
        <v>212</v>
      </c>
      <c r="F265" s="11"/>
      <c r="G265" s="33" t="str">
        <f>_xlfn.XLOOKUP(CT265,'Just Methods'!T:T,'Just Methods'!S:S)</f>
        <v xml:space="preserve"> 30" MDS FLEX DEF+ULTRA RES MFL+XYZ </v>
      </c>
      <c r="H265" s="47" t="str">
        <f>_xlfn.XLOOKUP(CT265,'Just Methods'!T:T,'Just Methods'!C:C)</f>
        <v>DEF.UMFL.XYZ.30</v>
      </c>
      <c r="I265" s="9" t="str">
        <f>_xlfn.XLOOKUP(H265,'Alternative Tool Body Sheet'!A:A,'Alternative Tool Body Sheet'!C:C)</f>
        <v>30 MDS</v>
      </c>
      <c r="J265" s="11">
        <f t="shared" si="7"/>
        <v>7</v>
      </c>
      <c r="K265" s="11" t="s">
        <v>114</v>
      </c>
      <c r="L265" s="11">
        <v>30</v>
      </c>
      <c r="M265" s="11">
        <v>25.5</v>
      </c>
      <c r="N265" s="11"/>
      <c r="O265" s="11"/>
      <c r="P265" s="11"/>
      <c r="Q265" s="11" t="s">
        <v>115</v>
      </c>
      <c r="R265" s="11">
        <v>27</v>
      </c>
      <c r="S265" s="11"/>
      <c r="T265" s="11"/>
      <c r="U265" s="11" t="s">
        <v>99</v>
      </c>
      <c r="V265" s="11">
        <v>10</v>
      </c>
      <c r="W265" s="11">
        <v>10</v>
      </c>
      <c r="X265" s="11">
        <v>1</v>
      </c>
      <c r="Y265" s="11">
        <v>1</v>
      </c>
      <c r="Z265" s="11">
        <v>1.0880000000000001</v>
      </c>
      <c r="AA265" s="11">
        <v>112</v>
      </c>
      <c r="AB265" s="11"/>
      <c r="AC265" s="11"/>
      <c r="AD265" s="11">
        <v>112</v>
      </c>
      <c r="AE265" s="11"/>
      <c r="AF265" s="11"/>
      <c r="AG265" s="11"/>
      <c r="AH265" s="11">
        <v>672</v>
      </c>
      <c r="AI265" s="11"/>
      <c r="AJ265" s="11"/>
      <c r="AK265" s="11"/>
      <c r="AL265" s="11"/>
      <c r="AM265" s="11"/>
      <c r="AN265" s="11">
        <v>750</v>
      </c>
      <c r="AO265" s="11">
        <v>150</v>
      </c>
      <c r="AP265" s="11"/>
      <c r="AQ265" s="11">
        <v>3537</v>
      </c>
      <c r="AR265" s="11"/>
      <c r="AS265" s="11"/>
      <c r="AT265" s="11">
        <v>54</v>
      </c>
      <c r="AU265" s="11"/>
      <c r="AV265" s="11"/>
      <c r="AW265" s="11"/>
      <c r="AX265" s="11">
        <v>400</v>
      </c>
      <c r="AY265" s="11">
        <v>2000</v>
      </c>
      <c r="AZ265" s="11" t="s">
        <v>1079</v>
      </c>
      <c r="BA265" s="11" t="s">
        <v>102</v>
      </c>
      <c r="BB265" s="11" t="s">
        <v>101</v>
      </c>
      <c r="BC265" s="11" t="s">
        <v>101</v>
      </c>
      <c r="BD265" s="11" t="s">
        <v>101</v>
      </c>
      <c r="BE265" s="11" t="s">
        <v>102</v>
      </c>
      <c r="BF265" s="11" t="s">
        <v>118</v>
      </c>
      <c r="BG265" s="11" t="s">
        <v>118</v>
      </c>
      <c r="BH265" s="11" t="s">
        <v>105</v>
      </c>
      <c r="BI265" s="11">
        <v>13</v>
      </c>
      <c r="BJ265" s="11">
        <v>3</v>
      </c>
      <c r="BK265" s="11">
        <v>3</v>
      </c>
      <c r="BL265" s="11">
        <v>32</v>
      </c>
      <c r="BM265" s="11">
        <v>6</v>
      </c>
      <c r="BN265" s="11">
        <v>18</v>
      </c>
      <c r="BO265" s="11">
        <v>13</v>
      </c>
      <c r="BP265" s="11">
        <v>13</v>
      </c>
      <c r="BQ265" s="11">
        <v>3</v>
      </c>
      <c r="BR265" s="11">
        <v>32</v>
      </c>
      <c r="BS265" s="11">
        <v>6</v>
      </c>
      <c r="BT265" s="11">
        <v>18</v>
      </c>
      <c r="BX265" s="55">
        <v>130299</v>
      </c>
      <c r="BY265" s="8">
        <v>111574</v>
      </c>
      <c r="CI265" s="51"/>
      <c r="CJ265" s="8" t="b">
        <v>0</v>
      </c>
      <c r="CT265" s="8">
        <v>130200</v>
      </c>
    </row>
    <row r="266" spans="1:98" s="8" customFormat="1" x14ac:dyDescent="0.25">
      <c r="A266" s="13">
        <v>111694</v>
      </c>
      <c r="B266" s="9">
        <v>30</v>
      </c>
      <c r="C266" s="9" t="s">
        <v>1080</v>
      </c>
      <c r="D266" s="9" t="s">
        <v>94</v>
      </c>
      <c r="E266" s="9" t="s">
        <v>95</v>
      </c>
      <c r="F266" s="9"/>
      <c r="G266" s="33" t="str">
        <f>_xlfn.XLOOKUP(CT266,'Just Methods'!T:T,'Just Methods'!S:S)</f>
        <v xml:space="preserve"> 30" DEF (26-30) (xHD) </v>
      </c>
      <c r="H266" s="47" t="str">
        <f>_xlfn.XLOOKUP(CT266,'Just Methods'!T:T,'Just Methods'!C:C)</f>
        <v>DEF.30</v>
      </c>
      <c r="I266" s="9" t="str">
        <f>_xlfn.XLOOKUP(H266,'Alternative Tool Body Sheet'!A:A,'Alternative Tool Body Sheet'!C:C)</f>
        <v>26/30 DEF</v>
      </c>
      <c r="J266" s="9">
        <f t="shared" si="7"/>
        <v>5</v>
      </c>
      <c r="K266" s="9" t="s">
        <v>114</v>
      </c>
      <c r="L266" s="9">
        <v>30</v>
      </c>
      <c r="M266" s="9">
        <v>22.5</v>
      </c>
      <c r="N266" s="9">
        <v>25</v>
      </c>
      <c r="P266" s="9">
        <v>27</v>
      </c>
      <c r="Q266" s="9" t="s">
        <v>115</v>
      </c>
      <c r="R266" s="9">
        <v>27</v>
      </c>
      <c r="T266" s="9">
        <v>22.75</v>
      </c>
      <c r="U266" s="9" t="s">
        <v>116</v>
      </c>
      <c r="V266" s="9">
        <v>15</v>
      </c>
      <c r="AA266" s="9">
        <v>65</v>
      </c>
      <c r="AN266" s="9">
        <v>750</v>
      </c>
      <c r="AO266" s="9">
        <v>100</v>
      </c>
      <c r="AQ266" s="9">
        <v>960</v>
      </c>
      <c r="AT266" s="9">
        <v>56</v>
      </c>
      <c r="AX266" s="9">
        <v>200</v>
      </c>
      <c r="AY266" s="9">
        <v>2000</v>
      </c>
      <c r="AZ266" s="9" t="s">
        <v>1081</v>
      </c>
      <c r="BA266" s="9" t="s">
        <v>102</v>
      </c>
      <c r="BB266" s="9" t="s">
        <v>102</v>
      </c>
      <c r="BC266" s="9" t="s">
        <v>102</v>
      </c>
      <c r="BD266" s="9" t="s">
        <v>102</v>
      </c>
      <c r="BE266" s="9" t="s">
        <v>102</v>
      </c>
      <c r="BF266" s="9" t="s">
        <v>1060</v>
      </c>
      <c r="BG266" s="9" t="s">
        <v>1054</v>
      </c>
      <c r="BH266" s="9" t="s">
        <v>105</v>
      </c>
      <c r="BI266" s="9">
        <v>9</v>
      </c>
      <c r="BJ266" s="9">
        <v>3</v>
      </c>
      <c r="BK266" s="9">
        <v>3</v>
      </c>
      <c r="BL266" s="9">
        <v>32</v>
      </c>
      <c r="BM266" s="9">
        <v>6</v>
      </c>
      <c r="BN266" s="9">
        <v>12</v>
      </c>
      <c r="BO266" s="9">
        <v>9</v>
      </c>
      <c r="BP266" s="9">
        <v>9</v>
      </c>
      <c r="BQ266" s="9">
        <v>3</v>
      </c>
      <c r="BR266" s="9">
        <v>32</v>
      </c>
      <c r="BS266" s="9">
        <v>6</v>
      </c>
      <c r="BT266" s="9">
        <v>12</v>
      </c>
      <c r="BY266">
        <v>110887</v>
      </c>
      <c r="CI266" s="51"/>
      <c r="CJ266" s="8" t="b">
        <v>0</v>
      </c>
      <c r="CT266" s="8">
        <v>111694</v>
      </c>
    </row>
    <row r="267" spans="1:98" s="8" customFormat="1" x14ac:dyDescent="0.25">
      <c r="A267" s="13">
        <v>124764</v>
      </c>
      <c r="B267" s="9">
        <v>30</v>
      </c>
      <c r="C267" s="9" t="s">
        <v>1082</v>
      </c>
      <c r="D267" s="9" t="s">
        <v>94</v>
      </c>
      <c r="E267" s="9" t="s">
        <v>194</v>
      </c>
      <c r="F267" s="9"/>
      <c r="G267" s="33" t="str">
        <f>_xlfn.XLOOKUP(CT267,'Just Methods'!T:T,'Just Methods'!S:S)</f>
        <v xml:space="preserve"> 30" DEF+XYZ (Single Body) </v>
      </c>
      <c r="H267" s="47" t="str">
        <f>_xlfn.XLOOKUP(CT267,'Just Methods'!T:T,'Just Methods'!C:C)</f>
        <v>DEF.XYZ.30</v>
      </c>
      <c r="I267" s="9" t="str">
        <f>_xlfn.XLOOKUP(H267,'Alternative Tool Body Sheet'!A:A,'Alternative Tool Body Sheet'!C:C)</f>
        <v>26/30 DEF</v>
      </c>
      <c r="J267" s="9">
        <f t="shared" si="7"/>
        <v>5</v>
      </c>
      <c r="K267" s="9" t="s">
        <v>114</v>
      </c>
      <c r="L267" s="9">
        <v>30</v>
      </c>
      <c r="M267" s="9">
        <v>22.5</v>
      </c>
      <c r="Q267" s="9" t="s">
        <v>115</v>
      </c>
      <c r="R267" s="9">
        <v>27</v>
      </c>
      <c r="U267" s="9" t="s">
        <v>116</v>
      </c>
      <c r="V267" s="9">
        <v>15</v>
      </c>
      <c r="AA267" s="9">
        <v>65</v>
      </c>
      <c r="AN267" s="9">
        <v>750</v>
      </c>
      <c r="AO267" s="9">
        <v>52</v>
      </c>
      <c r="AQ267" s="9">
        <v>600</v>
      </c>
      <c r="AT267" s="9">
        <v>57</v>
      </c>
      <c r="AX267" s="9">
        <v>200</v>
      </c>
      <c r="AY267" s="9">
        <v>2000</v>
      </c>
      <c r="AZ267" s="9" t="s">
        <v>1083</v>
      </c>
      <c r="BA267" s="9" t="s">
        <v>102</v>
      </c>
      <c r="BB267" s="9" t="s">
        <v>102</v>
      </c>
      <c r="BC267" s="9" t="s">
        <v>102</v>
      </c>
      <c r="BD267" s="9" t="s">
        <v>102</v>
      </c>
      <c r="BE267" s="9" t="s">
        <v>102</v>
      </c>
      <c r="BF267" s="9" t="s">
        <v>118</v>
      </c>
      <c r="BG267" s="9" t="s">
        <v>118</v>
      </c>
      <c r="BH267" s="9" t="s">
        <v>105</v>
      </c>
      <c r="BI267" s="9">
        <v>4</v>
      </c>
      <c r="BJ267" s="9">
        <v>3</v>
      </c>
      <c r="BK267" s="9">
        <v>3</v>
      </c>
      <c r="BL267" s="9">
        <v>32</v>
      </c>
      <c r="BM267" s="9">
        <v>6</v>
      </c>
      <c r="BN267" s="9">
        <v>6</v>
      </c>
      <c r="BO267" s="9">
        <v>4</v>
      </c>
      <c r="BP267" s="9">
        <v>4</v>
      </c>
      <c r="BQ267" s="9">
        <v>3</v>
      </c>
      <c r="BR267" s="9">
        <v>32</v>
      </c>
      <c r="BS267" s="9">
        <v>6</v>
      </c>
      <c r="BT267" s="9">
        <v>6</v>
      </c>
      <c r="BY267">
        <v>110887</v>
      </c>
      <c r="CI267" s="51"/>
      <c r="CJ267" s="8" t="b">
        <v>0</v>
      </c>
      <c r="CT267" s="8">
        <v>124764</v>
      </c>
    </row>
    <row r="268" spans="1:98" s="8" customFormat="1" x14ac:dyDescent="0.25">
      <c r="A268" s="21" t="s">
        <v>1084</v>
      </c>
      <c r="B268" s="10">
        <v>30</v>
      </c>
      <c r="C268" s="10" t="s">
        <v>1085</v>
      </c>
      <c r="D268" s="10" t="s">
        <v>121</v>
      </c>
      <c r="E268" s="10" t="s">
        <v>410</v>
      </c>
      <c r="F268" s="10"/>
      <c r="G268" s="33" t="str">
        <f>_xlfn.XLOOKUP(CT268,'Just Methods'!T:T,'Just Methods'!S:S)</f>
        <v xml:space="preserve"> 30" MDS FLEX MFL+DEF+LFM+XYZ </v>
      </c>
      <c r="H268" s="47" t="str">
        <f>_xlfn.XLOOKUP(CT268,'Just Methods'!T:T,'Just Methods'!C:C)</f>
        <v>FLEXDEFLFMMFLXYZ.30</v>
      </c>
      <c r="I268" s="9" t="s">
        <v>1086</v>
      </c>
      <c r="J268" s="10">
        <f t="shared" si="7"/>
        <v>7</v>
      </c>
      <c r="K268" s="10" t="s">
        <v>114</v>
      </c>
      <c r="L268" s="10">
        <v>30</v>
      </c>
      <c r="M268" s="10">
        <v>25.5</v>
      </c>
      <c r="N268" s="10">
        <v>15</v>
      </c>
      <c r="O268" s="10"/>
      <c r="P268" s="10">
        <v>27</v>
      </c>
      <c r="Q268" s="10" t="s">
        <v>115</v>
      </c>
      <c r="R268" s="10">
        <v>27</v>
      </c>
      <c r="S268" s="10">
        <v>27</v>
      </c>
      <c r="T268" s="10">
        <v>27</v>
      </c>
      <c r="U268" s="10" t="s">
        <v>99</v>
      </c>
      <c r="V268" s="10">
        <v>10</v>
      </c>
      <c r="W268" s="10">
        <v>10</v>
      </c>
      <c r="X268" s="10">
        <v>1</v>
      </c>
      <c r="Y268" s="10">
        <v>1</v>
      </c>
      <c r="Z268" s="10">
        <v>1.0880000000000001</v>
      </c>
      <c r="AA268" s="10">
        <v>112</v>
      </c>
      <c r="AB268" s="10">
        <v>336</v>
      </c>
      <c r="AC268" s="10"/>
      <c r="AD268" s="10">
        <v>112</v>
      </c>
      <c r="AE268" s="10"/>
      <c r="AF268" s="10">
        <v>336</v>
      </c>
      <c r="AG268" s="10"/>
      <c r="AH268" s="10"/>
      <c r="AI268" s="10"/>
      <c r="AJ268" s="10"/>
      <c r="AK268" s="10"/>
      <c r="AL268" s="10"/>
      <c r="AM268" s="10"/>
      <c r="AN268" s="10">
        <v>750</v>
      </c>
      <c r="AO268" s="10">
        <v>150</v>
      </c>
      <c r="AP268" s="10"/>
      <c r="AQ268" s="10">
        <v>4350</v>
      </c>
      <c r="AR268" s="10"/>
      <c r="AS268" s="10"/>
      <c r="AT268" s="10">
        <v>30</v>
      </c>
      <c r="AU268" s="10"/>
      <c r="AV268" s="10">
        <v>22.42</v>
      </c>
      <c r="AW268" s="10">
        <v>1.87</v>
      </c>
      <c r="AX268" s="10">
        <v>400</v>
      </c>
      <c r="AY268" s="10">
        <v>2000</v>
      </c>
      <c r="AZ268" s="10" t="s">
        <v>1087</v>
      </c>
      <c r="BA268" s="10" t="s">
        <v>102</v>
      </c>
      <c r="BB268" s="10" t="s">
        <v>102</v>
      </c>
      <c r="BC268" s="10" t="s">
        <v>102</v>
      </c>
      <c r="BD268" s="10" t="s">
        <v>102</v>
      </c>
      <c r="BE268" s="10" t="s">
        <v>102</v>
      </c>
      <c r="BF268" s="10" t="s">
        <v>118</v>
      </c>
      <c r="BG268" s="10" t="s">
        <v>104</v>
      </c>
      <c r="BH268" s="10" t="s">
        <v>105</v>
      </c>
      <c r="BI268" s="10">
        <v>13</v>
      </c>
      <c r="BJ268" s="10">
        <v>3</v>
      </c>
      <c r="BK268" s="10">
        <v>3</v>
      </c>
      <c r="BL268" s="10">
        <v>32</v>
      </c>
      <c r="BM268" s="10">
        <v>6</v>
      </c>
      <c r="BN268" s="10">
        <v>18</v>
      </c>
      <c r="BO268" s="10">
        <v>13</v>
      </c>
      <c r="BP268" s="10">
        <v>13</v>
      </c>
      <c r="BQ268" s="10">
        <v>3</v>
      </c>
      <c r="BR268" s="10">
        <v>32</v>
      </c>
      <c r="BS268" s="10">
        <v>6</v>
      </c>
      <c r="BT268" s="10">
        <v>18</v>
      </c>
      <c r="BX268" s="8">
        <v>115091</v>
      </c>
      <c r="BY268" s="8">
        <v>111574</v>
      </c>
      <c r="CH268" s="8">
        <v>113138</v>
      </c>
      <c r="CI268" s="51"/>
      <c r="CJ268" s="8" t="b">
        <v>1</v>
      </c>
      <c r="CT268" s="8" t="s">
        <v>1084</v>
      </c>
    </row>
    <row r="269" spans="1:98" s="8" customFormat="1" x14ac:dyDescent="0.25">
      <c r="A269" s="23">
        <v>126498</v>
      </c>
      <c r="B269" s="11">
        <v>31</v>
      </c>
      <c r="C269" s="11" t="s">
        <v>1088</v>
      </c>
      <c r="D269" s="11" t="s">
        <v>121</v>
      </c>
      <c r="E269" s="11" t="s">
        <v>331</v>
      </c>
      <c r="F269" s="11"/>
      <c r="G269" s="33" t="str">
        <f>_xlfn.XLOOKUP(CT269,'Just Methods'!T:T,'Just Methods'!S:S)</f>
        <v xml:space="preserve"> 31" MFL+DEF+LFM+SMFL </v>
      </c>
      <c r="H269" s="47" t="str">
        <f>_xlfn.XLOOKUP(CT269,'Just Methods'!T:T,'Just Methods'!C:C)</f>
        <v>DEF.LFM.MFL.SMFL.31</v>
      </c>
      <c r="I269" s="9" t="s">
        <v>1086</v>
      </c>
      <c r="J269" s="11">
        <f t="shared" si="7"/>
        <v>7</v>
      </c>
      <c r="K269" s="11" t="s">
        <v>114</v>
      </c>
      <c r="L269" s="11">
        <v>30</v>
      </c>
      <c r="M269" s="11">
        <v>26</v>
      </c>
      <c r="N269" s="11"/>
      <c r="O269" s="11"/>
      <c r="P269" s="11"/>
      <c r="Q269" s="11" t="s">
        <v>115</v>
      </c>
      <c r="R269" s="11">
        <v>27.5</v>
      </c>
      <c r="S269" s="11"/>
      <c r="T269" s="11"/>
      <c r="U269" s="11" t="s">
        <v>99</v>
      </c>
      <c r="V269" s="11">
        <v>8.33</v>
      </c>
      <c r="W269" s="11">
        <v>10</v>
      </c>
      <c r="X269" s="11">
        <v>1</v>
      </c>
      <c r="Y269" s="11">
        <v>1</v>
      </c>
      <c r="Z269" s="11">
        <v>1.0880000000000001</v>
      </c>
      <c r="AA269" s="11">
        <v>112</v>
      </c>
      <c r="AB269" s="11"/>
      <c r="AC269" s="11"/>
      <c r="AD269" s="11">
        <v>112</v>
      </c>
      <c r="AE269" s="11"/>
      <c r="AF269" s="11">
        <v>336</v>
      </c>
      <c r="AG269" s="11"/>
      <c r="AH269" s="11">
        <v>336</v>
      </c>
      <c r="AI269" s="11"/>
      <c r="AJ269" s="11">
        <v>720</v>
      </c>
      <c r="AK269" s="11"/>
      <c r="AL269" s="11"/>
      <c r="AM269" s="11"/>
      <c r="AN269" s="11">
        <v>750</v>
      </c>
      <c r="AO269" s="11">
        <v>201</v>
      </c>
      <c r="AP269" s="11"/>
      <c r="AQ269" s="11">
        <v>6900</v>
      </c>
      <c r="AR269" s="11"/>
      <c r="AS269" s="11">
        <v>100</v>
      </c>
      <c r="AT269" s="11"/>
      <c r="AU269" s="11"/>
      <c r="AV269" s="11"/>
      <c r="AW269" s="11"/>
      <c r="AX269" s="11">
        <v>400</v>
      </c>
      <c r="AY269" s="11">
        <v>2000</v>
      </c>
      <c r="AZ269" s="11" t="s">
        <v>1089</v>
      </c>
      <c r="BA269" s="11" t="s">
        <v>102</v>
      </c>
      <c r="BB269" s="11" t="s">
        <v>102</v>
      </c>
      <c r="BC269" s="11" t="s">
        <v>102</v>
      </c>
      <c r="BD269" s="11" t="s">
        <v>102</v>
      </c>
      <c r="BE269" s="11" t="s">
        <v>102</v>
      </c>
      <c r="BF269" s="11" t="s">
        <v>118</v>
      </c>
      <c r="BG269" s="11" t="s">
        <v>118</v>
      </c>
      <c r="BH269" s="11" t="s">
        <v>105</v>
      </c>
      <c r="BI269" s="11">
        <v>17</v>
      </c>
      <c r="BJ269" s="11">
        <v>3</v>
      </c>
      <c r="BK269" s="11">
        <v>3</v>
      </c>
      <c r="BL269" s="11">
        <v>32</v>
      </c>
      <c r="BM269" s="11">
        <v>6</v>
      </c>
      <c r="BN269" s="11">
        <v>22</v>
      </c>
      <c r="BO269" s="11">
        <v>17</v>
      </c>
      <c r="BP269" s="11">
        <v>17</v>
      </c>
      <c r="BQ269" s="11">
        <v>3</v>
      </c>
      <c r="BR269" s="11">
        <v>32</v>
      </c>
      <c r="BS269" s="11">
        <v>6</v>
      </c>
      <c r="BT269" s="11">
        <v>22</v>
      </c>
      <c r="BX269" s="8">
        <v>115091</v>
      </c>
      <c r="BY269" s="8">
        <v>111574</v>
      </c>
      <c r="CD269" s="8">
        <v>120020</v>
      </c>
      <c r="CH269" s="8">
        <v>113138</v>
      </c>
      <c r="CI269" s="51"/>
      <c r="CJ269" s="8" t="b">
        <v>0</v>
      </c>
      <c r="CT269" s="8">
        <v>126498</v>
      </c>
    </row>
    <row r="270" spans="1:98" s="8" customFormat="1" x14ac:dyDescent="0.25">
      <c r="A270" s="13">
        <v>114596</v>
      </c>
      <c r="B270" s="9">
        <v>30</v>
      </c>
      <c r="C270" s="9" t="s">
        <v>1090</v>
      </c>
      <c r="D270" s="9" t="s">
        <v>94</v>
      </c>
      <c r="E270" s="9" t="s">
        <v>194</v>
      </c>
      <c r="F270" s="9"/>
      <c r="G270" s="33" t="str">
        <f>_xlfn.XLOOKUP(CT270,'Just Methods'!T:T,'Just Methods'!S:S)</f>
        <v xml:space="preserve"> 30" DEF+XYZ ATEX </v>
      </c>
      <c r="H270" s="47" t="str">
        <f>_xlfn.XLOOKUP(CT270,'Just Methods'!T:T,'Just Methods'!C:C)</f>
        <v>DEF.XYZ.30</v>
      </c>
      <c r="I270" s="9" t="str">
        <f>_xlfn.XLOOKUP(H270,'Alternative Tool Body Sheet'!A:A,'Alternative Tool Body Sheet'!C:C)</f>
        <v>26/30 DEF</v>
      </c>
      <c r="J270" s="9">
        <f t="shared" si="7"/>
        <v>5</v>
      </c>
      <c r="K270" s="9" t="s">
        <v>114</v>
      </c>
      <c r="L270" s="9">
        <v>30</v>
      </c>
      <c r="M270" s="9">
        <v>22.5</v>
      </c>
      <c r="N270" s="9">
        <v>25</v>
      </c>
      <c r="P270" s="9">
        <v>27</v>
      </c>
      <c r="Q270" s="9" t="s">
        <v>115</v>
      </c>
      <c r="R270" s="9">
        <v>27</v>
      </c>
      <c r="T270" s="9">
        <v>22.75</v>
      </c>
      <c r="U270" s="9" t="s">
        <v>116</v>
      </c>
      <c r="V270" s="9">
        <v>15</v>
      </c>
      <c r="AA270" s="9">
        <v>65</v>
      </c>
      <c r="AN270" s="9">
        <v>750</v>
      </c>
      <c r="AO270" s="9">
        <v>100</v>
      </c>
      <c r="AQ270" s="9">
        <v>985</v>
      </c>
      <c r="AS270" s="9">
        <v>0</v>
      </c>
      <c r="AT270" s="9">
        <v>0</v>
      </c>
      <c r="AY270" s="9">
        <v>2000</v>
      </c>
      <c r="BA270" s="9" t="s">
        <v>102</v>
      </c>
      <c r="BB270" s="9" t="s">
        <v>101</v>
      </c>
      <c r="BC270" s="9" t="s">
        <v>101</v>
      </c>
      <c r="BD270" s="9" t="s">
        <v>102</v>
      </c>
      <c r="BE270" s="9" t="s">
        <v>102</v>
      </c>
      <c r="BF270" s="9" t="s">
        <v>126</v>
      </c>
      <c r="BG270" s="9" t="s">
        <v>126</v>
      </c>
      <c r="BH270" s="9" t="s">
        <v>105</v>
      </c>
      <c r="BY270">
        <v>110887</v>
      </c>
      <c r="CI270" s="51"/>
      <c r="CJ270" s="8" t="b">
        <v>0</v>
      </c>
      <c r="CT270" s="8">
        <v>114596</v>
      </c>
    </row>
    <row r="271" spans="1:98" s="8" customFormat="1" x14ac:dyDescent="0.25">
      <c r="A271" s="13">
        <v>110486</v>
      </c>
      <c r="B271" s="9">
        <v>30</v>
      </c>
      <c r="C271" s="9" t="s">
        <v>1091</v>
      </c>
      <c r="D271" s="9" t="s">
        <v>94</v>
      </c>
      <c r="E271" s="9" t="s">
        <v>258</v>
      </c>
      <c r="F271" s="9"/>
      <c r="G271" s="33" t="str">
        <f>_xlfn.XLOOKUP(CT271,'Just Methods'!T:T,'Just Methods'!S:S)</f>
        <v xml:space="preserve"> 30" GMFL (28-30) (xHD) </v>
      </c>
      <c r="H271" s="47" t="str">
        <f>_xlfn.XLOOKUP(CT271,'Just Methods'!T:T,'Just Methods'!C:C)</f>
        <v>GMFL.30</v>
      </c>
      <c r="I271" s="9" t="str">
        <f>_xlfn.XLOOKUP(H271,'Alternative Tool Body Sheet'!A:A,'Alternative Tool Body Sheet'!C:C)</f>
        <v>28/30 GMFL</v>
      </c>
      <c r="J271" s="9">
        <f t="shared" si="7"/>
        <v>5</v>
      </c>
      <c r="K271" s="9" t="s">
        <v>114</v>
      </c>
      <c r="L271" s="9">
        <v>30</v>
      </c>
      <c r="M271" s="9">
        <v>22.5</v>
      </c>
      <c r="N271" s="9">
        <v>25</v>
      </c>
      <c r="P271" s="9">
        <v>27</v>
      </c>
      <c r="Q271" s="9" t="s">
        <v>115</v>
      </c>
      <c r="R271" s="9">
        <v>27</v>
      </c>
      <c r="T271" s="9">
        <v>22.75</v>
      </c>
      <c r="U271" s="9" t="s">
        <v>116</v>
      </c>
      <c r="V271" s="9">
        <v>10</v>
      </c>
      <c r="W271" s="9">
        <v>10</v>
      </c>
      <c r="X271" s="9">
        <v>0.86299999999999999</v>
      </c>
      <c r="Y271" s="9">
        <v>1</v>
      </c>
      <c r="Z271" s="9">
        <v>0.99299999999999999</v>
      </c>
      <c r="AC271" s="9">
        <v>270</v>
      </c>
      <c r="AD271" s="9">
        <v>90</v>
      </c>
      <c r="AN271" s="9">
        <v>750</v>
      </c>
      <c r="AO271" s="9">
        <v>108</v>
      </c>
      <c r="AQ271" s="9">
        <v>1940</v>
      </c>
      <c r="AT271" s="9">
        <v>145</v>
      </c>
      <c r="AV271" s="9">
        <v>8.02</v>
      </c>
      <c r="AW271" s="9">
        <v>6.7000000000000004E-2</v>
      </c>
      <c r="AX271" s="9">
        <v>200</v>
      </c>
      <c r="AY271" s="9">
        <v>2000</v>
      </c>
      <c r="AZ271" s="9" t="s">
        <v>1092</v>
      </c>
      <c r="BA271" s="9" t="s">
        <v>102</v>
      </c>
      <c r="BB271" s="9" t="s">
        <v>102</v>
      </c>
      <c r="BC271" s="9" t="s">
        <v>102</v>
      </c>
      <c r="BD271" s="9" t="s">
        <v>102</v>
      </c>
      <c r="BE271" s="9" t="s">
        <v>102</v>
      </c>
      <c r="BF271" s="9" t="s">
        <v>1093</v>
      </c>
      <c r="BG271" s="9" t="s">
        <v>1073</v>
      </c>
      <c r="BH271" s="9" t="s">
        <v>105</v>
      </c>
      <c r="BI271" s="9">
        <v>9</v>
      </c>
      <c r="BJ271" s="9">
        <v>3</v>
      </c>
      <c r="BK271" s="9">
        <v>3</v>
      </c>
      <c r="BL271" s="9">
        <v>32</v>
      </c>
      <c r="BM271" s="9">
        <v>6</v>
      </c>
      <c r="BN271" s="9">
        <v>12</v>
      </c>
      <c r="BO271" s="9">
        <v>9</v>
      </c>
      <c r="BP271" s="9">
        <v>9</v>
      </c>
      <c r="BQ271" s="9">
        <v>3</v>
      </c>
      <c r="BR271" s="9">
        <v>32</v>
      </c>
      <c r="BS271" s="9">
        <v>6</v>
      </c>
      <c r="BT271" s="9">
        <v>12</v>
      </c>
      <c r="CI271" s="51">
        <v>109360</v>
      </c>
      <c r="CJ271" s="8" t="b">
        <v>0</v>
      </c>
      <c r="CT271" s="8">
        <v>110486</v>
      </c>
    </row>
    <row r="272" spans="1:98" s="8" customFormat="1" x14ac:dyDescent="0.25">
      <c r="A272" s="21" t="s">
        <v>1094</v>
      </c>
      <c r="B272" s="10">
        <v>30</v>
      </c>
      <c r="C272" s="10" t="s">
        <v>1095</v>
      </c>
      <c r="D272" s="10" t="s">
        <v>121</v>
      </c>
      <c r="E272" s="10" t="s">
        <v>301</v>
      </c>
      <c r="F272" s="10"/>
      <c r="G272" s="33" t="str">
        <f>_xlfn.XLOOKUP(CT272,'Just Methods'!T:T,'Just Methods'!S:S)</f>
        <v xml:space="preserve"> 30" MFL+DEF+LFM+SMFL </v>
      </c>
      <c r="H272" s="47" t="str">
        <f>_xlfn.XLOOKUP(CT272,'Just Methods'!T:T,'Just Methods'!C:C)</f>
        <v>DEF.LFM.MFL.SMFL.30</v>
      </c>
      <c r="I272" s="9" t="str">
        <f>_xlfn.XLOOKUP(H272,'Alternative Tool Body Sheet'!A:A,'Alternative Tool Body Sheet'!C:C)</f>
        <v>30 MDS</v>
      </c>
      <c r="J272" s="10">
        <f t="shared" si="7"/>
        <v>7</v>
      </c>
      <c r="K272" s="10" t="s">
        <v>114</v>
      </c>
      <c r="L272" s="10">
        <v>30</v>
      </c>
      <c r="M272" s="10">
        <v>25.5</v>
      </c>
      <c r="N272" s="10">
        <v>15</v>
      </c>
      <c r="O272" s="10"/>
      <c r="P272" s="10">
        <v>27</v>
      </c>
      <c r="Q272" s="10" t="s">
        <v>115</v>
      </c>
      <c r="R272" s="10">
        <v>27</v>
      </c>
      <c r="S272" s="10">
        <v>27</v>
      </c>
      <c r="T272" s="10">
        <v>27</v>
      </c>
      <c r="U272" s="10" t="s">
        <v>99</v>
      </c>
      <c r="V272" s="10">
        <v>8.3000000000000007</v>
      </c>
      <c r="W272" s="10">
        <v>10</v>
      </c>
      <c r="X272" s="10">
        <v>1</v>
      </c>
      <c r="Y272" s="10">
        <v>1</v>
      </c>
      <c r="Z272" s="10">
        <v>1.0880000000000001</v>
      </c>
      <c r="AA272" s="10">
        <v>112</v>
      </c>
      <c r="AB272" s="10"/>
      <c r="AC272" s="10"/>
      <c r="AD272" s="10">
        <v>112</v>
      </c>
      <c r="AE272" s="10"/>
      <c r="AF272" s="10">
        <v>336</v>
      </c>
      <c r="AG272" s="10"/>
      <c r="AH272" s="10">
        <v>336</v>
      </c>
      <c r="AI272" s="10"/>
      <c r="AJ272" s="10">
        <v>720</v>
      </c>
      <c r="AK272" s="10"/>
      <c r="AL272" s="10"/>
      <c r="AM272" s="10"/>
      <c r="AN272" s="10">
        <v>750</v>
      </c>
      <c r="AO272" s="10">
        <v>200</v>
      </c>
      <c r="AP272" s="10"/>
      <c r="AQ272" s="10">
        <v>6400</v>
      </c>
      <c r="AR272" s="10"/>
      <c r="AS272" s="10"/>
      <c r="AT272" s="10">
        <v>57</v>
      </c>
      <c r="AU272" s="10">
        <v>464400</v>
      </c>
      <c r="AV272" s="10">
        <v>12.66</v>
      </c>
      <c r="AW272" s="10">
        <v>1.06</v>
      </c>
      <c r="AX272" s="10">
        <v>400</v>
      </c>
      <c r="AY272" s="10">
        <v>2000</v>
      </c>
      <c r="AZ272" s="10" t="s">
        <v>1096</v>
      </c>
      <c r="BA272" s="10" t="s">
        <v>102</v>
      </c>
      <c r="BB272" s="10" t="s">
        <v>102</v>
      </c>
      <c r="BC272" s="10" t="s">
        <v>102</v>
      </c>
      <c r="BD272" s="10" t="s">
        <v>102</v>
      </c>
      <c r="BE272" s="10" t="s">
        <v>102</v>
      </c>
      <c r="BF272" s="10" t="s">
        <v>118</v>
      </c>
      <c r="BG272" s="10" t="s">
        <v>104</v>
      </c>
      <c r="BH272" s="10" t="s">
        <v>105</v>
      </c>
      <c r="BI272" s="10">
        <v>17</v>
      </c>
      <c r="BJ272" s="10">
        <v>3</v>
      </c>
      <c r="BK272" s="10">
        <v>3</v>
      </c>
      <c r="BL272" s="10">
        <v>32</v>
      </c>
      <c r="BM272" s="10">
        <v>6</v>
      </c>
      <c r="BN272" s="10">
        <v>22</v>
      </c>
      <c r="BO272" s="10">
        <v>17</v>
      </c>
      <c r="BP272" s="10">
        <v>17</v>
      </c>
      <c r="BQ272" s="10">
        <v>3</v>
      </c>
      <c r="BR272" s="10">
        <v>32</v>
      </c>
      <c r="BS272" s="10">
        <v>6</v>
      </c>
      <c r="BT272" s="10">
        <v>22</v>
      </c>
      <c r="BX272" s="8">
        <v>115091</v>
      </c>
      <c r="BY272" s="8">
        <v>111574</v>
      </c>
      <c r="CD272" s="8">
        <v>120020</v>
      </c>
      <c r="CH272" s="8">
        <v>113138</v>
      </c>
      <c r="CI272" s="51"/>
      <c r="CJ272" s="8" t="b">
        <v>1</v>
      </c>
      <c r="CT272" s="8" t="s">
        <v>1094</v>
      </c>
    </row>
    <row r="273" spans="1:98" s="8" customFormat="1" x14ac:dyDescent="0.25">
      <c r="A273" s="21">
        <v>129310</v>
      </c>
      <c r="B273" s="10">
        <v>30</v>
      </c>
      <c r="C273" s="10" t="s">
        <v>1097</v>
      </c>
      <c r="D273" s="10" t="s">
        <v>121</v>
      </c>
      <c r="E273" s="10" t="s">
        <v>122</v>
      </c>
      <c r="F273" s="10"/>
      <c r="G273" s="33" t="str">
        <f>_xlfn.XLOOKUP(CT273,'Just Methods'!T:T,'Just Methods'!S:S)</f>
        <v xml:space="preserve"> 30" MDS FLEX MFL+DEF </v>
      </c>
      <c r="H273" s="47" t="str">
        <f>_xlfn.XLOOKUP(CT273,'Just Methods'!T:T,'Just Methods'!C:C)</f>
        <v>FLEX.DEF.MFL.30</v>
      </c>
      <c r="I273" s="9" t="str">
        <f>_xlfn.XLOOKUP(H273,'Alternative Tool Body Sheet'!A:A,'Alternative Tool Body Sheet'!C:C)</f>
        <v>30 MDS</v>
      </c>
      <c r="J273" s="10">
        <f t="shared" si="7"/>
        <v>7</v>
      </c>
      <c r="K273" s="10" t="s">
        <v>114</v>
      </c>
      <c r="L273" s="10">
        <v>30</v>
      </c>
      <c r="M273" s="10">
        <v>25.5</v>
      </c>
      <c r="N273" s="10"/>
      <c r="O273" s="10"/>
      <c r="P273" s="10"/>
      <c r="Q273" s="10" t="s">
        <v>115</v>
      </c>
      <c r="R273" s="10">
        <v>27</v>
      </c>
      <c r="S273" s="10"/>
      <c r="T273" s="10"/>
      <c r="U273" s="10" t="s">
        <v>99</v>
      </c>
      <c r="V273" s="10">
        <v>10</v>
      </c>
      <c r="W273" s="10">
        <v>10</v>
      </c>
      <c r="X273" s="10">
        <v>1</v>
      </c>
      <c r="Y273" s="10">
        <v>1</v>
      </c>
      <c r="Z273" s="10">
        <v>1.0880000000000001</v>
      </c>
      <c r="AA273" s="10">
        <v>112</v>
      </c>
      <c r="AB273" s="10">
        <v>336</v>
      </c>
      <c r="AC273" s="10"/>
      <c r="AD273" s="10">
        <v>112</v>
      </c>
      <c r="AE273" s="10"/>
      <c r="AF273" s="10"/>
      <c r="AG273" s="10"/>
      <c r="AH273" s="10"/>
      <c r="AI273" s="10"/>
      <c r="AJ273" s="10"/>
      <c r="AK273" s="10"/>
      <c r="AL273" s="10"/>
      <c r="AM273" s="10"/>
      <c r="AN273" s="10">
        <v>750</v>
      </c>
      <c r="AO273" s="10">
        <v>150</v>
      </c>
      <c r="AP273" s="10"/>
      <c r="AQ273" s="10">
        <v>3537</v>
      </c>
      <c r="AR273" s="10"/>
      <c r="AS273" s="10"/>
      <c r="AT273" s="10">
        <v>73</v>
      </c>
      <c r="AU273" s="10"/>
      <c r="AV273" s="10"/>
      <c r="AW273" s="10"/>
      <c r="AX273" s="10">
        <v>400</v>
      </c>
      <c r="AY273" s="10">
        <v>2000</v>
      </c>
      <c r="AZ273" s="10" t="s">
        <v>1098</v>
      </c>
      <c r="BA273" s="10" t="s">
        <v>102</v>
      </c>
      <c r="BB273" s="10" t="s">
        <v>101</v>
      </c>
      <c r="BC273" s="10" t="s">
        <v>101</v>
      </c>
      <c r="BD273" s="10" t="s">
        <v>101</v>
      </c>
      <c r="BE273" s="10" t="s">
        <v>102</v>
      </c>
      <c r="BF273" s="10" t="s">
        <v>118</v>
      </c>
      <c r="BG273" s="10" t="s">
        <v>118</v>
      </c>
      <c r="BH273" s="10" t="s">
        <v>105</v>
      </c>
      <c r="BI273" s="10">
        <v>13</v>
      </c>
      <c r="BJ273" s="10">
        <v>3</v>
      </c>
      <c r="BK273" s="10">
        <v>3</v>
      </c>
      <c r="BL273" s="10">
        <v>32</v>
      </c>
      <c r="BM273" s="10">
        <v>6</v>
      </c>
      <c r="BN273" s="10">
        <v>18</v>
      </c>
      <c r="BO273" s="10">
        <v>13</v>
      </c>
      <c r="BP273" s="10">
        <v>13</v>
      </c>
      <c r="BQ273" s="10">
        <v>3</v>
      </c>
      <c r="BR273" s="10">
        <v>32</v>
      </c>
      <c r="BS273" s="10">
        <v>6</v>
      </c>
      <c r="BT273" s="10">
        <v>18</v>
      </c>
      <c r="BX273" s="8">
        <v>115091</v>
      </c>
      <c r="BY273" s="8">
        <v>111574</v>
      </c>
      <c r="CI273" s="51"/>
      <c r="CJ273" s="8" t="b">
        <v>1</v>
      </c>
      <c r="CT273" s="8">
        <v>129310</v>
      </c>
    </row>
    <row r="274" spans="1:98" s="8" customFormat="1" x14ac:dyDescent="0.25">
      <c r="A274" s="23">
        <v>130201</v>
      </c>
      <c r="B274" s="11">
        <v>30</v>
      </c>
      <c r="C274" s="11" t="s">
        <v>1099</v>
      </c>
      <c r="D274" s="11" t="s">
        <v>121</v>
      </c>
      <c r="E274" s="11" t="s">
        <v>145</v>
      </c>
      <c r="F274" s="11"/>
      <c r="G274" s="33" t="str">
        <f>_xlfn.XLOOKUP(CT274,'Just Methods'!T:T,'Just Methods'!S:S)</f>
        <v xml:space="preserve"> 30" MDS FLEX DEF+ULTRA RES MFL </v>
      </c>
      <c r="H274" s="47" t="str">
        <f>_xlfn.XLOOKUP(CT274,'Just Methods'!T:T,'Just Methods'!C:C)</f>
        <v>DEF.UMFL.30</v>
      </c>
      <c r="I274" s="9" t="str">
        <f>_xlfn.XLOOKUP(H274,'Alternative Tool Body Sheet'!A:A,'Alternative Tool Body Sheet'!C:C)</f>
        <v>30 MDS</v>
      </c>
      <c r="J274" s="11">
        <f t="shared" si="7"/>
        <v>7</v>
      </c>
      <c r="K274" s="11" t="s">
        <v>114</v>
      </c>
      <c r="L274" s="11">
        <v>30</v>
      </c>
      <c r="M274" s="11">
        <v>25.5</v>
      </c>
      <c r="N274" s="11"/>
      <c r="O274" s="11"/>
      <c r="P274" s="11"/>
      <c r="Q274" s="11" t="s">
        <v>115</v>
      </c>
      <c r="R274" s="11">
        <v>27</v>
      </c>
      <c r="S274" s="11"/>
      <c r="T274" s="11"/>
      <c r="U274" s="11" t="s">
        <v>99</v>
      </c>
      <c r="V274" s="11">
        <v>10</v>
      </c>
      <c r="W274" s="11">
        <v>10</v>
      </c>
      <c r="X274" s="11">
        <v>1</v>
      </c>
      <c r="Y274" s="11">
        <v>1</v>
      </c>
      <c r="Z274" s="11">
        <v>1.0880000000000001</v>
      </c>
      <c r="AA274" s="11">
        <v>112</v>
      </c>
      <c r="AB274" s="11"/>
      <c r="AC274" s="11"/>
      <c r="AD274" s="11">
        <v>112</v>
      </c>
      <c r="AE274" s="11"/>
      <c r="AF274" s="11"/>
      <c r="AG274" s="11"/>
      <c r="AH274" s="11">
        <v>672</v>
      </c>
      <c r="AI274" s="11"/>
      <c r="AJ274" s="11"/>
      <c r="AK274" s="11"/>
      <c r="AL274" s="11"/>
      <c r="AM274" s="11"/>
      <c r="AN274" s="11">
        <v>750</v>
      </c>
      <c r="AO274" s="11">
        <v>150</v>
      </c>
      <c r="AP274" s="11"/>
      <c r="AQ274" s="11">
        <v>3537</v>
      </c>
      <c r="AR274" s="11"/>
      <c r="AS274" s="11"/>
      <c r="AT274" s="11">
        <v>100</v>
      </c>
      <c r="AU274" s="11"/>
      <c r="AV274" s="11"/>
      <c r="AW274" s="11"/>
      <c r="AX274" s="11">
        <v>400</v>
      </c>
      <c r="AY274" s="11">
        <v>2000</v>
      </c>
      <c r="AZ274" s="11" t="s">
        <v>1100</v>
      </c>
      <c r="BA274" s="11" t="s">
        <v>102</v>
      </c>
      <c r="BB274" s="11" t="s">
        <v>101</v>
      </c>
      <c r="BC274" s="11" t="s">
        <v>101</v>
      </c>
      <c r="BD274" s="11" t="s">
        <v>101</v>
      </c>
      <c r="BE274" s="11" t="s">
        <v>102</v>
      </c>
      <c r="BF274" s="11" t="s">
        <v>118</v>
      </c>
      <c r="BG274" s="11" t="s">
        <v>118</v>
      </c>
      <c r="BH274" s="11" t="s">
        <v>105</v>
      </c>
      <c r="BI274" s="11">
        <v>13</v>
      </c>
      <c r="BJ274" s="11">
        <v>3</v>
      </c>
      <c r="BK274" s="11">
        <v>3</v>
      </c>
      <c r="BL274" s="11">
        <v>32</v>
      </c>
      <c r="BM274" s="11">
        <v>6</v>
      </c>
      <c r="BN274" s="11">
        <v>18</v>
      </c>
      <c r="BO274" s="11">
        <v>13</v>
      </c>
      <c r="BP274" s="11">
        <v>13</v>
      </c>
      <c r="BQ274" s="11">
        <v>3</v>
      </c>
      <c r="BR274" s="11">
        <v>32</v>
      </c>
      <c r="BS274" s="11">
        <v>6</v>
      </c>
      <c r="BT274" s="11">
        <v>18</v>
      </c>
      <c r="BX274" s="55">
        <v>130299</v>
      </c>
      <c r="BY274" s="8">
        <v>111574</v>
      </c>
      <c r="CI274" s="51"/>
      <c r="CJ274" s="8" t="b">
        <v>0</v>
      </c>
      <c r="CT274" s="8">
        <v>130201</v>
      </c>
    </row>
    <row r="275" spans="1:98" s="8" customFormat="1" x14ac:dyDescent="0.25">
      <c r="A275" s="13">
        <v>114533</v>
      </c>
      <c r="B275" s="9">
        <v>30</v>
      </c>
      <c r="C275" s="9" t="s">
        <v>1101</v>
      </c>
      <c r="D275" s="9" t="s">
        <v>94</v>
      </c>
      <c r="E275" s="9" t="s">
        <v>258</v>
      </c>
      <c r="F275" s="9"/>
      <c r="G275" s="33" t="str">
        <f>_xlfn.XLOOKUP(CT275,'Just Methods'!T:T,'Just Methods'!S:S)</f>
        <v xml:space="preserve"> 30" GMFL ATEX </v>
      </c>
      <c r="H275" s="47" t="str">
        <f>_xlfn.XLOOKUP(CT275,'Just Methods'!T:T,'Just Methods'!C:C)</f>
        <v>GMFL.30</v>
      </c>
      <c r="I275" s="9" t="str">
        <f>_xlfn.XLOOKUP(H275,'Alternative Tool Body Sheet'!A:A,'Alternative Tool Body Sheet'!C:C)</f>
        <v>28/30 GMFL</v>
      </c>
      <c r="J275" s="9">
        <f t="shared" si="7"/>
        <v>5</v>
      </c>
      <c r="K275" s="9" t="s">
        <v>114</v>
      </c>
      <c r="L275" s="9">
        <v>30</v>
      </c>
      <c r="M275" s="9">
        <v>22.5</v>
      </c>
      <c r="P275" s="9">
        <v>27</v>
      </c>
      <c r="Q275" s="9" t="s">
        <v>115</v>
      </c>
      <c r="R275" s="9">
        <v>27</v>
      </c>
      <c r="T275" s="9">
        <v>22.75</v>
      </c>
      <c r="V275" s="9">
        <v>10</v>
      </c>
      <c r="W275" s="9">
        <v>10</v>
      </c>
      <c r="X275" s="9">
        <v>0.86299999999999999</v>
      </c>
      <c r="Y275" s="9">
        <v>1</v>
      </c>
      <c r="Z275" s="9">
        <v>0.99299999999999999</v>
      </c>
      <c r="AC275" s="9">
        <v>270</v>
      </c>
      <c r="AD275" s="9">
        <v>90</v>
      </c>
      <c r="AN275" s="9">
        <v>750</v>
      </c>
      <c r="AO275" s="9">
        <v>108</v>
      </c>
      <c r="AQ275" s="9">
        <v>1940</v>
      </c>
      <c r="AS275" s="9">
        <v>0</v>
      </c>
      <c r="AT275" s="9">
        <v>0</v>
      </c>
      <c r="AY275" s="9">
        <v>2000</v>
      </c>
      <c r="BA275" s="9" t="s">
        <v>102</v>
      </c>
      <c r="BB275" s="9" t="s">
        <v>102</v>
      </c>
      <c r="BC275" s="9" t="s">
        <v>102</v>
      </c>
      <c r="BD275" s="9" t="s">
        <v>102</v>
      </c>
      <c r="BE275" s="9" t="s">
        <v>102</v>
      </c>
      <c r="BF275" s="9" t="s">
        <v>118</v>
      </c>
      <c r="BG275" s="9" t="s">
        <v>118</v>
      </c>
      <c r="BH275" s="9" t="s">
        <v>105</v>
      </c>
      <c r="BI275" s="9">
        <v>9</v>
      </c>
      <c r="BJ275" s="9">
        <v>3</v>
      </c>
      <c r="BK275" s="9">
        <v>3</v>
      </c>
      <c r="BL275" s="9">
        <v>32</v>
      </c>
      <c r="BM275" s="9">
        <v>6</v>
      </c>
      <c r="BN275" s="9">
        <v>12</v>
      </c>
      <c r="BO275" s="9">
        <v>9</v>
      </c>
      <c r="BP275" s="9">
        <v>9</v>
      </c>
      <c r="BQ275" s="9">
        <v>3</v>
      </c>
      <c r="BR275" s="9">
        <v>32</v>
      </c>
      <c r="BS275" s="9">
        <v>6</v>
      </c>
      <c r="BT275" s="9">
        <v>12</v>
      </c>
      <c r="CI275" s="51">
        <v>109360</v>
      </c>
      <c r="CJ275" s="8" t="b">
        <v>0</v>
      </c>
      <c r="CT275" s="8">
        <v>114533</v>
      </c>
    </row>
    <row r="276" spans="1:98" s="8" customFormat="1" x14ac:dyDescent="0.25">
      <c r="A276" s="23">
        <v>130196</v>
      </c>
      <c r="B276" s="11">
        <v>30</v>
      </c>
      <c r="C276" s="11" t="s">
        <v>1102</v>
      </c>
      <c r="D276" s="11" t="s">
        <v>121</v>
      </c>
      <c r="E276" s="11" t="s">
        <v>331</v>
      </c>
      <c r="F276" s="11"/>
      <c r="G276" s="33" t="str">
        <f>_xlfn.XLOOKUP(CT276,'Just Methods'!T:T,'Just Methods'!S:S)</f>
        <v xml:space="preserve"> 30" DEF+LFM+SpirALL MFL+ULTRA RES MFL+XYZ </v>
      </c>
      <c r="H276" s="47" t="str">
        <f>_xlfn.XLOOKUP(CT276,'Just Methods'!T:T,'Just Methods'!C:C)</f>
        <v>DEF.LFM.SMFL.UMFL.XYZ.30</v>
      </c>
      <c r="I276" s="9" t="s">
        <v>1086</v>
      </c>
      <c r="J276" s="11">
        <f t="shared" si="7"/>
        <v>7</v>
      </c>
      <c r="K276" s="11" t="s">
        <v>114</v>
      </c>
      <c r="L276" s="11">
        <v>30</v>
      </c>
      <c r="M276" s="11">
        <v>25.5</v>
      </c>
      <c r="N276" s="11">
        <v>15</v>
      </c>
      <c r="O276" s="11"/>
      <c r="P276" s="11">
        <v>27</v>
      </c>
      <c r="Q276" s="11" t="s">
        <v>115</v>
      </c>
      <c r="R276" s="11">
        <v>27</v>
      </c>
      <c r="S276" s="11">
        <v>27</v>
      </c>
      <c r="T276" s="11">
        <v>27</v>
      </c>
      <c r="U276" s="11" t="s">
        <v>99</v>
      </c>
      <c r="V276" s="11">
        <v>10</v>
      </c>
      <c r="W276" s="11">
        <v>10</v>
      </c>
      <c r="X276" s="11">
        <v>1</v>
      </c>
      <c r="Y276" s="11">
        <v>1</v>
      </c>
      <c r="Z276" s="11">
        <v>1.0880000000000001</v>
      </c>
      <c r="AA276" s="11">
        <v>112</v>
      </c>
      <c r="AB276" s="11"/>
      <c r="AC276" s="11"/>
      <c r="AD276" s="11">
        <v>112</v>
      </c>
      <c r="AE276" s="11"/>
      <c r="AF276" s="11">
        <v>336</v>
      </c>
      <c r="AG276" s="11"/>
      <c r="AH276" s="11">
        <v>672</v>
      </c>
      <c r="AI276" s="11"/>
      <c r="AJ276" s="11">
        <v>720</v>
      </c>
      <c r="AK276" s="11"/>
      <c r="AL276" s="11"/>
      <c r="AM276" s="11"/>
      <c r="AN276" s="11">
        <v>750</v>
      </c>
      <c r="AO276" s="11">
        <v>201</v>
      </c>
      <c r="AP276" s="11"/>
      <c r="AQ276" s="11">
        <v>6400</v>
      </c>
      <c r="AR276" s="11"/>
      <c r="AS276" s="11"/>
      <c r="AT276" s="11">
        <v>39</v>
      </c>
      <c r="AU276" s="11"/>
      <c r="AV276" s="11">
        <v>24.66</v>
      </c>
      <c r="AW276" s="11">
        <v>2.06</v>
      </c>
      <c r="AX276" s="11">
        <v>400</v>
      </c>
      <c r="AY276" s="11">
        <v>2000</v>
      </c>
      <c r="AZ276" s="11" t="s">
        <v>1103</v>
      </c>
      <c r="BA276" s="11" t="s">
        <v>102</v>
      </c>
      <c r="BB276" s="11" t="s">
        <v>102</v>
      </c>
      <c r="BC276" s="11" t="s">
        <v>102</v>
      </c>
      <c r="BD276" s="11" t="s">
        <v>102</v>
      </c>
      <c r="BE276" s="11" t="s">
        <v>102</v>
      </c>
      <c r="BF276" s="11" t="s">
        <v>118</v>
      </c>
      <c r="BG276" s="11" t="s">
        <v>104</v>
      </c>
      <c r="BH276" s="11" t="s">
        <v>105</v>
      </c>
      <c r="BI276" s="11">
        <v>17</v>
      </c>
      <c r="BJ276" s="11">
        <v>3</v>
      </c>
      <c r="BK276" s="11">
        <v>3</v>
      </c>
      <c r="BL276" s="11">
        <v>32</v>
      </c>
      <c r="BM276" s="11">
        <v>6</v>
      </c>
      <c r="BN276" s="11">
        <v>22</v>
      </c>
      <c r="BO276" s="11">
        <v>17</v>
      </c>
      <c r="BP276" s="11">
        <v>17</v>
      </c>
      <c r="BQ276" s="11">
        <v>3</v>
      </c>
      <c r="BR276" s="11">
        <v>32</v>
      </c>
      <c r="BS276" s="11">
        <v>6</v>
      </c>
      <c r="BT276" s="11">
        <v>22</v>
      </c>
      <c r="BX276" s="8">
        <v>115091</v>
      </c>
      <c r="BY276" s="8">
        <v>111574</v>
      </c>
      <c r="CD276" s="8">
        <v>120020</v>
      </c>
      <c r="CH276" s="8">
        <v>113138</v>
      </c>
      <c r="CI276" s="51"/>
      <c r="CJ276" s="8" t="b">
        <v>0</v>
      </c>
      <c r="CT276" s="8">
        <v>130196</v>
      </c>
    </row>
    <row r="277" spans="1:98" s="8" customFormat="1" x14ac:dyDescent="0.25">
      <c r="A277" s="23">
        <v>130199</v>
      </c>
      <c r="B277" s="11">
        <v>30</v>
      </c>
      <c r="C277" s="11" t="s">
        <v>1104</v>
      </c>
      <c r="D277" s="11" t="s">
        <v>121</v>
      </c>
      <c r="E277" s="11" t="s">
        <v>390</v>
      </c>
      <c r="F277" s="11"/>
      <c r="G277" s="33" t="str">
        <f>_xlfn.XLOOKUP(CT277,'Just Methods'!T:T,'Just Methods'!S:S)</f>
        <v xml:space="preserve"> 30" MDS FLEX DEF+ULTRA RES MFL+LFM </v>
      </c>
      <c r="H277" s="47" t="str">
        <f>_xlfn.XLOOKUP(CT277,'Just Methods'!T:T,'Just Methods'!C:C)</f>
        <v>DEF.LFM.UMFL.30</v>
      </c>
      <c r="I277" s="9" t="str">
        <f>_xlfn.XLOOKUP(H277,'Alternative Tool Body Sheet'!A:A,'Alternative Tool Body Sheet'!C:C)</f>
        <v>30 MDS</v>
      </c>
      <c r="J277" s="11">
        <f t="shared" si="7"/>
        <v>7</v>
      </c>
      <c r="K277" s="11" t="s">
        <v>114</v>
      </c>
      <c r="L277" s="11">
        <v>30</v>
      </c>
      <c r="M277" s="11">
        <v>25.5</v>
      </c>
      <c r="N277" s="11">
        <v>15</v>
      </c>
      <c r="O277" s="11"/>
      <c r="P277" s="11">
        <v>27</v>
      </c>
      <c r="Q277" s="11" t="s">
        <v>115</v>
      </c>
      <c r="R277" s="11">
        <v>27</v>
      </c>
      <c r="S277" s="11">
        <v>27</v>
      </c>
      <c r="T277" s="11">
        <v>27</v>
      </c>
      <c r="U277" s="11" t="s">
        <v>99</v>
      </c>
      <c r="V277" s="11">
        <v>10</v>
      </c>
      <c r="W277" s="11">
        <v>10</v>
      </c>
      <c r="X277" s="11">
        <v>1</v>
      </c>
      <c r="Y277" s="11">
        <v>1</v>
      </c>
      <c r="Z277" s="11">
        <v>1.0880000000000001</v>
      </c>
      <c r="AA277" s="11">
        <v>112</v>
      </c>
      <c r="AB277" s="11"/>
      <c r="AC277" s="11"/>
      <c r="AD277" s="11">
        <v>112</v>
      </c>
      <c r="AE277" s="11"/>
      <c r="AF277" s="11">
        <v>336</v>
      </c>
      <c r="AG277" s="11"/>
      <c r="AH277" s="11">
        <v>672</v>
      </c>
      <c r="AI277" s="11"/>
      <c r="AJ277" s="11"/>
      <c r="AK277" s="11"/>
      <c r="AL277" s="11"/>
      <c r="AM277" s="11"/>
      <c r="AN277" s="11">
        <v>750</v>
      </c>
      <c r="AO277" s="11">
        <v>150</v>
      </c>
      <c r="AP277" s="11"/>
      <c r="AQ277" s="11">
        <v>4350</v>
      </c>
      <c r="AR277" s="11"/>
      <c r="AS277" s="11"/>
      <c r="AT277" s="11">
        <v>82</v>
      </c>
      <c r="AU277" s="11">
        <v>486000</v>
      </c>
      <c r="AV277" s="11">
        <v>10.42</v>
      </c>
      <c r="AW277" s="11">
        <v>0.87</v>
      </c>
      <c r="AX277" s="11">
        <v>400</v>
      </c>
      <c r="AY277" s="11">
        <v>2000</v>
      </c>
      <c r="AZ277" s="11" t="s">
        <v>1105</v>
      </c>
      <c r="BA277" s="11" t="s">
        <v>102</v>
      </c>
      <c r="BB277" s="11" t="s">
        <v>102</v>
      </c>
      <c r="BC277" s="11" t="s">
        <v>102</v>
      </c>
      <c r="BD277" s="11" t="s">
        <v>102</v>
      </c>
      <c r="BE277" s="11" t="s">
        <v>102</v>
      </c>
      <c r="BF277" s="11" t="s">
        <v>118</v>
      </c>
      <c r="BG277" s="11" t="s">
        <v>118</v>
      </c>
      <c r="BH277" s="11" t="s">
        <v>105</v>
      </c>
      <c r="BI277" s="11">
        <v>13</v>
      </c>
      <c r="BJ277" s="11">
        <v>3</v>
      </c>
      <c r="BK277" s="11">
        <v>3</v>
      </c>
      <c r="BL277" s="11">
        <v>32</v>
      </c>
      <c r="BM277" s="11">
        <v>6</v>
      </c>
      <c r="BN277" s="11">
        <v>18</v>
      </c>
      <c r="BO277" s="11">
        <v>13</v>
      </c>
      <c r="BP277" s="11">
        <v>13</v>
      </c>
      <c r="BQ277" s="11">
        <v>3</v>
      </c>
      <c r="BR277" s="11">
        <v>32</v>
      </c>
      <c r="BS277" s="11">
        <v>6</v>
      </c>
      <c r="BT277" s="11">
        <v>18</v>
      </c>
      <c r="BX277" s="55">
        <v>130299</v>
      </c>
      <c r="BY277" s="8">
        <v>111574</v>
      </c>
      <c r="CH277" s="8">
        <v>113138</v>
      </c>
      <c r="CI277" s="51"/>
      <c r="CJ277" s="8" t="b">
        <v>0</v>
      </c>
      <c r="CT277" s="8">
        <v>130199</v>
      </c>
    </row>
    <row r="278" spans="1:98" s="8" customFormat="1" x14ac:dyDescent="0.25">
      <c r="A278" s="13">
        <v>111782</v>
      </c>
      <c r="B278" s="9">
        <v>30</v>
      </c>
      <c r="C278" s="9" t="s">
        <v>1106</v>
      </c>
      <c r="D278" s="9" t="s">
        <v>94</v>
      </c>
      <c r="E278" s="9" t="s">
        <v>349</v>
      </c>
      <c r="F278" s="9"/>
      <c r="G278" s="33" t="str">
        <f>_xlfn.XLOOKUP(CT278,'Just Methods'!T:T,'Just Methods'!S:S)</f>
        <v xml:space="preserve"> 30" GMFL+DEF (xHD) </v>
      </c>
      <c r="H278" s="47" t="str">
        <f>_xlfn.XLOOKUP(CT278,'Just Methods'!T:T,'Just Methods'!C:C)</f>
        <v>DEF.GMFL.30</v>
      </c>
      <c r="I278" s="9" t="str">
        <f>_xlfn.XLOOKUP(H278,'Alternative Tool Body Sheet'!A:A,'Alternative Tool Body Sheet'!C:C)</f>
        <v>26/30 DEF</v>
      </c>
      <c r="J278" s="9">
        <f t="shared" si="7"/>
        <v>5</v>
      </c>
      <c r="K278" s="9" t="s">
        <v>114</v>
      </c>
      <c r="L278" s="9">
        <v>30</v>
      </c>
      <c r="M278" s="9">
        <v>22.5</v>
      </c>
      <c r="N278" s="9">
        <v>25</v>
      </c>
      <c r="P278" s="9">
        <v>27</v>
      </c>
      <c r="Q278" s="9" t="s">
        <v>115</v>
      </c>
      <c r="R278" s="9">
        <v>27</v>
      </c>
      <c r="T278" s="9">
        <v>22.75</v>
      </c>
      <c r="U278" s="9" t="s">
        <v>116</v>
      </c>
      <c r="V278" s="9">
        <v>10</v>
      </c>
      <c r="W278" s="9">
        <v>10</v>
      </c>
      <c r="X278" s="9">
        <v>0.86299999999999999</v>
      </c>
      <c r="Y278" s="9">
        <v>1</v>
      </c>
      <c r="Z278" s="9">
        <v>0.99299999999999999</v>
      </c>
      <c r="AA278" s="9">
        <v>65</v>
      </c>
      <c r="AC278" s="9">
        <v>270</v>
      </c>
      <c r="AD278" s="9">
        <v>90</v>
      </c>
      <c r="AN278" s="9">
        <v>750</v>
      </c>
      <c r="AO278" s="9">
        <v>166</v>
      </c>
      <c r="AQ278" s="9">
        <v>2350</v>
      </c>
      <c r="AS278" s="9">
        <v>0</v>
      </c>
      <c r="AT278" s="9">
        <v>372</v>
      </c>
      <c r="AX278" s="9">
        <v>200</v>
      </c>
      <c r="AY278" s="9">
        <v>2000</v>
      </c>
      <c r="AZ278" s="9" t="s">
        <v>1107</v>
      </c>
      <c r="BA278" s="9" t="s">
        <v>102</v>
      </c>
      <c r="BB278" s="9" t="s">
        <v>101</v>
      </c>
      <c r="BC278" s="9" t="s">
        <v>101</v>
      </c>
      <c r="BD278" s="9" t="s">
        <v>102</v>
      </c>
      <c r="BE278" s="9" t="s">
        <v>102</v>
      </c>
      <c r="BF278" s="9" t="s">
        <v>126</v>
      </c>
      <c r="BG278" s="9" t="s">
        <v>126</v>
      </c>
      <c r="BH278" s="9" t="s">
        <v>105</v>
      </c>
      <c r="BI278" s="9">
        <v>14</v>
      </c>
      <c r="BJ278" s="9">
        <v>3</v>
      </c>
      <c r="BK278" s="9">
        <v>3</v>
      </c>
      <c r="BL278" s="9">
        <v>32</v>
      </c>
      <c r="BM278" s="9">
        <v>6</v>
      </c>
      <c r="BN278" s="9">
        <v>19</v>
      </c>
      <c r="BO278" s="9">
        <v>14</v>
      </c>
      <c r="BP278" s="9">
        <v>14</v>
      </c>
      <c r="BQ278" s="9">
        <v>3</v>
      </c>
      <c r="BR278" s="9">
        <v>32</v>
      </c>
      <c r="BS278" s="9">
        <v>6</v>
      </c>
      <c r="BT278" s="9">
        <v>19</v>
      </c>
      <c r="BY278">
        <v>110887</v>
      </c>
      <c r="CI278" s="51">
        <v>109360</v>
      </c>
      <c r="CJ278" s="8" t="b">
        <v>0</v>
      </c>
      <c r="CT278" s="8">
        <v>111782</v>
      </c>
    </row>
    <row r="279" spans="1:98" s="8" customFormat="1" x14ac:dyDescent="0.25">
      <c r="A279" s="21" t="s">
        <v>1108</v>
      </c>
      <c r="B279" s="10">
        <v>30</v>
      </c>
      <c r="C279" s="10" t="s">
        <v>1109</v>
      </c>
      <c r="D279" s="10" t="s">
        <v>121</v>
      </c>
      <c r="E279" s="10" t="s">
        <v>331</v>
      </c>
      <c r="F279" s="10"/>
      <c r="G279" s="33" t="str">
        <f>_xlfn.XLOOKUP(CT279,'Just Methods'!T:T,'Just Methods'!S:S)</f>
        <v xml:space="preserve"> 30" MFL+DEF+SpirALL® MFL+LFM+XYZ </v>
      </c>
      <c r="H279" s="47" t="str">
        <f>_xlfn.XLOOKUP(CT279,'Just Methods'!T:T,'Just Methods'!C:C)</f>
        <v>DEF.LFM.MFL.SMFL.XYZ.30</v>
      </c>
      <c r="I279" s="9" t="str">
        <f>_xlfn.XLOOKUP(H279,'Alternative Tool Body Sheet'!A:A,'Alternative Tool Body Sheet'!C:C)</f>
        <v>30 MDS</v>
      </c>
      <c r="J279" s="10">
        <f t="shared" si="7"/>
        <v>7</v>
      </c>
      <c r="K279" s="10" t="s">
        <v>114</v>
      </c>
      <c r="L279" s="10">
        <v>30</v>
      </c>
      <c r="M279" s="10">
        <v>25.5</v>
      </c>
      <c r="N279" s="10">
        <v>15</v>
      </c>
      <c r="O279" s="10"/>
      <c r="P279" s="10">
        <v>27</v>
      </c>
      <c r="Q279" s="10" t="s">
        <v>115</v>
      </c>
      <c r="R279" s="10">
        <v>27</v>
      </c>
      <c r="S279" s="10">
        <v>27</v>
      </c>
      <c r="T279" s="10">
        <v>27</v>
      </c>
      <c r="U279" s="10" t="s">
        <v>99</v>
      </c>
      <c r="V279" s="10">
        <v>8.3000000000000007</v>
      </c>
      <c r="W279" s="10">
        <v>10</v>
      </c>
      <c r="X279" s="10">
        <v>1</v>
      </c>
      <c r="Y279" s="10">
        <v>1</v>
      </c>
      <c r="Z279" s="10">
        <v>1.0880000000000001</v>
      </c>
      <c r="AA279" s="10">
        <v>112</v>
      </c>
      <c r="AB279" s="10"/>
      <c r="AC279" s="10"/>
      <c r="AD279" s="10">
        <v>112</v>
      </c>
      <c r="AE279" s="10"/>
      <c r="AF279" s="10">
        <v>336</v>
      </c>
      <c r="AG279" s="10"/>
      <c r="AH279" s="10">
        <v>336</v>
      </c>
      <c r="AI279" s="10"/>
      <c r="AJ279" s="10">
        <v>720</v>
      </c>
      <c r="AK279" s="10"/>
      <c r="AL279" s="10"/>
      <c r="AM279" s="10"/>
      <c r="AN279" s="10">
        <v>750</v>
      </c>
      <c r="AO279" s="10">
        <v>201</v>
      </c>
      <c r="AP279" s="10"/>
      <c r="AQ279" s="10">
        <v>6400</v>
      </c>
      <c r="AR279" s="10"/>
      <c r="AS279" s="10"/>
      <c r="AT279" s="10">
        <v>35</v>
      </c>
      <c r="AU279" s="10"/>
      <c r="AV279" s="10">
        <v>24.66</v>
      </c>
      <c r="AW279" s="10">
        <v>2.06</v>
      </c>
      <c r="AX279" s="10">
        <v>400</v>
      </c>
      <c r="AY279" s="10">
        <v>2000</v>
      </c>
      <c r="AZ279" s="10" t="s">
        <v>1110</v>
      </c>
      <c r="BA279" s="10" t="s">
        <v>102</v>
      </c>
      <c r="BB279" s="10" t="s">
        <v>102</v>
      </c>
      <c r="BC279" s="10" t="s">
        <v>102</v>
      </c>
      <c r="BD279" s="10" t="s">
        <v>102</v>
      </c>
      <c r="BE279" s="10" t="s">
        <v>102</v>
      </c>
      <c r="BF279" s="10" t="s">
        <v>118</v>
      </c>
      <c r="BG279" s="10" t="s">
        <v>104</v>
      </c>
      <c r="BH279" s="10" t="s">
        <v>105</v>
      </c>
      <c r="BI279" s="10">
        <v>17</v>
      </c>
      <c r="BJ279" s="10">
        <v>3</v>
      </c>
      <c r="BK279" s="10">
        <v>3</v>
      </c>
      <c r="BL279" s="10">
        <v>32</v>
      </c>
      <c r="BM279" s="10">
        <v>6</v>
      </c>
      <c r="BN279" s="10">
        <v>22</v>
      </c>
      <c r="BO279" s="10">
        <v>17</v>
      </c>
      <c r="BP279" s="10">
        <v>17</v>
      </c>
      <c r="BQ279" s="10">
        <v>3</v>
      </c>
      <c r="BR279" s="10">
        <v>32</v>
      </c>
      <c r="BS279" s="10">
        <v>6</v>
      </c>
      <c r="BT279" s="10">
        <v>22</v>
      </c>
      <c r="BX279" s="8">
        <v>115091</v>
      </c>
      <c r="BY279" s="8">
        <v>111574</v>
      </c>
      <c r="CD279" s="8">
        <v>120020</v>
      </c>
      <c r="CH279" s="8">
        <v>113138</v>
      </c>
      <c r="CI279" s="51"/>
      <c r="CJ279" s="8" t="b">
        <v>1</v>
      </c>
      <c r="CT279" s="8" t="s">
        <v>1108</v>
      </c>
    </row>
    <row r="280" spans="1:98" s="8" customFormat="1" x14ac:dyDescent="0.25">
      <c r="A280" s="23">
        <v>130197</v>
      </c>
      <c r="B280" s="11">
        <v>30</v>
      </c>
      <c r="C280" s="11" t="s">
        <v>1111</v>
      </c>
      <c r="D280" s="11" t="s">
        <v>121</v>
      </c>
      <c r="E280" s="11" t="s">
        <v>301</v>
      </c>
      <c r="F280" s="11"/>
      <c r="G280" s="33" t="str">
        <f>_xlfn.XLOOKUP(CT280,'Just Methods'!T:T,'Just Methods'!S:S)</f>
        <v xml:space="preserve"> 30" DEF+ULTRA RES MFL+LFM+SMFL </v>
      </c>
      <c r="H280" s="47" t="str">
        <f>_xlfn.XLOOKUP(CT280,'Just Methods'!T:T,'Just Methods'!C:C)</f>
        <v>DEF.LFM.SMFL.UMFL.30</v>
      </c>
      <c r="I280" s="9" t="str">
        <f>_xlfn.XLOOKUP(H280,'Alternative Tool Body Sheet'!A:A,'Alternative Tool Body Sheet'!C:C)</f>
        <v>30 MDS</v>
      </c>
      <c r="J280" s="11">
        <f t="shared" si="7"/>
        <v>7</v>
      </c>
      <c r="K280" s="11" t="s">
        <v>114</v>
      </c>
      <c r="L280" s="11">
        <v>30</v>
      </c>
      <c r="M280" s="11">
        <v>25.5</v>
      </c>
      <c r="N280" s="11">
        <v>15</v>
      </c>
      <c r="O280" s="11"/>
      <c r="P280" s="11">
        <v>27</v>
      </c>
      <c r="Q280" s="11" t="s">
        <v>115</v>
      </c>
      <c r="R280" s="11">
        <v>27</v>
      </c>
      <c r="S280" s="11">
        <v>27</v>
      </c>
      <c r="T280" s="11">
        <v>27</v>
      </c>
      <c r="U280" s="11" t="s">
        <v>99</v>
      </c>
      <c r="V280" s="11">
        <v>10</v>
      </c>
      <c r="W280" s="11">
        <v>10</v>
      </c>
      <c r="X280" s="11">
        <v>1</v>
      </c>
      <c r="Y280" s="11">
        <v>1</v>
      </c>
      <c r="Z280" s="11">
        <v>1.0880000000000001</v>
      </c>
      <c r="AA280" s="11">
        <v>112</v>
      </c>
      <c r="AB280" s="11"/>
      <c r="AC280" s="11"/>
      <c r="AD280" s="11">
        <v>112</v>
      </c>
      <c r="AE280" s="11"/>
      <c r="AF280" s="11">
        <v>336</v>
      </c>
      <c r="AG280" s="11"/>
      <c r="AH280" s="11">
        <v>672</v>
      </c>
      <c r="AI280" s="11"/>
      <c r="AJ280" s="11">
        <v>720</v>
      </c>
      <c r="AK280" s="11"/>
      <c r="AL280" s="11"/>
      <c r="AM280" s="11"/>
      <c r="AN280" s="11">
        <v>750</v>
      </c>
      <c r="AO280" s="11">
        <v>200</v>
      </c>
      <c r="AP280" s="11"/>
      <c r="AQ280" s="11">
        <v>6400</v>
      </c>
      <c r="AR280" s="11"/>
      <c r="AS280" s="11"/>
      <c r="AT280" s="11">
        <v>59</v>
      </c>
      <c r="AU280" s="11">
        <v>464400</v>
      </c>
      <c r="AV280" s="11">
        <v>12.66</v>
      </c>
      <c r="AW280" s="11">
        <v>1.06</v>
      </c>
      <c r="AX280" s="11">
        <v>400</v>
      </c>
      <c r="AY280" s="11">
        <v>2000</v>
      </c>
      <c r="AZ280" s="11" t="s">
        <v>1112</v>
      </c>
      <c r="BA280" s="11" t="s">
        <v>102</v>
      </c>
      <c r="BB280" s="11" t="s">
        <v>102</v>
      </c>
      <c r="BC280" s="11" t="s">
        <v>102</v>
      </c>
      <c r="BD280" s="11" t="s">
        <v>102</v>
      </c>
      <c r="BE280" s="11" t="s">
        <v>102</v>
      </c>
      <c r="BF280" s="11" t="s">
        <v>118</v>
      </c>
      <c r="BG280" s="11" t="s">
        <v>104</v>
      </c>
      <c r="BH280" s="11" t="s">
        <v>105</v>
      </c>
      <c r="BI280" s="11">
        <v>17</v>
      </c>
      <c r="BJ280" s="11">
        <v>3</v>
      </c>
      <c r="BK280" s="11">
        <v>3</v>
      </c>
      <c r="BL280" s="11">
        <v>32</v>
      </c>
      <c r="BM280" s="11">
        <v>6</v>
      </c>
      <c r="BN280" s="11">
        <v>22</v>
      </c>
      <c r="BO280" s="11">
        <v>17</v>
      </c>
      <c r="BP280" s="11">
        <v>17</v>
      </c>
      <c r="BQ280" s="11">
        <v>3</v>
      </c>
      <c r="BR280" s="11">
        <v>32</v>
      </c>
      <c r="BS280" s="11">
        <v>6</v>
      </c>
      <c r="BT280" s="11">
        <v>22</v>
      </c>
      <c r="BX280" s="55">
        <v>130299</v>
      </c>
      <c r="BY280" s="8">
        <v>111574</v>
      </c>
      <c r="CD280" s="8">
        <v>120020</v>
      </c>
      <c r="CH280" s="8">
        <v>113138</v>
      </c>
      <c r="CI280" s="51"/>
      <c r="CJ280" s="8" t="b">
        <v>0</v>
      </c>
      <c r="CT280" s="8">
        <v>130197</v>
      </c>
    </row>
    <row r="281" spans="1:98" s="8" customFormat="1" x14ac:dyDescent="0.25">
      <c r="A281" s="13">
        <v>114682</v>
      </c>
      <c r="B281" s="9">
        <v>30</v>
      </c>
      <c r="C281" s="9" t="s">
        <v>1113</v>
      </c>
      <c r="D281" s="9" t="s">
        <v>94</v>
      </c>
      <c r="E281" s="9" t="s">
        <v>194</v>
      </c>
      <c r="F281" s="9"/>
      <c r="G281" s="33" t="str">
        <f>_xlfn.XLOOKUP(CT281,'Just Methods'!T:T,'Just Methods'!S:S)</f>
        <v xml:space="preserve"> 30" DEF+XYZ (xHD) </v>
      </c>
      <c r="H281" s="47" t="str">
        <f>_xlfn.XLOOKUP(CT281,'Just Methods'!T:T,'Just Methods'!C:C)</f>
        <v>DEF.XYZ.30</v>
      </c>
      <c r="I281" s="9" t="str">
        <f>_xlfn.XLOOKUP(H281,'Alternative Tool Body Sheet'!A:A,'Alternative Tool Body Sheet'!C:C)</f>
        <v>26/30 DEF</v>
      </c>
      <c r="J281" s="9">
        <f t="shared" si="7"/>
        <v>5</v>
      </c>
      <c r="K281" s="9" t="s">
        <v>114</v>
      </c>
      <c r="L281" s="9">
        <v>30</v>
      </c>
      <c r="M281" s="9">
        <v>22.5</v>
      </c>
      <c r="N281" s="9">
        <v>25</v>
      </c>
      <c r="P281" s="9">
        <v>27</v>
      </c>
      <c r="Q281" s="9" t="s">
        <v>115</v>
      </c>
      <c r="R281" s="9">
        <v>27</v>
      </c>
      <c r="T281" s="9">
        <v>22.75</v>
      </c>
      <c r="U281" s="9" t="s">
        <v>116</v>
      </c>
      <c r="V281" s="9">
        <v>15</v>
      </c>
      <c r="AA281" s="9">
        <v>65</v>
      </c>
      <c r="AN281" s="9">
        <v>750</v>
      </c>
      <c r="AO281" s="9">
        <v>100</v>
      </c>
      <c r="AQ281" s="9">
        <v>985</v>
      </c>
      <c r="AT281" s="9">
        <v>77</v>
      </c>
      <c r="AY281" s="9">
        <v>2000</v>
      </c>
      <c r="BA281" s="9" t="s">
        <v>102</v>
      </c>
      <c r="BB281" s="9" t="s">
        <v>101</v>
      </c>
      <c r="BC281" s="9" t="s">
        <v>101</v>
      </c>
      <c r="BD281" s="9" t="s">
        <v>102</v>
      </c>
      <c r="BE281" s="9" t="s">
        <v>102</v>
      </c>
      <c r="BF281" s="9" t="s">
        <v>126</v>
      </c>
      <c r="BG281" s="9" t="s">
        <v>126</v>
      </c>
      <c r="BH281" s="9" t="s">
        <v>105</v>
      </c>
      <c r="BY281">
        <v>110887</v>
      </c>
      <c r="CI281" s="51"/>
      <c r="CJ281" s="8" t="b">
        <v>0</v>
      </c>
      <c r="CT281" s="8">
        <v>114682</v>
      </c>
    </row>
    <row r="282" spans="1:98" s="8" customFormat="1" x14ac:dyDescent="0.25">
      <c r="A282" s="13">
        <v>109938</v>
      </c>
      <c r="B282" s="9">
        <v>30</v>
      </c>
      <c r="C282" s="9" t="s">
        <v>1114</v>
      </c>
      <c r="D282" s="9" t="s">
        <v>94</v>
      </c>
      <c r="E282" s="9" t="s">
        <v>258</v>
      </c>
      <c r="F282" s="9"/>
      <c r="G282" s="33" t="str">
        <f>_xlfn.XLOOKUP(CT282,'Just Methods'!T:T,'Just Methods'!S:S)</f>
        <v xml:space="preserve"> 30" GMFL2 (HW) </v>
      </c>
      <c r="H282" s="47" t="str">
        <f>_xlfn.XLOOKUP(CT282,'Just Methods'!T:T,'Just Methods'!C:C)</f>
        <v>GMFL.30</v>
      </c>
      <c r="I282" s="9" t="str">
        <f>_xlfn.XLOOKUP(H282,'Alternative Tool Body Sheet'!A:A,'Alternative Tool Body Sheet'!C:C)</f>
        <v>28/30 GMFL</v>
      </c>
      <c r="J282" s="9">
        <f t="shared" si="7"/>
        <v>5</v>
      </c>
      <c r="K282" s="9" t="s">
        <v>114</v>
      </c>
      <c r="L282" s="9">
        <v>30</v>
      </c>
      <c r="M282" s="9">
        <v>23.4</v>
      </c>
      <c r="N282" s="9">
        <v>25</v>
      </c>
      <c r="P282" s="9">
        <v>27</v>
      </c>
      <c r="Q282" s="9" t="s">
        <v>115</v>
      </c>
      <c r="R282" s="9">
        <v>27.5</v>
      </c>
      <c r="U282" s="9" t="s">
        <v>116</v>
      </c>
      <c r="V282" s="9">
        <v>10</v>
      </c>
      <c r="W282" s="9">
        <v>10</v>
      </c>
      <c r="X282" s="9">
        <v>1</v>
      </c>
      <c r="Y282" s="9">
        <v>1</v>
      </c>
      <c r="Z282" s="9">
        <v>1.169</v>
      </c>
      <c r="AC282" s="9">
        <v>270</v>
      </c>
      <c r="AD282" s="9">
        <v>90</v>
      </c>
      <c r="AN282" s="9">
        <v>750</v>
      </c>
      <c r="AO282" s="9">
        <v>110</v>
      </c>
      <c r="AQ282" s="9">
        <v>1960</v>
      </c>
      <c r="AS282" s="9">
        <v>0</v>
      </c>
      <c r="AT282" s="9">
        <v>169</v>
      </c>
      <c r="AX282" s="9">
        <v>200</v>
      </c>
      <c r="AY282" s="9">
        <v>2000</v>
      </c>
      <c r="AZ282" s="9" t="s">
        <v>1115</v>
      </c>
      <c r="BA282" s="9" t="s">
        <v>102</v>
      </c>
      <c r="BB282" s="9" t="s">
        <v>101</v>
      </c>
      <c r="BC282" s="9" t="s">
        <v>101</v>
      </c>
      <c r="BD282" s="9" t="s">
        <v>102</v>
      </c>
      <c r="BE282" s="9" t="s">
        <v>102</v>
      </c>
      <c r="BF282" s="9" t="s">
        <v>126</v>
      </c>
      <c r="BG282" s="9" t="s">
        <v>126</v>
      </c>
      <c r="BH282" s="9" t="s">
        <v>105</v>
      </c>
      <c r="BI282" s="9">
        <v>10</v>
      </c>
      <c r="BJ282" s="9">
        <v>3</v>
      </c>
      <c r="BK282" s="9">
        <v>3</v>
      </c>
      <c r="BL282" s="9">
        <v>32</v>
      </c>
      <c r="BM282" s="9">
        <v>6</v>
      </c>
      <c r="BN282" s="9">
        <v>13</v>
      </c>
      <c r="BO282" s="9">
        <v>10</v>
      </c>
      <c r="BP282" s="9">
        <v>10</v>
      </c>
      <c r="BQ282" s="9">
        <v>3</v>
      </c>
      <c r="BR282" s="9">
        <v>32</v>
      </c>
      <c r="BS282" s="9">
        <v>6</v>
      </c>
      <c r="BT282" s="9">
        <v>13</v>
      </c>
      <c r="CI282" s="51">
        <v>109360</v>
      </c>
      <c r="CJ282" s="8" t="b">
        <v>0</v>
      </c>
      <c r="CT282" s="8">
        <v>109938</v>
      </c>
    </row>
    <row r="283" spans="1:98" s="8" customFormat="1" x14ac:dyDescent="0.25">
      <c r="A283" s="23">
        <v>130198</v>
      </c>
      <c r="B283" s="11">
        <v>30</v>
      </c>
      <c r="C283" s="11" t="s">
        <v>1116</v>
      </c>
      <c r="D283" s="11" t="s">
        <v>121</v>
      </c>
      <c r="E283" s="11" t="s">
        <v>212</v>
      </c>
      <c r="F283" s="11"/>
      <c r="G283" s="33" t="str">
        <f>_xlfn.XLOOKUP(CT283,'Just Methods'!T:T,'Just Methods'!S:S)</f>
        <v xml:space="preserve"> MDS FLEX DEF+LFM+ULTRA RES MFL+XYZ </v>
      </c>
      <c r="H283" s="47" t="s">
        <v>1117</v>
      </c>
      <c r="I283" s="9" t="str">
        <f>_xlfn.XLOOKUP(H283,'Alternative Tool Body Sheet'!A:A,'Alternative Tool Body Sheet'!C:C)</f>
        <v>30 MDS</v>
      </c>
      <c r="J283" s="11">
        <f t="shared" si="7"/>
        <v>7</v>
      </c>
      <c r="K283" s="11" t="s">
        <v>114</v>
      </c>
      <c r="L283" s="11">
        <v>30</v>
      </c>
      <c r="M283" s="11">
        <v>25.5</v>
      </c>
      <c r="N283" s="11">
        <v>15</v>
      </c>
      <c r="O283" s="11"/>
      <c r="P283" s="11">
        <v>27</v>
      </c>
      <c r="Q283" s="11" t="s">
        <v>115</v>
      </c>
      <c r="R283" s="11">
        <v>27</v>
      </c>
      <c r="S283" s="11">
        <v>27</v>
      </c>
      <c r="T283" s="11">
        <v>27</v>
      </c>
      <c r="U283" s="11" t="s">
        <v>99</v>
      </c>
      <c r="V283" s="11">
        <v>10</v>
      </c>
      <c r="W283" s="11">
        <v>10</v>
      </c>
      <c r="X283" s="11">
        <v>1</v>
      </c>
      <c r="Y283" s="11">
        <v>1</v>
      </c>
      <c r="Z283" s="11">
        <v>1.0880000000000001</v>
      </c>
      <c r="AA283" s="11">
        <v>112</v>
      </c>
      <c r="AB283" s="11"/>
      <c r="AC283" s="11"/>
      <c r="AD283" s="11">
        <v>112</v>
      </c>
      <c r="AE283" s="11"/>
      <c r="AF283" s="11"/>
      <c r="AG283" s="11"/>
      <c r="AH283" s="11">
        <v>672</v>
      </c>
      <c r="AI283" s="11"/>
      <c r="AJ283" s="11"/>
      <c r="AK283" s="11"/>
      <c r="AL283" s="11"/>
      <c r="AM283" s="11"/>
      <c r="AN283" s="11">
        <v>750</v>
      </c>
      <c r="AO283" s="11">
        <v>150</v>
      </c>
      <c r="AP283" s="11"/>
      <c r="AQ283" s="11">
        <v>4350</v>
      </c>
      <c r="AR283" s="11"/>
      <c r="AS283" s="11"/>
      <c r="AT283" s="11">
        <v>48</v>
      </c>
      <c r="AU283" s="11"/>
      <c r="AV283" s="11">
        <v>22.42</v>
      </c>
      <c r="AW283" s="11">
        <v>1.87</v>
      </c>
      <c r="AX283" s="11">
        <v>400</v>
      </c>
      <c r="AY283" s="11">
        <v>2000</v>
      </c>
      <c r="AZ283" s="11" t="s">
        <v>1118</v>
      </c>
      <c r="BA283" s="11" t="s">
        <v>102</v>
      </c>
      <c r="BB283" s="11" t="s">
        <v>102</v>
      </c>
      <c r="BC283" s="11" t="s">
        <v>102</v>
      </c>
      <c r="BD283" s="11" t="s">
        <v>102</v>
      </c>
      <c r="BE283" s="11" t="s">
        <v>102</v>
      </c>
      <c r="BF283" s="11" t="s">
        <v>118</v>
      </c>
      <c r="BG283" s="11" t="s">
        <v>104</v>
      </c>
      <c r="BH283" s="11" t="s">
        <v>105</v>
      </c>
      <c r="BI283" s="11">
        <v>13</v>
      </c>
      <c r="BJ283" s="11">
        <v>3</v>
      </c>
      <c r="BK283" s="11">
        <v>3</v>
      </c>
      <c r="BL283" s="11">
        <v>32</v>
      </c>
      <c r="BM283" s="11">
        <v>6</v>
      </c>
      <c r="BN283" s="11">
        <v>18</v>
      </c>
      <c r="BO283" s="11">
        <v>13</v>
      </c>
      <c r="BP283" s="11">
        <v>13</v>
      </c>
      <c r="BQ283" s="11">
        <v>3</v>
      </c>
      <c r="BR283" s="11">
        <v>32</v>
      </c>
      <c r="BS283" s="11">
        <v>6</v>
      </c>
      <c r="BT283" s="11">
        <v>18</v>
      </c>
      <c r="BX283" s="55">
        <v>130299</v>
      </c>
      <c r="BY283" s="8">
        <v>111574</v>
      </c>
      <c r="CH283" s="8">
        <v>113138</v>
      </c>
      <c r="CI283" s="51"/>
      <c r="CJ283" s="8" t="b">
        <v>0</v>
      </c>
      <c r="CT283" s="8">
        <v>130198</v>
      </c>
    </row>
    <row r="284" spans="1:98" s="8" customFormat="1" x14ac:dyDescent="0.25">
      <c r="A284" s="13">
        <v>113922</v>
      </c>
      <c r="B284" s="9">
        <v>30</v>
      </c>
      <c r="C284" s="9" t="s">
        <v>1119</v>
      </c>
      <c r="D284" s="9" t="s">
        <v>94</v>
      </c>
      <c r="E284" s="9" t="s">
        <v>421</v>
      </c>
      <c r="F284" s="9"/>
      <c r="G284" s="33" t="str">
        <f>_xlfn.XLOOKUP(CT284,'Just Methods'!T:T,'Just Methods'!S:S)</f>
        <v xml:space="preserve"> 30" GMFL+DEF+XYZ (xHD) </v>
      </c>
      <c r="H284" s="47" t="str">
        <f>_xlfn.XLOOKUP(CT284,'Just Methods'!T:T,'Just Methods'!C:C)</f>
        <v>DEF.GMFL.XYZ.30</v>
      </c>
      <c r="I284" s="9" t="str">
        <f>_xlfn.XLOOKUP(H284,'Alternative Tool Body Sheet'!A:A,'Alternative Tool Body Sheet'!C:C)</f>
        <v>26/30 DEF</v>
      </c>
      <c r="J284" s="9">
        <f t="shared" si="7"/>
        <v>5</v>
      </c>
      <c r="K284" s="9" t="s">
        <v>114</v>
      </c>
      <c r="L284" s="9">
        <v>30</v>
      </c>
      <c r="M284" s="9">
        <v>22.5</v>
      </c>
      <c r="N284" s="9">
        <v>25</v>
      </c>
      <c r="P284" s="9">
        <v>27</v>
      </c>
      <c r="Q284" s="9" t="s">
        <v>115</v>
      </c>
      <c r="R284" s="9">
        <v>27</v>
      </c>
      <c r="T284" s="9">
        <v>22.75</v>
      </c>
      <c r="U284" s="9" t="s">
        <v>116</v>
      </c>
      <c r="V284" s="9">
        <v>10</v>
      </c>
      <c r="W284" s="9">
        <v>10</v>
      </c>
      <c r="X284" s="9">
        <v>0.86299999999999999</v>
      </c>
      <c r="Y284" s="9">
        <v>1</v>
      </c>
      <c r="Z284" s="9">
        <v>0.99299999999999999</v>
      </c>
      <c r="AA284" s="9">
        <v>65</v>
      </c>
      <c r="AC284" s="9">
        <v>270</v>
      </c>
      <c r="AD284" s="9">
        <v>90</v>
      </c>
      <c r="AN284" s="9">
        <v>750</v>
      </c>
      <c r="AO284" s="9">
        <v>166</v>
      </c>
      <c r="AQ284" s="9">
        <v>2375</v>
      </c>
      <c r="AT284" s="9">
        <v>40</v>
      </c>
      <c r="AV284" s="9">
        <v>42.1</v>
      </c>
      <c r="AW284" s="9">
        <v>3.51</v>
      </c>
      <c r="AX284" s="9">
        <v>200</v>
      </c>
      <c r="AY284" s="9">
        <v>2000</v>
      </c>
      <c r="AZ284" s="9" t="s">
        <v>1120</v>
      </c>
      <c r="BA284" s="9" t="s">
        <v>102</v>
      </c>
      <c r="BB284" s="9" t="s">
        <v>101</v>
      </c>
      <c r="BC284" s="9" t="s">
        <v>101</v>
      </c>
      <c r="BD284" s="9" t="s">
        <v>102</v>
      </c>
      <c r="BE284" s="9" t="s">
        <v>102</v>
      </c>
      <c r="BF284" s="9" t="s">
        <v>126</v>
      </c>
      <c r="BG284" s="9" t="s">
        <v>1073</v>
      </c>
      <c r="BH284" s="9" t="s">
        <v>105</v>
      </c>
      <c r="BI284" s="9">
        <v>14</v>
      </c>
      <c r="BJ284" s="9">
        <v>3</v>
      </c>
      <c r="BK284" s="9">
        <v>3</v>
      </c>
      <c r="BL284" s="9">
        <v>32</v>
      </c>
      <c r="BM284" s="9">
        <v>6</v>
      </c>
      <c r="BN284" s="9">
        <v>19</v>
      </c>
      <c r="BO284" s="9">
        <v>14</v>
      </c>
      <c r="BP284" s="9">
        <v>14</v>
      </c>
      <c r="BQ284" s="9">
        <v>3</v>
      </c>
      <c r="BR284" s="9">
        <v>32</v>
      </c>
      <c r="BS284" s="9">
        <v>6</v>
      </c>
      <c r="BT284" s="9">
        <v>19</v>
      </c>
      <c r="BY284">
        <v>110887</v>
      </c>
      <c r="CI284" s="51">
        <v>109360</v>
      </c>
      <c r="CJ284" s="8" t="b">
        <v>0</v>
      </c>
      <c r="CT284" s="8">
        <v>113922</v>
      </c>
    </row>
    <row r="285" spans="1:98" s="8" customFormat="1" x14ac:dyDescent="0.25">
      <c r="A285" s="21">
        <v>129311</v>
      </c>
      <c r="B285" s="10">
        <v>30</v>
      </c>
      <c r="C285" s="10" t="s">
        <v>1121</v>
      </c>
      <c r="D285" s="10" t="s">
        <v>121</v>
      </c>
      <c r="E285" s="10" t="s">
        <v>152</v>
      </c>
      <c r="F285" s="10"/>
      <c r="G285" s="33" t="str">
        <f>_xlfn.XLOOKUP(CT285,'Just Methods'!T:T,'Just Methods'!S:S)</f>
        <v xml:space="preserve"> 30" MDS FLEX MFL+DEF+XYZ </v>
      </c>
      <c r="H285" s="47" t="str">
        <f>_xlfn.XLOOKUP(CT285,'Just Methods'!T:T,'Just Methods'!C:C)</f>
        <v>FLEX.DEF.MFL.XYZ.30</v>
      </c>
      <c r="I285" s="9" t="str">
        <f>_xlfn.XLOOKUP(H285,'Alternative Tool Body Sheet'!A:A,'Alternative Tool Body Sheet'!C:C)</f>
        <v>30 MDS</v>
      </c>
      <c r="J285" s="10">
        <f t="shared" si="7"/>
        <v>7</v>
      </c>
      <c r="K285" s="10" t="s">
        <v>114</v>
      </c>
      <c r="L285" s="10">
        <v>30</v>
      </c>
      <c r="M285" s="10">
        <v>25.5</v>
      </c>
      <c r="N285" s="10"/>
      <c r="O285" s="10"/>
      <c r="P285" s="10"/>
      <c r="Q285" s="10" t="s">
        <v>115</v>
      </c>
      <c r="R285" s="10">
        <v>27</v>
      </c>
      <c r="S285" s="10"/>
      <c r="T285" s="10"/>
      <c r="U285" s="10" t="s">
        <v>99</v>
      </c>
      <c r="V285" s="10">
        <v>10</v>
      </c>
      <c r="W285" s="10">
        <v>10</v>
      </c>
      <c r="X285" s="10">
        <v>1</v>
      </c>
      <c r="Y285" s="10">
        <v>1</v>
      </c>
      <c r="Z285" s="10">
        <v>1.0880000000000001</v>
      </c>
      <c r="AA285" s="10">
        <v>112</v>
      </c>
      <c r="AB285" s="10">
        <v>336</v>
      </c>
      <c r="AC285" s="10"/>
      <c r="AD285" s="10">
        <v>112</v>
      </c>
      <c r="AE285" s="10"/>
      <c r="AF285" s="10"/>
      <c r="AG285" s="10"/>
      <c r="AH285" s="10"/>
      <c r="AI285" s="10"/>
      <c r="AJ285" s="10"/>
      <c r="AK285" s="10"/>
      <c r="AL285" s="10"/>
      <c r="AM285" s="10"/>
      <c r="AN285" s="10">
        <v>750</v>
      </c>
      <c r="AO285" s="10">
        <v>150</v>
      </c>
      <c r="AP285" s="10"/>
      <c r="AQ285" s="10">
        <v>3537</v>
      </c>
      <c r="AR285" s="10"/>
      <c r="AS285" s="10"/>
      <c r="AT285" s="10">
        <v>30</v>
      </c>
      <c r="AU285" s="10"/>
      <c r="AV285" s="10"/>
      <c r="AW285" s="10"/>
      <c r="AX285" s="10">
        <v>400</v>
      </c>
      <c r="AY285" s="10">
        <v>2000</v>
      </c>
      <c r="AZ285" s="10" t="s">
        <v>1122</v>
      </c>
      <c r="BA285" s="10" t="s">
        <v>102</v>
      </c>
      <c r="BB285" s="10" t="s">
        <v>101</v>
      </c>
      <c r="BC285" s="10" t="s">
        <v>101</v>
      </c>
      <c r="BD285" s="10" t="s">
        <v>101</v>
      </c>
      <c r="BE285" s="10" t="s">
        <v>102</v>
      </c>
      <c r="BF285" s="10" t="s">
        <v>118</v>
      </c>
      <c r="BG285" s="10" t="s">
        <v>118</v>
      </c>
      <c r="BH285" s="10" t="s">
        <v>105</v>
      </c>
      <c r="BI285" s="10">
        <v>13</v>
      </c>
      <c r="BJ285" s="10">
        <v>3</v>
      </c>
      <c r="BK285" s="10">
        <v>3</v>
      </c>
      <c r="BL285" s="10">
        <v>32</v>
      </c>
      <c r="BM285" s="10">
        <v>6</v>
      </c>
      <c r="BN285" s="10">
        <v>18</v>
      </c>
      <c r="BO285" s="10">
        <v>13</v>
      </c>
      <c r="BP285" s="10">
        <v>13</v>
      </c>
      <c r="BQ285" s="10">
        <v>3</v>
      </c>
      <c r="BR285" s="10">
        <v>32</v>
      </c>
      <c r="BS285" s="10">
        <v>6</v>
      </c>
      <c r="BT285" s="10">
        <v>18</v>
      </c>
      <c r="BX285" s="8">
        <v>115091</v>
      </c>
      <c r="BY285" s="8">
        <v>111574</v>
      </c>
      <c r="CI285" s="51"/>
      <c r="CJ285" s="8" t="b">
        <v>1</v>
      </c>
      <c r="CT285" s="8">
        <v>129311</v>
      </c>
    </row>
    <row r="286" spans="1:98" s="8" customFormat="1" x14ac:dyDescent="0.25">
      <c r="A286" s="13">
        <v>115171</v>
      </c>
      <c r="B286" s="9">
        <v>30</v>
      </c>
      <c r="C286" s="9" t="s">
        <v>1123</v>
      </c>
      <c r="D286" s="9" t="s">
        <v>94</v>
      </c>
      <c r="E286" s="9" t="s">
        <v>95</v>
      </c>
      <c r="F286" s="9"/>
      <c r="G286" s="33" t="str">
        <f>_xlfn.XLOOKUP(CT286,'Just Methods'!T:T,'Just Methods'!S:S)</f>
        <v xml:space="preserve"> 30" DEF (xHD) (Short) </v>
      </c>
      <c r="H286" s="47" t="str">
        <f>_xlfn.XLOOKUP(CT286,'Just Methods'!T:T,'Just Methods'!C:C)</f>
        <v>DEF.30</v>
      </c>
      <c r="I286" s="9" t="str">
        <f>_xlfn.XLOOKUP(H286,'Alternative Tool Body Sheet'!A:A,'Alternative Tool Body Sheet'!C:C)</f>
        <v>26/30 DEF</v>
      </c>
      <c r="J286" s="9">
        <f t="shared" si="7"/>
        <v>5</v>
      </c>
      <c r="K286" s="9" t="s">
        <v>114</v>
      </c>
      <c r="L286" s="9">
        <v>30</v>
      </c>
      <c r="M286" s="9">
        <v>22.5</v>
      </c>
      <c r="N286" s="9">
        <v>25</v>
      </c>
      <c r="P286" s="9">
        <v>27</v>
      </c>
      <c r="Q286" s="9" t="s">
        <v>115</v>
      </c>
      <c r="R286" s="9">
        <v>27</v>
      </c>
      <c r="T286" s="9">
        <v>22.75</v>
      </c>
      <c r="U286" s="9" t="s">
        <v>116</v>
      </c>
      <c r="V286" s="9">
        <v>15</v>
      </c>
      <c r="AA286" s="9">
        <v>65</v>
      </c>
      <c r="AN286" s="9">
        <v>750</v>
      </c>
      <c r="AO286" s="9">
        <v>48</v>
      </c>
      <c r="AQ286" s="9">
        <v>600</v>
      </c>
      <c r="AT286" s="9">
        <v>54</v>
      </c>
      <c r="AV286" s="9">
        <v>8.6</v>
      </c>
      <c r="AW286" s="9">
        <v>0.72</v>
      </c>
      <c r="AX286" s="9">
        <v>200</v>
      </c>
      <c r="AY286" s="9">
        <v>2000</v>
      </c>
      <c r="AZ286" s="9" t="s">
        <v>1124</v>
      </c>
      <c r="BA286" s="9" t="s">
        <v>102</v>
      </c>
      <c r="BB286" s="9" t="s">
        <v>101</v>
      </c>
      <c r="BC286" s="9" t="s">
        <v>101</v>
      </c>
      <c r="BD286" s="9" t="s">
        <v>102</v>
      </c>
      <c r="BE286" s="9" t="s">
        <v>102</v>
      </c>
      <c r="BF286" s="9" t="s">
        <v>118</v>
      </c>
      <c r="BG286" s="9" t="s">
        <v>118</v>
      </c>
      <c r="BH286" s="9" t="s">
        <v>105</v>
      </c>
      <c r="BI286" s="9">
        <v>4</v>
      </c>
      <c r="BJ286" s="9">
        <v>3</v>
      </c>
      <c r="BK286" s="9">
        <v>3</v>
      </c>
      <c r="BL286" s="9">
        <v>32</v>
      </c>
      <c r="BM286" s="9">
        <v>6</v>
      </c>
      <c r="BN286" s="9">
        <v>6</v>
      </c>
      <c r="BO286" s="9">
        <v>4</v>
      </c>
      <c r="BP286" s="9">
        <v>4</v>
      </c>
      <c r="BQ286" s="9">
        <v>3</v>
      </c>
      <c r="BR286" s="9">
        <v>32</v>
      </c>
      <c r="BS286" s="9">
        <v>6</v>
      </c>
      <c r="BT286" s="9">
        <v>6</v>
      </c>
      <c r="BY286">
        <v>110887</v>
      </c>
      <c r="CI286" s="51"/>
      <c r="CJ286" s="8" t="b">
        <v>0</v>
      </c>
      <c r="CT286" s="8">
        <v>115171</v>
      </c>
    </row>
    <row r="287" spans="1:98" s="8" customFormat="1" x14ac:dyDescent="0.25">
      <c r="A287" s="21" t="s">
        <v>1125</v>
      </c>
      <c r="B287" s="10">
        <v>30</v>
      </c>
      <c r="C287" s="10" t="s">
        <v>1126</v>
      </c>
      <c r="D287" s="10" t="s">
        <v>121</v>
      </c>
      <c r="E287" s="10" t="s">
        <v>272</v>
      </c>
      <c r="F287" s="10"/>
      <c r="G287" s="33" t="str">
        <f>_xlfn.XLOOKUP(CT287,'Just Methods'!T:T,'Just Methods'!S:S)</f>
        <v xml:space="preserve"> 30" MDS FLEX MFL+DEF+LFM </v>
      </c>
      <c r="H287" s="47" t="str">
        <f>_xlfn.XLOOKUP(CT287,'Just Methods'!T:T,'Just Methods'!C:C)</f>
        <v>FLEX.DEF.LFM.MFL.30</v>
      </c>
      <c r="I287" s="9" t="str">
        <f>_xlfn.XLOOKUP(H287,'Alternative Tool Body Sheet'!A:A,'Alternative Tool Body Sheet'!C:C)</f>
        <v>30 MDS</v>
      </c>
      <c r="J287" s="10">
        <f t="shared" si="7"/>
        <v>7</v>
      </c>
      <c r="K287" s="10" t="s">
        <v>114</v>
      </c>
      <c r="L287" s="10">
        <v>30</v>
      </c>
      <c r="M287" s="10">
        <v>25.5</v>
      </c>
      <c r="N287" s="10">
        <v>15</v>
      </c>
      <c r="O287" s="10"/>
      <c r="P287" s="10">
        <v>27</v>
      </c>
      <c r="Q287" s="10" t="s">
        <v>115</v>
      </c>
      <c r="R287" s="10">
        <v>27</v>
      </c>
      <c r="S287" s="10">
        <v>27</v>
      </c>
      <c r="T287" s="10">
        <v>27</v>
      </c>
      <c r="U287" s="10" t="s">
        <v>99</v>
      </c>
      <c r="V287" s="10">
        <v>10</v>
      </c>
      <c r="W287" s="10">
        <v>10</v>
      </c>
      <c r="X287" s="10">
        <v>1</v>
      </c>
      <c r="Y287" s="10">
        <v>1</v>
      </c>
      <c r="Z287" s="10">
        <v>1.0880000000000001</v>
      </c>
      <c r="AA287" s="10">
        <v>112</v>
      </c>
      <c r="AB287" s="10">
        <v>336</v>
      </c>
      <c r="AC287" s="10"/>
      <c r="AD287" s="10">
        <v>112</v>
      </c>
      <c r="AE287" s="10"/>
      <c r="AF287" s="10">
        <v>336</v>
      </c>
      <c r="AG287" s="10"/>
      <c r="AH287" s="10"/>
      <c r="AI287" s="10"/>
      <c r="AJ287" s="10"/>
      <c r="AK287" s="10"/>
      <c r="AL287" s="10"/>
      <c r="AM287" s="10"/>
      <c r="AN287" s="10">
        <v>750</v>
      </c>
      <c r="AO287" s="10">
        <v>150</v>
      </c>
      <c r="AP287" s="10"/>
      <c r="AQ287" s="10">
        <v>4350</v>
      </c>
      <c r="AR287" s="10"/>
      <c r="AS287" s="10"/>
      <c r="AT287" s="10">
        <v>73</v>
      </c>
      <c r="AU287" s="10">
        <v>486000</v>
      </c>
      <c r="AV287" s="10">
        <v>10.42</v>
      </c>
      <c r="AW287" s="10">
        <v>0.87</v>
      </c>
      <c r="AX287" s="10">
        <v>400</v>
      </c>
      <c r="AY287" s="10">
        <v>2000</v>
      </c>
      <c r="AZ287" s="10" t="s">
        <v>1127</v>
      </c>
      <c r="BA287" s="10" t="s">
        <v>102</v>
      </c>
      <c r="BB287" s="10" t="s">
        <v>102</v>
      </c>
      <c r="BC287" s="10" t="s">
        <v>102</v>
      </c>
      <c r="BD287" s="10" t="s">
        <v>102</v>
      </c>
      <c r="BE287" s="10" t="s">
        <v>102</v>
      </c>
      <c r="BF287" s="10" t="s">
        <v>118</v>
      </c>
      <c r="BG287" s="10" t="s">
        <v>104</v>
      </c>
      <c r="BH287" s="10" t="s">
        <v>105</v>
      </c>
      <c r="BI287" s="10">
        <v>13</v>
      </c>
      <c r="BJ287" s="10">
        <v>3</v>
      </c>
      <c r="BK287" s="10">
        <v>3</v>
      </c>
      <c r="BL287" s="10">
        <v>32</v>
      </c>
      <c r="BM287" s="10">
        <v>6</v>
      </c>
      <c r="BN287" s="10">
        <v>18</v>
      </c>
      <c r="BO287" s="10">
        <v>13</v>
      </c>
      <c r="BP287" s="10">
        <v>13</v>
      </c>
      <c r="BQ287" s="10">
        <v>3</v>
      </c>
      <c r="BR287" s="10">
        <v>32</v>
      </c>
      <c r="BS287" s="10">
        <v>6</v>
      </c>
      <c r="BT287" s="10">
        <v>18</v>
      </c>
      <c r="BX287" s="8">
        <v>115091</v>
      </c>
      <c r="BY287" s="8">
        <v>111574</v>
      </c>
      <c r="CH287" s="8">
        <v>113138</v>
      </c>
      <c r="CI287" s="51"/>
      <c r="CJ287" s="8" t="b">
        <v>1</v>
      </c>
      <c r="CT287" s="8" t="s">
        <v>1125</v>
      </c>
    </row>
    <row r="288" spans="1:98" s="8" customFormat="1" x14ac:dyDescent="0.25">
      <c r="A288" s="13">
        <v>114409</v>
      </c>
      <c r="B288" s="9">
        <v>32</v>
      </c>
      <c r="C288" s="9" t="s">
        <v>1128</v>
      </c>
      <c r="D288" s="9" t="s">
        <v>94</v>
      </c>
      <c r="E288" s="9" t="s">
        <v>421</v>
      </c>
      <c r="F288" s="9"/>
      <c r="G288" s="33" t="str">
        <f>_xlfn.XLOOKUP(CT288,'Just Methods'!T:T,'Just Methods'!S:S)</f>
        <v xml:space="preserve"> 32" GMFL+DEF+XYZ (xHD) </v>
      </c>
      <c r="H288" s="47" t="str">
        <f>_xlfn.XLOOKUP(CT288,'Just Methods'!T:T,'Just Methods'!C:C)</f>
        <v>DEF.GMFL.XYZ.32</v>
      </c>
      <c r="I288" s="9" t="str">
        <f>_xlfn.XLOOKUP(H288,'Alternative Tool Body Sheet'!A:A,'Alternative Tool Body Sheet'!C:C)</f>
        <v>32/36 DEF</v>
      </c>
      <c r="J288" s="9">
        <f t="shared" si="7"/>
        <v>5</v>
      </c>
      <c r="K288" s="9" t="s">
        <v>114</v>
      </c>
      <c r="L288" s="9">
        <v>32</v>
      </c>
      <c r="M288" s="9">
        <v>27</v>
      </c>
      <c r="N288" s="9">
        <v>15.63</v>
      </c>
      <c r="P288" s="9">
        <v>29.5</v>
      </c>
      <c r="Q288" s="9" t="s">
        <v>115</v>
      </c>
      <c r="R288" s="9">
        <v>29.5</v>
      </c>
      <c r="T288" s="9">
        <v>27.25</v>
      </c>
      <c r="U288" s="9" t="s">
        <v>116</v>
      </c>
      <c r="V288" s="9">
        <v>10</v>
      </c>
      <c r="W288" s="9">
        <v>10</v>
      </c>
      <c r="X288" s="9">
        <v>0.72599999999999998</v>
      </c>
      <c r="Y288" s="9">
        <v>1</v>
      </c>
      <c r="Z288" s="9">
        <v>0.77600000000000002</v>
      </c>
      <c r="AA288" s="9">
        <v>72</v>
      </c>
      <c r="AC288" s="9">
        <v>324</v>
      </c>
      <c r="AD288" s="9">
        <v>108</v>
      </c>
      <c r="AN288" s="9">
        <v>750</v>
      </c>
      <c r="AO288" s="9">
        <v>186</v>
      </c>
      <c r="AQ288" s="9">
        <v>3655</v>
      </c>
      <c r="AS288" s="9">
        <v>0</v>
      </c>
      <c r="AT288" s="9">
        <v>0</v>
      </c>
      <c r="AY288" s="9">
        <v>2000</v>
      </c>
      <c r="BA288" s="9" t="s">
        <v>102</v>
      </c>
      <c r="BB288" s="9" t="s">
        <v>101</v>
      </c>
      <c r="BC288" s="9" t="s">
        <v>101</v>
      </c>
      <c r="BD288" s="9" t="s">
        <v>102</v>
      </c>
      <c r="BE288" s="9" t="s">
        <v>102</v>
      </c>
      <c r="BF288" s="9" t="s">
        <v>126</v>
      </c>
      <c r="BG288" s="9" t="s">
        <v>126</v>
      </c>
      <c r="BH288" s="9" t="s">
        <v>105</v>
      </c>
      <c r="BI288" s="9">
        <v>16</v>
      </c>
      <c r="BJ288" s="9">
        <v>3</v>
      </c>
      <c r="BK288" s="9">
        <v>3</v>
      </c>
      <c r="BL288" s="9">
        <v>34</v>
      </c>
      <c r="BM288" s="9">
        <v>6</v>
      </c>
      <c r="BN288" s="9">
        <v>21</v>
      </c>
      <c r="BO288" s="9">
        <v>16</v>
      </c>
      <c r="BP288" s="9">
        <v>16</v>
      </c>
      <c r="BQ288" s="9">
        <v>3</v>
      </c>
      <c r="BR288" s="9">
        <v>34</v>
      </c>
      <c r="BS288" s="9">
        <v>6</v>
      </c>
      <c r="BT288" s="9">
        <v>21</v>
      </c>
      <c r="BY288" s="8">
        <v>112569</v>
      </c>
      <c r="CI288" s="51">
        <v>110532</v>
      </c>
      <c r="CJ288" s="8" t="b">
        <v>0</v>
      </c>
      <c r="CT288" s="8">
        <v>114409</v>
      </c>
    </row>
    <row r="289" spans="1:98" s="8" customFormat="1" x14ac:dyDescent="0.25">
      <c r="A289" s="13">
        <v>114724</v>
      </c>
      <c r="B289" s="9">
        <v>32</v>
      </c>
      <c r="C289" s="9" t="s">
        <v>1129</v>
      </c>
      <c r="D289" s="9" t="s">
        <v>94</v>
      </c>
      <c r="E289" s="9" t="s">
        <v>194</v>
      </c>
      <c r="F289" s="9"/>
      <c r="G289" s="33" t="str">
        <f>_xlfn.XLOOKUP(CT289,'Just Methods'!T:T,'Just Methods'!S:S)</f>
        <v xml:space="preserve"> 32" DEF+XYZ (xHD) </v>
      </c>
      <c r="H289" s="47" t="str">
        <f>_xlfn.XLOOKUP(CT289,'Just Methods'!T:T,'Just Methods'!C:C)</f>
        <v>DEF.XYZ.32</v>
      </c>
      <c r="I289" s="9" t="str">
        <f>_xlfn.XLOOKUP(H289,'Alternative Tool Body Sheet'!A:A,'Alternative Tool Body Sheet'!C:C)</f>
        <v>32/36 DEF</v>
      </c>
      <c r="J289" s="9">
        <f t="shared" si="7"/>
        <v>5</v>
      </c>
      <c r="K289" s="9" t="s">
        <v>114</v>
      </c>
      <c r="L289" s="9">
        <v>32</v>
      </c>
      <c r="M289" s="9">
        <v>27</v>
      </c>
      <c r="N289" s="9">
        <v>15.63</v>
      </c>
      <c r="P289" s="9">
        <v>29.5</v>
      </c>
      <c r="Q289" s="9" t="s">
        <v>115</v>
      </c>
      <c r="R289" s="9">
        <v>31</v>
      </c>
      <c r="T289" s="9">
        <v>27.5</v>
      </c>
      <c r="U289" s="9" t="s">
        <v>116</v>
      </c>
      <c r="V289" s="9">
        <v>15</v>
      </c>
      <c r="AA289" s="9">
        <v>72</v>
      </c>
      <c r="AN289" s="9">
        <v>750</v>
      </c>
      <c r="AO289" s="9">
        <v>125</v>
      </c>
      <c r="AQ289" s="9">
        <v>1488</v>
      </c>
      <c r="AT289" s="9">
        <v>46</v>
      </c>
      <c r="AV289" s="9">
        <v>21.7</v>
      </c>
      <c r="AW289" s="9">
        <v>1.81</v>
      </c>
      <c r="AX289" s="9">
        <v>200</v>
      </c>
      <c r="AY289" s="9">
        <v>2000</v>
      </c>
      <c r="AZ289" s="9" t="s">
        <v>1130</v>
      </c>
      <c r="BA289" s="9" t="s">
        <v>102</v>
      </c>
      <c r="BB289" s="9" t="s">
        <v>101</v>
      </c>
      <c r="BC289" s="9" t="s">
        <v>101</v>
      </c>
      <c r="BD289" s="9" t="s">
        <v>102</v>
      </c>
      <c r="BE289" s="9" t="s">
        <v>102</v>
      </c>
      <c r="BF289" s="9" t="s">
        <v>126</v>
      </c>
      <c r="BG289" s="9" t="s">
        <v>1131</v>
      </c>
      <c r="BH289" s="9" t="s">
        <v>105</v>
      </c>
      <c r="BI289" s="9">
        <v>11</v>
      </c>
      <c r="BJ289" s="9">
        <v>3</v>
      </c>
      <c r="BK289" s="9">
        <v>3</v>
      </c>
      <c r="BL289" s="9">
        <v>34</v>
      </c>
      <c r="BM289" s="9">
        <v>6</v>
      </c>
      <c r="BN289" s="9">
        <v>14</v>
      </c>
      <c r="BO289" s="9">
        <v>11</v>
      </c>
      <c r="BP289" s="9">
        <v>11</v>
      </c>
      <c r="BQ289" s="9">
        <v>3</v>
      </c>
      <c r="BR289" s="9">
        <v>34</v>
      </c>
      <c r="BS289" s="9">
        <v>6</v>
      </c>
      <c r="BT289" s="9">
        <v>14</v>
      </c>
      <c r="BY289" s="8">
        <v>112569</v>
      </c>
      <c r="CI289" s="51"/>
      <c r="CJ289" s="8" t="b">
        <v>0</v>
      </c>
      <c r="CT289" s="8">
        <v>114724</v>
      </c>
    </row>
    <row r="290" spans="1:98" s="8" customFormat="1" x14ac:dyDescent="0.25">
      <c r="A290" s="13">
        <v>113946</v>
      </c>
      <c r="B290" s="9">
        <v>32</v>
      </c>
      <c r="C290" s="9" t="s">
        <v>1132</v>
      </c>
      <c r="D290" s="9" t="s">
        <v>94</v>
      </c>
      <c r="E290" s="9" t="s">
        <v>194</v>
      </c>
      <c r="F290" s="9"/>
      <c r="G290" s="33" t="str">
        <f>_xlfn.XLOOKUP(CT290,'Just Methods'!T:T,'Just Methods'!S:S)</f>
        <v xml:space="preserve"> 32" DEF+XYZ ATEX </v>
      </c>
      <c r="H290" s="47" t="str">
        <f>_xlfn.XLOOKUP(CT290,'Just Methods'!T:T,'Just Methods'!C:C)</f>
        <v>DEF.XYZ.32</v>
      </c>
      <c r="I290" s="9" t="str">
        <f>_xlfn.XLOOKUP(H290,'Alternative Tool Body Sheet'!A:A,'Alternative Tool Body Sheet'!C:C)</f>
        <v>32/36 DEF</v>
      </c>
      <c r="J290" s="9">
        <f t="shared" si="7"/>
        <v>5</v>
      </c>
      <c r="K290" s="9" t="s">
        <v>114</v>
      </c>
      <c r="L290" s="9">
        <v>32</v>
      </c>
      <c r="M290" s="9">
        <v>27</v>
      </c>
      <c r="N290" s="9">
        <v>15.63</v>
      </c>
      <c r="P290" s="9">
        <v>29.5</v>
      </c>
      <c r="Q290" s="9" t="s">
        <v>115</v>
      </c>
      <c r="R290" s="9">
        <v>31</v>
      </c>
      <c r="T290" s="9">
        <v>27.25</v>
      </c>
      <c r="U290" s="9" t="s">
        <v>116</v>
      </c>
      <c r="V290" s="9">
        <v>15</v>
      </c>
      <c r="AA290" s="9">
        <v>72</v>
      </c>
      <c r="AN290" s="9">
        <v>750</v>
      </c>
      <c r="AO290" s="9">
        <v>125</v>
      </c>
      <c r="AQ290" s="9">
        <v>1488</v>
      </c>
      <c r="AS290" s="9">
        <v>0</v>
      </c>
      <c r="AT290" s="9">
        <v>0</v>
      </c>
      <c r="AY290" s="9">
        <v>2000</v>
      </c>
      <c r="BA290" s="9" t="s">
        <v>102</v>
      </c>
      <c r="BB290" s="9" t="s">
        <v>101</v>
      </c>
      <c r="BC290" s="9" t="s">
        <v>101</v>
      </c>
      <c r="BD290" s="9" t="s">
        <v>102</v>
      </c>
      <c r="BE290" s="9" t="s">
        <v>102</v>
      </c>
      <c r="BF290" s="9" t="s">
        <v>126</v>
      </c>
      <c r="BG290" s="9" t="s">
        <v>126</v>
      </c>
      <c r="BH290" s="9" t="s">
        <v>105</v>
      </c>
      <c r="BI290" s="9">
        <v>11</v>
      </c>
      <c r="BJ290" s="9">
        <v>3</v>
      </c>
      <c r="BK290" s="9">
        <v>3</v>
      </c>
      <c r="BL290" s="9">
        <v>34</v>
      </c>
      <c r="BM290" s="9">
        <v>6</v>
      </c>
      <c r="BN290" s="9">
        <v>14</v>
      </c>
      <c r="BO290" s="9">
        <v>11</v>
      </c>
      <c r="BP290" s="9">
        <v>11</v>
      </c>
      <c r="BQ290" s="9">
        <v>3</v>
      </c>
      <c r="BR290" s="9">
        <v>34</v>
      </c>
      <c r="BS290" s="9">
        <v>6</v>
      </c>
      <c r="BT290" s="9">
        <v>14</v>
      </c>
      <c r="BY290" s="8">
        <v>112569</v>
      </c>
      <c r="CI290" s="51"/>
      <c r="CJ290" s="8" t="b">
        <v>0</v>
      </c>
      <c r="CT290" s="8">
        <v>113946</v>
      </c>
    </row>
    <row r="291" spans="1:98" s="8" customFormat="1" x14ac:dyDescent="0.25">
      <c r="A291" s="13">
        <v>115475</v>
      </c>
      <c r="B291" s="9">
        <v>32</v>
      </c>
      <c r="C291" s="9" t="s">
        <v>1133</v>
      </c>
      <c r="D291" s="9" t="s">
        <v>94</v>
      </c>
      <c r="E291" s="9" t="s">
        <v>95</v>
      </c>
      <c r="F291" s="9"/>
      <c r="G291" s="33" t="str">
        <f>_xlfn.XLOOKUP(CT291,'Just Methods'!T:T,'Just Methods'!S:S)</f>
        <v xml:space="preserve"> 32" DEF (xHD) </v>
      </c>
      <c r="H291" s="47" t="str">
        <f>_xlfn.XLOOKUP(CT291,'Just Methods'!T:T,'Just Methods'!C:C)</f>
        <v>DEF.32</v>
      </c>
      <c r="I291" s="9" t="str">
        <f>_xlfn.XLOOKUP(H291,'Alternative Tool Body Sheet'!A:A,'Alternative Tool Body Sheet'!C:C)</f>
        <v>32/36 DEF</v>
      </c>
      <c r="J291" s="9">
        <f t="shared" si="7"/>
        <v>5</v>
      </c>
      <c r="K291" s="9" t="s">
        <v>114</v>
      </c>
      <c r="L291" s="9">
        <v>32</v>
      </c>
      <c r="M291" s="9">
        <v>27</v>
      </c>
      <c r="N291" s="9">
        <v>15.63</v>
      </c>
      <c r="P291" s="9">
        <v>29.5</v>
      </c>
      <c r="Q291" s="9" t="s">
        <v>115</v>
      </c>
      <c r="R291" s="9">
        <v>31</v>
      </c>
      <c r="T291" s="9">
        <v>27.25</v>
      </c>
      <c r="U291" s="9" t="s">
        <v>116</v>
      </c>
      <c r="V291" s="9">
        <v>15</v>
      </c>
      <c r="AA291" s="9">
        <v>72</v>
      </c>
      <c r="AN291" s="9">
        <v>750</v>
      </c>
      <c r="AO291" s="9">
        <v>125</v>
      </c>
      <c r="AQ291" s="9">
        <v>1410</v>
      </c>
      <c r="AT291" s="9">
        <v>34</v>
      </c>
      <c r="AX291" s="9">
        <v>200</v>
      </c>
      <c r="AY291" s="9">
        <v>2000</v>
      </c>
      <c r="AZ291" s="9" t="s">
        <v>1134</v>
      </c>
      <c r="BA291" s="9" t="s">
        <v>102</v>
      </c>
      <c r="BB291" s="9" t="s">
        <v>102</v>
      </c>
      <c r="BC291" s="9" t="s">
        <v>102</v>
      </c>
      <c r="BD291" s="9" t="s">
        <v>102</v>
      </c>
      <c r="BE291" s="9" t="s">
        <v>102</v>
      </c>
      <c r="BF291" s="9" t="s">
        <v>118</v>
      </c>
      <c r="BG291" s="9" t="s">
        <v>1131</v>
      </c>
      <c r="BH291" s="9" t="s">
        <v>105</v>
      </c>
      <c r="BI291" s="9">
        <v>11</v>
      </c>
      <c r="BJ291" s="9">
        <v>3</v>
      </c>
      <c r="BK291" s="9">
        <v>3</v>
      </c>
      <c r="BL291" s="9">
        <v>34</v>
      </c>
      <c r="BM291" s="9">
        <v>6</v>
      </c>
      <c r="BN291" s="9">
        <v>14</v>
      </c>
      <c r="BO291" s="9">
        <v>11</v>
      </c>
      <c r="BP291" s="9">
        <v>11</v>
      </c>
      <c r="BQ291" s="9">
        <v>3</v>
      </c>
      <c r="BR291" s="9">
        <v>34</v>
      </c>
      <c r="BS291" s="9">
        <v>6</v>
      </c>
      <c r="BT291" s="9">
        <v>14</v>
      </c>
      <c r="BY291" s="8">
        <v>112569</v>
      </c>
      <c r="CI291" s="51"/>
      <c r="CJ291" s="8" t="b">
        <v>0</v>
      </c>
      <c r="CT291" s="8">
        <v>115475</v>
      </c>
    </row>
    <row r="292" spans="1:98" s="8" customFormat="1" x14ac:dyDescent="0.25">
      <c r="A292" s="13">
        <v>113606</v>
      </c>
      <c r="B292" s="9">
        <v>32</v>
      </c>
      <c r="C292" s="9" t="s">
        <v>1135</v>
      </c>
      <c r="D292" s="9" t="s">
        <v>94</v>
      </c>
      <c r="E292" s="9" t="s">
        <v>95</v>
      </c>
      <c r="F292" s="9"/>
      <c r="G292" s="33" t="str">
        <f>_xlfn.XLOOKUP(CT292,'Just Methods'!T:T,'Just Methods'!S:S)</f>
        <v xml:space="preserve"> 32" DEF ATEX </v>
      </c>
      <c r="H292" s="47" t="str">
        <f>_xlfn.XLOOKUP(CT292,'Just Methods'!T:T,'Just Methods'!C:C)</f>
        <v>DEF.32</v>
      </c>
      <c r="I292" s="9" t="str">
        <f>_xlfn.XLOOKUP(H292,'Alternative Tool Body Sheet'!A:A,'Alternative Tool Body Sheet'!C:C)</f>
        <v>32/36 DEF</v>
      </c>
      <c r="J292" s="9">
        <f t="shared" si="7"/>
        <v>5</v>
      </c>
      <c r="K292" s="9" t="s">
        <v>114</v>
      </c>
      <c r="L292" s="9">
        <v>32</v>
      </c>
      <c r="M292" s="9">
        <v>27</v>
      </c>
      <c r="N292" s="9">
        <v>15.63</v>
      </c>
      <c r="P292" s="9">
        <v>29.5</v>
      </c>
      <c r="Q292" s="9" t="s">
        <v>115</v>
      </c>
      <c r="R292" s="9">
        <v>31</v>
      </c>
      <c r="T292" s="9">
        <v>27.25</v>
      </c>
      <c r="V292" s="9">
        <v>15</v>
      </c>
      <c r="AA292" s="9">
        <v>72</v>
      </c>
      <c r="AN292" s="9">
        <v>750</v>
      </c>
      <c r="AO292" s="9">
        <v>125</v>
      </c>
      <c r="AQ292" s="9">
        <v>1410</v>
      </c>
      <c r="AS292" s="9">
        <v>0</v>
      </c>
      <c r="AT292" s="9">
        <v>0</v>
      </c>
      <c r="AY292" s="9">
        <v>2000</v>
      </c>
      <c r="BA292" s="9" t="s">
        <v>102</v>
      </c>
      <c r="BB292" s="9" t="s">
        <v>101</v>
      </c>
      <c r="BC292" s="9" t="s">
        <v>101</v>
      </c>
      <c r="BD292" s="9" t="s">
        <v>102</v>
      </c>
      <c r="BE292" s="9" t="s">
        <v>102</v>
      </c>
      <c r="BF292" s="9" t="s">
        <v>118</v>
      </c>
      <c r="BG292" s="9" t="s">
        <v>118</v>
      </c>
      <c r="BH292" s="9" t="s">
        <v>105</v>
      </c>
      <c r="BI292" s="9">
        <v>11</v>
      </c>
      <c r="BJ292" s="9">
        <v>3</v>
      </c>
      <c r="BK292" s="9">
        <v>3</v>
      </c>
      <c r="BL292" s="9">
        <v>34</v>
      </c>
      <c r="BM292" s="9">
        <v>6</v>
      </c>
      <c r="BN292" s="9">
        <v>14</v>
      </c>
      <c r="BO292" s="9">
        <v>11</v>
      </c>
      <c r="BP292" s="9">
        <v>11</v>
      </c>
      <c r="BQ292" s="9">
        <v>3</v>
      </c>
      <c r="BR292" s="9">
        <v>34</v>
      </c>
      <c r="BS292" s="9">
        <v>6</v>
      </c>
      <c r="BT292" s="9">
        <v>14</v>
      </c>
      <c r="BY292" s="8">
        <v>112569</v>
      </c>
      <c r="CI292" s="51"/>
      <c r="CJ292" s="8" t="b">
        <v>0</v>
      </c>
      <c r="CT292" s="8">
        <v>113606</v>
      </c>
    </row>
    <row r="293" spans="1:98" s="8" customFormat="1" x14ac:dyDescent="0.25">
      <c r="A293" s="13">
        <v>120839</v>
      </c>
      <c r="B293" s="9">
        <v>34</v>
      </c>
      <c r="C293" s="9" t="s">
        <v>1136</v>
      </c>
      <c r="D293" s="9" t="s">
        <v>94</v>
      </c>
      <c r="E293" s="9" t="s">
        <v>95</v>
      </c>
      <c r="F293" s="9"/>
      <c r="G293" s="33" t="str">
        <f>_xlfn.XLOOKUP(CT293,'Just Methods'!T:T,'Just Methods'!S:S)</f>
        <v xml:space="preserve"> 34" DEF (xHD) </v>
      </c>
      <c r="H293" s="47" t="str">
        <f>_xlfn.XLOOKUP(CT293,'Just Methods'!T:T,'Just Methods'!C:C)</f>
        <v>DEF.34</v>
      </c>
      <c r="I293" s="9" t="str">
        <f>_xlfn.XLOOKUP(H293,'Alternative Tool Body Sheet'!A:A,'Alternative Tool Body Sheet'!C:C)</f>
        <v>32/36 DEF</v>
      </c>
      <c r="J293" s="9">
        <f t="shared" si="7"/>
        <v>5</v>
      </c>
      <c r="K293" s="9" t="s">
        <v>114</v>
      </c>
      <c r="L293" s="9">
        <v>34</v>
      </c>
      <c r="M293" s="9">
        <v>27</v>
      </c>
      <c r="P293" s="9">
        <v>31.5</v>
      </c>
      <c r="Q293" s="9" t="s">
        <v>115</v>
      </c>
      <c r="R293" s="9">
        <v>31</v>
      </c>
      <c r="V293" s="9">
        <v>15</v>
      </c>
      <c r="AA293" s="9">
        <v>72</v>
      </c>
      <c r="AN293" s="9">
        <v>750</v>
      </c>
      <c r="AO293" s="9">
        <v>125</v>
      </c>
      <c r="AQ293" s="9">
        <v>1450</v>
      </c>
      <c r="AT293" s="9">
        <v>34</v>
      </c>
      <c r="AX293" s="9">
        <v>200</v>
      </c>
      <c r="AY293" s="9">
        <v>2000</v>
      </c>
      <c r="AZ293" s="9" t="s">
        <v>1137</v>
      </c>
      <c r="BA293" s="9" t="s">
        <v>102</v>
      </c>
      <c r="BB293" s="9" t="s">
        <v>101</v>
      </c>
      <c r="BC293" s="9" t="s">
        <v>101</v>
      </c>
      <c r="BD293" s="9" t="s">
        <v>102</v>
      </c>
      <c r="BE293" s="9" t="s">
        <v>102</v>
      </c>
      <c r="BF293" s="9" t="s">
        <v>118</v>
      </c>
      <c r="BG293" s="9" t="s">
        <v>118</v>
      </c>
      <c r="BH293" s="9" t="s">
        <v>105</v>
      </c>
      <c r="BI293" s="9">
        <v>11</v>
      </c>
      <c r="BJ293" s="9">
        <v>3</v>
      </c>
      <c r="BK293" s="9">
        <v>3</v>
      </c>
      <c r="BL293" s="9">
        <v>36</v>
      </c>
      <c r="BM293" s="9">
        <v>6</v>
      </c>
      <c r="BN293" s="9">
        <v>14</v>
      </c>
      <c r="BO293" s="9">
        <v>11</v>
      </c>
      <c r="BP293" s="9">
        <v>11</v>
      </c>
      <c r="BQ293" s="9">
        <v>3</v>
      </c>
      <c r="BR293" s="9">
        <v>36</v>
      </c>
      <c r="BS293" s="9">
        <v>6</v>
      </c>
      <c r="BT293" s="9">
        <v>14</v>
      </c>
      <c r="BY293" s="8">
        <v>112569</v>
      </c>
      <c r="CI293" s="51"/>
      <c r="CJ293" s="8" t="b">
        <v>0</v>
      </c>
      <c r="CT293" s="8">
        <v>120839</v>
      </c>
    </row>
    <row r="294" spans="1:98" s="8" customFormat="1" x14ac:dyDescent="0.25">
      <c r="A294" s="13">
        <v>114683</v>
      </c>
      <c r="B294" s="9">
        <v>34</v>
      </c>
      <c r="C294" s="9" t="s">
        <v>1138</v>
      </c>
      <c r="D294" s="9" t="s">
        <v>94</v>
      </c>
      <c r="E294" s="9" t="s">
        <v>194</v>
      </c>
      <c r="F294" s="9"/>
      <c r="G294" s="33" t="str">
        <f>_xlfn.XLOOKUP(CT294,'Just Methods'!T:T,'Just Methods'!S:S)</f>
        <v xml:space="preserve"> 34" DEF+XYZ (xHD) </v>
      </c>
      <c r="H294" s="47" t="str">
        <f>_xlfn.XLOOKUP(CT294,'Just Methods'!T:T,'Just Methods'!C:C)</f>
        <v>DEF.XYZ.34</v>
      </c>
      <c r="I294" s="9" t="str">
        <f>_xlfn.XLOOKUP(H294,'Alternative Tool Body Sheet'!A:A,'Alternative Tool Body Sheet'!C:C)</f>
        <v>32/36 DEF</v>
      </c>
      <c r="J294" s="9">
        <f t="shared" si="7"/>
        <v>5</v>
      </c>
      <c r="K294" s="9" t="s">
        <v>114</v>
      </c>
      <c r="L294" s="9">
        <v>34</v>
      </c>
      <c r="M294" s="9">
        <v>27</v>
      </c>
      <c r="N294" s="9">
        <v>20.59</v>
      </c>
      <c r="P294" s="9">
        <v>31.5</v>
      </c>
      <c r="Q294" s="9" t="s">
        <v>115</v>
      </c>
      <c r="R294" s="9">
        <v>31</v>
      </c>
      <c r="T294" s="9">
        <v>27.25</v>
      </c>
      <c r="U294" s="9" t="s">
        <v>116</v>
      </c>
      <c r="V294" s="9">
        <v>15</v>
      </c>
      <c r="AA294" s="9">
        <v>72</v>
      </c>
      <c r="AN294" s="9">
        <v>750</v>
      </c>
      <c r="AO294" s="9">
        <v>126</v>
      </c>
      <c r="AQ294" s="9">
        <v>1620</v>
      </c>
      <c r="AS294" s="9">
        <v>0</v>
      </c>
      <c r="AT294" s="9">
        <v>0</v>
      </c>
      <c r="AY294" s="9">
        <v>2000</v>
      </c>
      <c r="BA294" s="9" t="s">
        <v>102</v>
      </c>
      <c r="BB294" s="9" t="s">
        <v>101</v>
      </c>
      <c r="BC294" s="9" t="s">
        <v>101</v>
      </c>
      <c r="BD294" s="9" t="s">
        <v>102</v>
      </c>
      <c r="BE294" s="9" t="s">
        <v>102</v>
      </c>
      <c r="BF294" s="9" t="s">
        <v>126</v>
      </c>
      <c r="BG294" s="9" t="s">
        <v>126</v>
      </c>
      <c r="BH294" s="9" t="s">
        <v>105</v>
      </c>
      <c r="BI294" s="9">
        <v>11</v>
      </c>
      <c r="BJ294" s="9">
        <v>3</v>
      </c>
      <c r="BK294" s="9">
        <v>3</v>
      </c>
      <c r="BL294" s="9">
        <v>36</v>
      </c>
      <c r="BM294" s="9">
        <v>6</v>
      </c>
      <c r="BN294" s="9">
        <v>14</v>
      </c>
      <c r="BO294" s="9">
        <v>11</v>
      </c>
      <c r="BP294" s="9">
        <v>11</v>
      </c>
      <c r="BQ294" s="9">
        <v>3</v>
      </c>
      <c r="BR294" s="9">
        <v>36</v>
      </c>
      <c r="BS294" s="9">
        <v>6</v>
      </c>
      <c r="BT294" s="9">
        <v>14</v>
      </c>
      <c r="BY294" s="8">
        <v>112569</v>
      </c>
      <c r="CI294" s="51"/>
      <c r="CJ294" s="8" t="b">
        <v>0</v>
      </c>
      <c r="CT294" s="8">
        <v>114683</v>
      </c>
    </row>
    <row r="295" spans="1:98" s="8" customFormat="1" x14ac:dyDescent="0.25">
      <c r="A295" s="13">
        <v>114382</v>
      </c>
      <c r="B295" s="9">
        <v>34</v>
      </c>
      <c r="C295" s="9" t="s">
        <v>1139</v>
      </c>
      <c r="D295" s="9" t="s">
        <v>94</v>
      </c>
      <c r="E295" s="9" t="s">
        <v>421</v>
      </c>
      <c r="F295" s="9"/>
      <c r="G295" s="33" t="str">
        <f>_xlfn.XLOOKUP(CT295,'Just Methods'!T:T,'Just Methods'!S:S)</f>
        <v xml:space="preserve"> 34" GMFL+DEF+XYZ (xHD) </v>
      </c>
      <c r="H295" s="47" t="str">
        <f>_xlfn.XLOOKUP(CT295,'Just Methods'!T:T,'Just Methods'!C:C)</f>
        <v>DEF.GMFL.XYZ.34</v>
      </c>
      <c r="I295" s="9" t="s">
        <v>1140</v>
      </c>
      <c r="J295" s="9">
        <f t="shared" si="7"/>
        <v>5</v>
      </c>
      <c r="K295" s="9" t="s">
        <v>114</v>
      </c>
      <c r="L295" s="9">
        <v>34</v>
      </c>
      <c r="M295" s="9">
        <v>27</v>
      </c>
      <c r="N295" s="9">
        <v>20.59</v>
      </c>
      <c r="P295" s="9">
        <v>31.5</v>
      </c>
      <c r="Q295" s="9" t="s">
        <v>115</v>
      </c>
      <c r="R295" s="9">
        <v>31.5</v>
      </c>
      <c r="T295" s="9">
        <v>27.25</v>
      </c>
      <c r="U295" s="9" t="s">
        <v>116</v>
      </c>
      <c r="V295" s="9">
        <v>10</v>
      </c>
      <c r="W295" s="9">
        <v>10</v>
      </c>
      <c r="X295" s="9">
        <v>0.71899999999999997</v>
      </c>
      <c r="Y295" s="9">
        <v>1</v>
      </c>
      <c r="Z295" s="9">
        <v>0.71899999999999997</v>
      </c>
      <c r="AA295" s="9">
        <v>72</v>
      </c>
      <c r="AC295" s="9">
        <v>324</v>
      </c>
      <c r="AD295" s="9">
        <v>108</v>
      </c>
      <c r="AN295" s="9">
        <v>750</v>
      </c>
      <c r="AO295" s="9">
        <v>186</v>
      </c>
      <c r="AQ295" s="9">
        <v>3785</v>
      </c>
      <c r="AS295" s="9">
        <v>0</v>
      </c>
      <c r="AT295" s="9">
        <v>0</v>
      </c>
      <c r="AY295" s="9">
        <v>2000</v>
      </c>
      <c r="BA295" s="9" t="s">
        <v>102</v>
      </c>
      <c r="BB295" s="9" t="s">
        <v>101</v>
      </c>
      <c r="BC295" s="9" t="s">
        <v>101</v>
      </c>
      <c r="BD295" s="9" t="s">
        <v>102</v>
      </c>
      <c r="BE295" s="9" t="s">
        <v>102</v>
      </c>
      <c r="BF295" s="9" t="s">
        <v>126</v>
      </c>
      <c r="BG295" s="9" t="s">
        <v>126</v>
      </c>
      <c r="BH295" s="9" t="s">
        <v>105</v>
      </c>
      <c r="BI295" s="9">
        <v>16</v>
      </c>
      <c r="BJ295" s="9">
        <v>3</v>
      </c>
      <c r="BK295" s="9">
        <v>3</v>
      </c>
      <c r="BL295" s="9">
        <v>36</v>
      </c>
      <c r="BM295" s="9">
        <v>6</v>
      </c>
      <c r="BN295" s="9">
        <v>21</v>
      </c>
      <c r="BO295" s="9">
        <v>16</v>
      </c>
      <c r="BP295" s="9">
        <v>16</v>
      </c>
      <c r="BQ295" s="9">
        <v>3</v>
      </c>
      <c r="BR295" s="9">
        <v>36</v>
      </c>
      <c r="BS295" s="9">
        <v>6</v>
      </c>
      <c r="BT295" s="9">
        <v>21</v>
      </c>
      <c r="BY295" s="8">
        <v>112569</v>
      </c>
      <c r="CI295" s="51">
        <v>110532</v>
      </c>
      <c r="CJ295" s="8" t="b">
        <v>0</v>
      </c>
      <c r="CT295" s="8">
        <v>114382</v>
      </c>
    </row>
    <row r="296" spans="1:98" s="8" customFormat="1" x14ac:dyDescent="0.25">
      <c r="A296" s="13">
        <v>111601</v>
      </c>
      <c r="B296" s="9">
        <v>36</v>
      </c>
      <c r="C296" s="9" t="s">
        <v>1141</v>
      </c>
      <c r="D296" s="9" t="s">
        <v>94</v>
      </c>
      <c r="E296" s="9" t="s">
        <v>258</v>
      </c>
      <c r="F296" s="9"/>
      <c r="G296" s="33" t="str">
        <f>_xlfn.XLOOKUP(CT296,'Just Methods'!T:T,'Just Methods'!S:S)</f>
        <v xml:space="preserve"> 36" GMFL (32-36) ATEX </v>
      </c>
      <c r="H296" s="47" t="str">
        <f>_xlfn.XLOOKUP(CT296,'Just Methods'!T:T,'Just Methods'!C:C)</f>
        <v>GMFL.36</v>
      </c>
      <c r="I296" s="9" t="str">
        <f>_xlfn.XLOOKUP(H296,'Alternative Tool Body Sheet'!A:A,'Alternative Tool Body Sheet'!C:C)</f>
        <v>32/36 GMFL</v>
      </c>
      <c r="J296" s="9">
        <f t="shared" si="7"/>
        <v>5</v>
      </c>
      <c r="K296" s="9" t="s">
        <v>114</v>
      </c>
      <c r="L296" s="9">
        <v>36</v>
      </c>
      <c r="M296" s="9">
        <v>27</v>
      </c>
      <c r="N296" s="9">
        <v>25</v>
      </c>
      <c r="P296" s="9">
        <v>33</v>
      </c>
      <c r="Q296" s="9" t="s">
        <v>115</v>
      </c>
      <c r="R296" s="9">
        <v>33</v>
      </c>
      <c r="T296" s="9">
        <v>27.25</v>
      </c>
      <c r="U296" s="9" t="s">
        <v>116</v>
      </c>
      <c r="V296" s="9">
        <v>10</v>
      </c>
      <c r="W296" s="9">
        <v>10</v>
      </c>
      <c r="X296" s="9">
        <v>0.68799999999999994</v>
      </c>
      <c r="Y296" s="9">
        <v>1</v>
      </c>
      <c r="Z296" s="9">
        <v>0.68799999999999994</v>
      </c>
      <c r="AC296" s="9">
        <v>324</v>
      </c>
      <c r="AD296" s="9">
        <v>108</v>
      </c>
      <c r="AN296" s="9">
        <v>750</v>
      </c>
      <c r="AO296" s="9">
        <v>126</v>
      </c>
      <c r="AQ296" s="9">
        <v>2480</v>
      </c>
      <c r="AT296" s="9">
        <v>83</v>
      </c>
      <c r="AV296" s="9">
        <v>10.6</v>
      </c>
      <c r="AW296" s="9">
        <v>0.88</v>
      </c>
      <c r="AX296" s="9">
        <v>200</v>
      </c>
      <c r="AY296" s="9">
        <v>2000</v>
      </c>
      <c r="AZ296" s="9" t="s">
        <v>1142</v>
      </c>
      <c r="BA296" s="9" t="s">
        <v>102</v>
      </c>
      <c r="BB296" s="9" t="s">
        <v>102</v>
      </c>
      <c r="BC296" s="9" t="s">
        <v>102</v>
      </c>
      <c r="BD296" s="9" t="s">
        <v>102</v>
      </c>
      <c r="BE296" s="9" t="s">
        <v>102</v>
      </c>
      <c r="BF296" s="9" t="s">
        <v>118</v>
      </c>
      <c r="BG296" s="9" t="s">
        <v>792</v>
      </c>
      <c r="BH296" s="9" t="s">
        <v>105</v>
      </c>
      <c r="BI296" s="9">
        <v>11</v>
      </c>
      <c r="BJ296" s="9">
        <v>3</v>
      </c>
      <c r="BK296" s="9">
        <v>3</v>
      </c>
      <c r="BL296" s="9">
        <v>38</v>
      </c>
      <c r="BM296" s="9">
        <v>6</v>
      </c>
      <c r="BN296" s="9">
        <v>14</v>
      </c>
      <c r="BO296" s="9">
        <v>11</v>
      </c>
      <c r="BP296" s="9">
        <v>11</v>
      </c>
      <c r="BQ296" s="9">
        <v>3</v>
      </c>
      <c r="BR296" s="9">
        <v>38</v>
      </c>
      <c r="BS296" s="9">
        <v>6</v>
      </c>
      <c r="BT296" s="9">
        <v>14</v>
      </c>
      <c r="CI296" s="51">
        <v>110532</v>
      </c>
      <c r="CJ296" s="8" t="b">
        <v>0</v>
      </c>
      <c r="CT296" s="8">
        <v>111601</v>
      </c>
    </row>
    <row r="297" spans="1:98" s="8" customFormat="1" x14ac:dyDescent="0.25">
      <c r="A297" s="13">
        <v>113945</v>
      </c>
      <c r="B297" s="9">
        <v>36</v>
      </c>
      <c r="C297" s="9" t="s">
        <v>1143</v>
      </c>
      <c r="D297" s="9" t="s">
        <v>94</v>
      </c>
      <c r="E297" s="9" t="s">
        <v>95</v>
      </c>
      <c r="F297" s="9"/>
      <c r="G297" s="33" t="str">
        <f>_xlfn.XLOOKUP(CT297,'Just Methods'!T:T,'Just Methods'!S:S)</f>
        <v xml:space="preserve"> 36" DEF ATEX </v>
      </c>
      <c r="H297" s="47" t="str">
        <f>_xlfn.XLOOKUP(CT297,'Just Methods'!T:T,'Just Methods'!C:C)</f>
        <v>DEF.36</v>
      </c>
      <c r="I297" s="9" t="str">
        <f>_xlfn.XLOOKUP(H297,'Alternative Tool Body Sheet'!A:A,'Alternative Tool Body Sheet'!C:C)</f>
        <v>32/36 DEF</v>
      </c>
      <c r="J297" s="9">
        <f t="shared" si="7"/>
        <v>5</v>
      </c>
      <c r="K297" s="9" t="s">
        <v>114</v>
      </c>
      <c r="L297" s="9">
        <v>36</v>
      </c>
      <c r="M297" s="9">
        <v>27</v>
      </c>
      <c r="N297" s="9">
        <v>25</v>
      </c>
      <c r="P297" s="9">
        <v>33</v>
      </c>
      <c r="Q297" s="9" t="s">
        <v>115</v>
      </c>
      <c r="R297" s="9">
        <v>33</v>
      </c>
      <c r="T297" s="9">
        <v>27.25</v>
      </c>
      <c r="U297" s="9" t="s">
        <v>116</v>
      </c>
      <c r="V297" s="9">
        <v>15</v>
      </c>
      <c r="AA297" s="9">
        <v>72</v>
      </c>
      <c r="AN297" s="9">
        <v>750</v>
      </c>
      <c r="AO297" s="9">
        <v>125</v>
      </c>
      <c r="AQ297" s="9">
        <v>1500</v>
      </c>
      <c r="AX297" s="9">
        <v>200</v>
      </c>
      <c r="AY297" s="9">
        <v>2000</v>
      </c>
      <c r="BA297" s="9" t="s">
        <v>102</v>
      </c>
      <c r="BB297" s="9" t="s">
        <v>102</v>
      </c>
      <c r="BC297" s="9" t="s">
        <v>102</v>
      </c>
      <c r="BD297" s="9" t="s">
        <v>102</v>
      </c>
      <c r="BE297" s="9" t="s">
        <v>102</v>
      </c>
      <c r="BF297" s="9" t="s">
        <v>118</v>
      </c>
      <c r="BG297" s="9" t="s">
        <v>118</v>
      </c>
      <c r="BH297" s="9" t="s">
        <v>105</v>
      </c>
      <c r="BI297" s="9">
        <v>11</v>
      </c>
      <c r="BJ297" s="9">
        <v>3</v>
      </c>
      <c r="BK297" s="9">
        <v>3</v>
      </c>
      <c r="BL297" s="9">
        <v>38</v>
      </c>
      <c r="BM297" s="9">
        <v>6</v>
      </c>
      <c r="BN297" s="9">
        <v>14</v>
      </c>
      <c r="BO297" s="9">
        <v>11</v>
      </c>
      <c r="BP297" s="9">
        <v>11</v>
      </c>
      <c r="BQ297" s="9">
        <v>3</v>
      </c>
      <c r="BR297" s="9">
        <v>38</v>
      </c>
      <c r="BS297" s="9">
        <v>6</v>
      </c>
      <c r="BT297" s="9">
        <v>14</v>
      </c>
      <c r="BY297" s="8">
        <v>112569</v>
      </c>
      <c r="CI297" s="51"/>
      <c r="CJ297" s="8" t="b">
        <v>0</v>
      </c>
      <c r="CT297" s="8">
        <v>113945</v>
      </c>
    </row>
    <row r="298" spans="1:98" s="8" customFormat="1" x14ac:dyDescent="0.25">
      <c r="A298" s="13">
        <v>110533</v>
      </c>
      <c r="B298" s="9">
        <v>36</v>
      </c>
      <c r="C298" s="9" t="s">
        <v>1144</v>
      </c>
      <c r="D298" s="9" t="s">
        <v>94</v>
      </c>
      <c r="E298" s="9" t="s">
        <v>258</v>
      </c>
      <c r="F298" s="9"/>
      <c r="G298" s="33" t="str">
        <f>_xlfn.XLOOKUP(CT298,'Just Methods'!T:T,'Just Methods'!S:S)</f>
        <v xml:space="preserve"> 36" GMFL (xHD) </v>
      </c>
      <c r="H298" s="47" t="str">
        <f>_xlfn.XLOOKUP(CT298,'Just Methods'!T:T,'Just Methods'!C:C)</f>
        <v>GMFL.36</v>
      </c>
      <c r="I298" s="9" t="str">
        <f>_xlfn.XLOOKUP(H298,'Alternative Tool Body Sheet'!A:A,'Alternative Tool Body Sheet'!C:C)</f>
        <v>32/36 GMFL</v>
      </c>
      <c r="J298" s="9">
        <f t="shared" si="7"/>
        <v>5</v>
      </c>
      <c r="K298" s="9" t="s">
        <v>114</v>
      </c>
      <c r="L298" s="9">
        <v>36</v>
      </c>
      <c r="M298" s="9">
        <v>27</v>
      </c>
      <c r="N298" s="9">
        <v>25</v>
      </c>
      <c r="P298" s="9">
        <v>33</v>
      </c>
      <c r="Q298" s="9" t="s">
        <v>115</v>
      </c>
      <c r="R298" s="9">
        <v>33</v>
      </c>
      <c r="T298" s="9">
        <v>27.25</v>
      </c>
      <c r="V298" s="9">
        <v>10</v>
      </c>
      <c r="W298" s="9">
        <v>10</v>
      </c>
      <c r="X298" s="9">
        <v>0.68799999999999994</v>
      </c>
      <c r="Y298" s="9">
        <v>1</v>
      </c>
      <c r="Z298" s="9">
        <v>0.68799999999999994</v>
      </c>
      <c r="AC298" s="9">
        <v>324</v>
      </c>
      <c r="AD298" s="9">
        <v>108</v>
      </c>
      <c r="AN298" s="9">
        <v>750</v>
      </c>
      <c r="AO298" s="9">
        <v>115</v>
      </c>
      <c r="AQ298" s="9">
        <v>2715</v>
      </c>
      <c r="AT298" s="9">
        <v>82</v>
      </c>
      <c r="AY298" s="9">
        <v>2000</v>
      </c>
      <c r="BA298" s="9" t="s">
        <v>102</v>
      </c>
      <c r="BB298" s="9" t="s">
        <v>101</v>
      </c>
      <c r="BC298" s="9" t="s">
        <v>101</v>
      </c>
      <c r="BD298" s="9" t="s">
        <v>102</v>
      </c>
      <c r="BE298" s="9" t="s">
        <v>102</v>
      </c>
      <c r="BF298" s="9" t="s">
        <v>118</v>
      </c>
      <c r="BG298" s="9" t="s">
        <v>118</v>
      </c>
      <c r="BH298" s="9" t="s">
        <v>105</v>
      </c>
      <c r="BI298" s="9">
        <v>10</v>
      </c>
      <c r="BJ298" s="9">
        <v>3</v>
      </c>
      <c r="BK298" s="9">
        <v>3</v>
      </c>
      <c r="BL298" s="9">
        <v>38</v>
      </c>
      <c r="BM298" s="9">
        <v>6</v>
      </c>
      <c r="BN298" s="9">
        <v>13</v>
      </c>
      <c r="BO298" s="9">
        <v>10</v>
      </c>
      <c r="BP298" s="9">
        <v>10</v>
      </c>
      <c r="BQ298" s="9">
        <v>3</v>
      </c>
      <c r="BR298" s="9">
        <v>38</v>
      </c>
      <c r="BS298" s="9">
        <v>6</v>
      </c>
      <c r="BT298" s="9">
        <v>13</v>
      </c>
      <c r="CI298" s="51">
        <v>110532</v>
      </c>
      <c r="CJ298" s="8" t="b">
        <v>0</v>
      </c>
      <c r="CT298" s="8">
        <v>110533</v>
      </c>
    </row>
    <row r="299" spans="1:98" s="8" customFormat="1" x14ac:dyDescent="0.25">
      <c r="A299" s="13">
        <v>112574</v>
      </c>
      <c r="B299" s="9">
        <v>36</v>
      </c>
      <c r="C299" s="9" t="s">
        <v>1145</v>
      </c>
      <c r="D299" s="9" t="s">
        <v>94</v>
      </c>
      <c r="E299" s="9" t="s">
        <v>95</v>
      </c>
      <c r="F299" s="9"/>
      <c r="G299" s="33" t="str">
        <f>_xlfn.XLOOKUP(CT299,'Just Methods'!T:T,'Just Methods'!S:S)</f>
        <v xml:space="preserve"> 36" DEF (xHD) </v>
      </c>
      <c r="H299" s="47" t="str">
        <f>_xlfn.XLOOKUP(CT299,'Just Methods'!T:T,'Just Methods'!C:C)</f>
        <v>DEF.36</v>
      </c>
      <c r="I299" s="9" t="str">
        <f>_xlfn.XLOOKUP(H299,'Alternative Tool Body Sheet'!A:A,'Alternative Tool Body Sheet'!C:C)</f>
        <v>32/36 DEF</v>
      </c>
      <c r="J299" s="9">
        <f t="shared" si="7"/>
        <v>5</v>
      </c>
      <c r="K299" s="9" t="s">
        <v>114</v>
      </c>
      <c r="L299" s="9">
        <v>36</v>
      </c>
      <c r="M299" s="9">
        <v>27</v>
      </c>
      <c r="N299" s="9">
        <v>25</v>
      </c>
      <c r="P299" s="9">
        <v>33</v>
      </c>
      <c r="Q299" s="9" t="s">
        <v>115</v>
      </c>
      <c r="R299" s="9">
        <v>33</v>
      </c>
      <c r="T299" s="9">
        <v>27.25</v>
      </c>
      <c r="U299" s="9" t="s">
        <v>116</v>
      </c>
      <c r="V299" s="9">
        <v>15</v>
      </c>
      <c r="AA299" s="9">
        <v>72</v>
      </c>
      <c r="AN299" s="9">
        <v>750</v>
      </c>
      <c r="AO299" s="9">
        <v>125</v>
      </c>
      <c r="AQ299" s="9">
        <v>1500</v>
      </c>
      <c r="AT299" s="9">
        <v>80</v>
      </c>
      <c r="AX299" s="9">
        <v>200</v>
      </c>
      <c r="AY299" s="9">
        <v>2000</v>
      </c>
      <c r="AZ299" s="9" t="s">
        <v>1146</v>
      </c>
      <c r="BA299" s="9" t="s">
        <v>102</v>
      </c>
      <c r="BB299" s="9" t="s">
        <v>102</v>
      </c>
      <c r="BC299" s="9" t="s">
        <v>102</v>
      </c>
      <c r="BD299" s="9" t="s">
        <v>102</v>
      </c>
      <c r="BE299" s="9" t="s">
        <v>102</v>
      </c>
      <c r="BF299" s="9" t="s">
        <v>1147</v>
      </c>
      <c r="BG299" s="9" t="s">
        <v>1131</v>
      </c>
      <c r="BH299" s="9" t="s">
        <v>105</v>
      </c>
      <c r="BI299" s="9">
        <v>11</v>
      </c>
      <c r="BJ299" s="9">
        <v>3</v>
      </c>
      <c r="BK299" s="9">
        <v>3</v>
      </c>
      <c r="BL299" s="9">
        <v>38</v>
      </c>
      <c r="BM299" s="9">
        <v>6</v>
      </c>
      <c r="BN299" s="9">
        <v>14</v>
      </c>
      <c r="BO299" s="9">
        <v>11</v>
      </c>
      <c r="BP299" s="9">
        <v>11</v>
      </c>
      <c r="BQ299" s="9">
        <v>3</v>
      </c>
      <c r="BR299" s="9">
        <v>38</v>
      </c>
      <c r="BS299" s="9">
        <v>6</v>
      </c>
      <c r="BT299" s="9">
        <v>14</v>
      </c>
      <c r="BY299" s="8">
        <v>112569</v>
      </c>
      <c r="CI299" s="51"/>
      <c r="CJ299" s="8" t="b">
        <v>0</v>
      </c>
      <c r="CT299" s="8">
        <v>112574</v>
      </c>
    </row>
    <row r="300" spans="1:98" s="8" customFormat="1" x14ac:dyDescent="0.25">
      <c r="A300" s="13">
        <v>107400</v>
      </c>
      <c r="B300" s="9" t="s">
        <v>1148</v>
      </c>
      <c r="C300" s="9" t="s">
        <v>1149</v>
      </c>
      <c r="D300" s="9" t="s">
        <v>94</v>
      </c>
      <c r="E300" s="9" t="s">
        <v>194</v>
      </c>
      <c r="F300" s="9"/>
      <c r="G300" s="33" t="str">
        <f>_xlfn.XLOOKUP(CT300,'Just Methods'!T:T,'Just Methods'!S:S)</f>
        <v xml:space="preserve"> 48x36" DEF+XYZ DUAL DIAMETER </v>
      </c>
      <c r="H300" s="47" t="str">
        <f>_xlfn.XLOOKUP(CT300,'Just Methods'!T:T,'Just Methods'!C:C)</f>
        <v>DEF.XYZ.36.48</v>
      </c>
      <c r="I300" s="9" t="s">
        <v>1150</v>
      </c>
      <c r="J300" s="9">
        <f t="shared" si="7"/>
        <v>5</v>
      </c>
      <c r="K300" s="9" t="s">
        <v>98</v>
      </c>
      <c r="L300" s="9" t="s">
        <v>1148</v>
      </c>
      <c r="M300" s="9">
        <v>33</v>
      </c>
      <c r="N300" s="9">
        <v>31.25</v>
      </c>
      <c r="P300" s="9">
        <v>31.25</v>
      </c>
      <c r="Q300" s="9" t="s">
        <v>99</v>
      </c>
      <c r="R300" s="9">
        <v>35</v>
      </c>
      <c r="S300" s="9">
        <v>35</v>
      </c>
      <c r="U300" s="9" t="s">
        <v>116</v>
      </c>
      <c r="V300" s="9">
        <v>15</v>
      </c>
      <c r="AA300" s="9">
        <v>90</v>
      </c>
      <c r="AN300" s="9">
        <v>750</v>
      </c>
      <c r="AO300" s="9">
        <v>165</v>
      </c>
      <c r="AQ300" s="9">
        <v>2900</v>
      </c>
      <c r="AS300" s="9">
        <v>100</v>
      </c>
      <c r="AT300" s="9">
        <v>168</v>
      </c>
      <c r="AV300" s="9">
        <v>25</v>
      </c>
      <c r="AW300" s="9">
        <v>2.08</v>
      </c>
      <c r="AX300" s="9">
        <v>200</v>
      </c>
      <c r="AY300" s="9">
        <v>2000</v>
      </c>
      <c r="AZ300" s="9" t="s">
        <v>1151</v>
      </c>
      <c r="BA300" s="9" t="s">
        <v>102</v>
      </c>
      <c r="BB300" s="9" t="s">
        <v>101</v>
      </c>
      <c r="BC300" s="9" t="s">
        <v>101</v>
      </c>
      <c r="BD300" s="9" t="s">
        <v>102</v>
      </c>
      <c r="BE300" s="9" t="s">
        <v>102</v>
      </c>
      <c r="BF300" s="9" t="s">
        <v>1152</v>
      </c>
      <c r="BG300" s="9" t="s">
        <v>1153</v>
      </c>
      <c r="BH300" s="9" t="s">
        <v>105</v>
      </c>
      <c r="BI300" s="9">
        <v>14</v>
      </c>
      <c r="BJ300" s="9">
        <v>3</v>
      </c>
      <c r="BK300" s="9">
        <v>3</v>
      </c>
      <c r="BL300" s="9">
        <v>38</v>
      </c>
      <c r="BM300" s="9">
        <v>6</v>
      </c>
      <c r="BN300" s="9">
        <v>19</v>
      </c>
      <c r="BO300" s="9">
        <v>14</v>
      </c>
      <c r="BP300" s="9">
        <v>14</v>
      </c>
      <c r="BQ300" s="9">
        <v>3</v>
      </c>
      <c r="BR300" s="9">
        <v>38</v>
      </c>
      <c r="BS300" s="9">
        <v>6</v>
      </c>
      <c r="BT300" s="9">
        <v>19</v>
      </c>
      <c r="CI300" s="51"/>
      <c r="CJ300" s="8" t="b">
        <v>0</v>
      </c>
      <c r="CT300" s="8">
        <v>107400</v>
      </c>
    </row>
    <row r="301" spans="1:98" s="8" customFormat="1" x14ac:dyDescent="0.25">
      <c r="A301" s="13">
        <v>113592</v>
      </c>
      <c r="B301" s="9">
        <v>36</v>
      </c>
      <c r="C301" s="9" t="s">
        <v>1154</v>
      </c>
      <c r="D301" s="9" t="s">
        <v>94</v>
      </c>
      <c r="E301" s="9" t="s">
        <v>194</v>
      </c>
      <c r="F301" s="9"/>
      <c r="G301" s="33" t="str">
        <f>_xlfn.XLOOKUP(CT301,'Just Methods'!T:T,'Just Methods'!S:S)</f>
        <v xml:space="preserve"> 36" DEF+XYZ (xHD) </v>
      </c>
      <c r="H301" s="47" t="str">
        <f>_xlfn.XLOOKUP(CT301,'Just Methods'!T:T,'Just Methods'!C:C)</f>
        <v>DEF.XYZ.36</v>
      </c>
      <c r="I301" s="9" t="str">
        <f>_xlfn.XLOOKUP(H301,'Alternative Tool Body Sheet'!A:A,'Alternative Tool Body Sheet'!C:C)</f>
        <v>32/36 DEF</v>
      </c>
      <c r="J301" s="9">
        <f t="shared" si="7"/>
        <v>5</v>
      </c>
      <c r="K301" s="9" t="s">
        <v>114</v>
      </c>
      <c r="L301" s="9">
        <v>36</v>
      </c>
      <c r="M301" s="9">
        <v>27</v>
      </c>
      <c r="N301" s="9">
        <v>25</v>
      </c>
      <c r="P301" s="9">
        <v>33</v>
      </c>
      <c r="Q301" s="9" t="s">
        <v>115</v>
      </c>
      <c r="R301" s="9">
        <v>33</v>
      </c>
      <c r="T301" s="9">
        <v>27.25</v>
      </c>
      <c r="U301" s="9" t="s">
        <v>116</v>
      </c>
      <c r="V301" s="9">
        <v>15</v>
      </c>
      <c r="AA301" s="9">
        <v>72</v>
      </c>
      <c r="AN301" s="9">
        <v>750</v>
      </c>
      <c r="AO301" s="9">
        <v>127</v>
      </c>
      <c r="AQ301" s="9">
        <v>1525</v>
      </c>
      <c r="AT301" s="9">
        <v>46</v>
      </c>
      <c r="AY301" s="9">
        <v>2000</v>
      </c>
      <c r="BA301" s="9" t="s">
        <v>102</v>
      </c>
      <c r="BB301" s="9" t="s">
        <v>101</v>
      </c>
      <c r="BC301" s="9" t="s">
        <v>101</v>
      </c>
      <c r="BD301" s="9" t="s">
        <v>102</v>
      </c>
      <c r="BE301" s="9" t="s">
        <v>102</v>
      </c>
      <c r="BF301" s="9" t="s">
        <v>126</v>
      </c>
      <c r="BG301" s="9" t="s">
        <v>126</v>
      </c>
      <c r="BH301" s="9" t="s">
        <v>105</v>
      </c>
      <c r="BI301" s="9">
        <v>11</v>
      </c>
      <c r="BJ301" s="9">
        <v>3</v>
      </c>
      <c r="BK301" s="9">
        <v>3</v>
      </c>
      <c r="BL301" s="9">
        <v>38</v>
      </c>
      <c r="BM301" s="9">
        <v>6</v>
      </c>
      <c r="BN301" s="9">
        <v>14</v>
      </c>
      <c r="BO301" s="9">
        <v>11</v>
      </c>
      <c r="BP301" s="9">
        <v>11</v>
      </c>
      <c r="BQ301" s="9">
        <v>3</v>
      </c>
      <c r="BR301" s="9">
        <v>38</v>
      </c>
      <c r="BS301" s="9">
        <v>6</v>
      </c>
      <c r="BT301" s="9">
        <v>14</v>
      </c>
      <c r="BY301" s="8">
        <v>112569</v>
      </c>
      <c r="CI301" s="51"/>
      <c r="CJ301" s="8" t="b">
        <v>0</v>
      </c>
      <c r="CT301" s="8">
        <v>113592</v>
      </c>
    </row>
    <row r="302" spans="1:98" s="8" customFormat="1" x14ac:dyDescent="0.25">
      <c r="A302" s="13">
        <v>110067</v>
      </c>
      <c r="B302" s="9">
        <v>36</v>
      </c>
      <c r="C302" s="9" t="s">
        <v>1155</v>
      </c>
      <c r="D302" s="9" t="s">
        <v>94</v>
      </c>
      <c r="E302" s="9" t="s">
        <v>95</v>
      </c>
      <c r="F302" s="9"/>
      <c r="G302" s="33" t="str">
        <f>_xlfn.XLOOKUP(CT302,'Just Methods'!T:T,'Just Methods'!S:S)</f>
        <v xml:space="preserve"> 36" DEF (Short) </v>
      </c>
      <c r="H302" s="47" t="str">
        <f>_xlfn.XLOOKUP(CT302,'Just Methods'!T:T,'Just Methods'!C:C)</f>
        <v>DEF.36</v>
      </c>
      <c r="I302" s="9" t="str">
        <f>_xlfn.XLOOKUP(H302,'Alternative Tool Body Sheet'!A:A,'Alternative Tool Body Sheet'!C:C)</f>
        <v>32/36 DEF</v>
      </c>
      <c r="J302" s="9">
        <f t="shared" si="7"/>
        <v>5</v>
      </c>
      <c r="K302" s="9" t="s">
        <v>114</v>
      </c>
      <c r="L302" s="9">
        <v>36</v>
      </c>
      <c r="M302" s="9">
        <v>27</v>
      </c>
      <c r="N302" s="9">
        <v>25</v>
      </c>
      <c r="P302" s="9">
        <v>33</v>
      </c>
      <c r="Q302" s="9" t="s">
        <v>115</v>
      </c>
      <c r="R302" s="9">
        <v>33</v>
      </c>
      <c r="T302" s="9">
        <v>27.25</v>
      </c>
      <c r="U302" s="9" t="s">
        <v>116</v>
      </c>
      <c r="V302" s="9">
        <v>15</v>
      </c>
      <c r="AA302" s="9">
        <v>72</v>
      </c>
      <c r="AN302" s="9">
        <v>750</v>
      </c>
      <c r="AO302" s="9">
        <v>63</v>
      </c>
      <c r="AQ302" s="9">
        <v>924</v>
      </c>
      <c r="AT302" s="9">
        <v>34</v>
      </c>
      <c r="AV302" s="9">
        <v>9.6999999999999993</v>
      </c>
      <c r="AW302" s="9">
        <v>0.81</v>
      </c>
      <c r="AX302" s="9">
        <v>200</v>
      </c>
      <c r="AY302" s="9">
        <v>2000</v>
      </c>
      <c r="AZ302" s="9" t="s">
        <v>1156</v>
      </c>
      <c r="BA302" s="9" t="s">
        <v>102</v>
      </c>
      <c r="BB302" s="9" t="s">
        <v>101</v>
      </c>
      <c r="BC302" s="9" t="s">
        <v>101</v>
      </c>
      <c r="BD302" s="9" t="s">
        <v>102</v>
      </c>
      <c r="BE302" s="9" t="s">
        <v>102</v>
      </c>
      <c r="BF302" s="9" t="s">
        <v>118</v>
      </c>
      <c r="BG302" s="9" t="s">
        <v>1157</v>
      </c>
      <c r="BH302" s="9" t="s">
        <v>105</v>
      </c>
      <c r="BI302" s="9">
        <v>6</v>
      </c>
      <c r="BJ302" s="9">
        <v>3</v>
      </c>
      <c r="BK302" s="9">
        <v>3</v>
      </c>
      <c r="BL302" s="9">
        <v>38</v>
      </c>
      <c r="BM302" s="9">
        <v>6</v>
      </c>
      <c r="BN302" s="9">
        <v>8</v>
      </c>
      <c r="BO302" s="9">
        <v>6</v>
      </c>
      <c r="BP302" s="9">
        <v>6</v>
      </c>
      <c r="BQ302" s="9">
        <v>3</v>
      </c>
      <c r="BR302" s="9">
        <v>38</v>
      </c>
      <c r="BS302" s="9">
        <v>6</v>
      </c>
      <c r="BT302" s="9">
        <v>8</v>
      </c>
      <c r="BY302" s="8">
        <v>112569</v>
      </c>
      <c r="CI302" s="51"/>
      <c r="CJ302" s="8" t="b">
        <v>0</v>
      </c>
      <c r="CT302" s="8">
        <v>110067</v>
      </c>
    </row>
    <row r="303" spans="1:98" s="8" customFormat="1" x14ac:dyDescent="0.25">
      <c r="A303" s="13">
        <v>114349</v>
      </c>
      <c r="B303" s="9">
        <v>36</v>
      </c>
      <c r="C303" s="9" t="s">
        <v>1158</v>
      </c>
      <c r="D303" s="9" t="s">
        <v>94</v>
      </c>
      <c r="E303" s="9" t="s">
        <v>421</v>
      </c>
      <c r="F303" s="9"/>
      <c r="G303" s="33" t="str">
        <f>_xlfn.XLOOKUP(CT303,'Just Methods'!T:T,'Just Methods'!S:S)</f>
        <v xml:space="preserve"> 36" GMFL+DEF+XYZ (xHD) </v>
      </c>
      <c r="H303" s="47" t="str">
        <f>_xlfn.XLOOKUP(CT303,'Just Methods'!T:T,'Just Methods'!C:C)</f>
        <v>DEF.GMFL.XYZ.36</v>
      </c>
      <c r="I303" s="9" t="str">
        <f>_xlfn.XLOOKUP(H303,'Alternative Tool Body Sheet'!A:A,'Alternative Tool Body Sheet'!C:C)</f>
        <v>32/36 DEF</v>
      </c>
      <c r="J303" s="9">
        <f t="shared" si="7"/>
        <v>5</v>
      </c>
      <c r="K303" s="9" t="s">
        <v>114</v>
      </c>
      <c r="L303" s="9">
        <v>36</v>
      </c>
      <c r="M303" s="9">
        <v>27</v>
      </c>
      <c r="N303" s="9">
        <v>25</v>
      </c>
      <c r="P303" s="9">
        <v>33</v>
      </c>
      <c r="Q303" s="9" t="s">
        <v>115</v>
      </c>
      <c r="R303" s="9">
        <v>33</v>
      </c>
      <c r="T303" s="9">
        <v>27.25</v>
      </c>
      <c r="U303" s="9" t="s">
        <v>116</v>
      </c>
      <c r="V303" s="9">
        <v>10</v>
      </c>
      <c r="W303" s="9">
        <v>10</v>
      </c>
      <c r="X303" s="9">
        <v>0.68799999999999994</v>
      </c>
      <c r="Y303" s="9">
        <v>1</v>
      </c>
      <c r="Z303" s="9">
        <v>0.68799999999999994</v>
      </c>
      <c r="AA303" s="9">
        <v>72</v>
      </c>
      <c r="AC303" s="9">
        <v>324</v>
      </c>
      <c r="AD303" s="9">
        <v>108</v>
      </c>
      <c r="AN303" s="9">
        <v>750</v>
      </c>
      <c r="AO303" s="9">
        <v>184</v>
      </c>
      <c r="AQ303" s="9">
        <v>3400</v>
      </c>
      <c r="AT303" s="9">
        <v>50</v>
      </c>
      <c r="AX303" s="9">
        <v>200</v>
      </c>
      <c r="AY303" s="9">
        <v>2000</v>
      </c>
      <c r="AZ303" s="9" t="s">
        <v>1159</v>
      </c>
      <c r="BA303" s="9" t="s">
        <v>102</v>
      </c>
      <c r="BB303" s="9" t="s">
        <v>101</v>
      </c>
      <c r="BC303" s="9" t="s">
        <v>101</v>
      </c>
      <c r="BD303" s="9" t="s">
        <v>102</v>
      </c>
      <c r="BE303" s="9" t="s">
        <v>102</v>
      </c>
      <c r="BF303" s="9" t="s">
        <v>126</v>
      </c>
      <c r="BG303" s="9" t="s">
        <v>126</v>
      </c>
      <c r="BH303" s="9" t="s">
        <v>105</v>
      </c>
      <c r="BI303" s="9">
        <v>16</v>
      </c>
      <c r="BJ303" s="9">
        <v>3</v>
      </c>
      <c r="BK303" s="9">
        <v>3</v>
      </c>
      <c r="BL303" s="9">
        <v>38</v>
      </c>
      <c r="BM303" s="9">
        <v>6</v>
      </c>
      <c r="BN303" s="9">
        <v>21</v>
      </c>
      <c r="BO303" s="9">
        <v>16</v>
      </c>
      <c r="BP303" s="9">
        <v>16</v>
      </c>
      <c r="BQ303" s="9">
        <v>3</v>
      </c>
      <c r="BR303" s="9">
        <v>38</v>
      </c>
      <c r="BS303" s="9">
        <v>6</v>
      </c>
      <c r="BT303" s="9">
        <v>21</v>
      </c>
      <c r="CI303" s="51">
        <v>110532</v>
      </c>
      <c r="CJ303" s="8" t="b">
        <v>0</v>
      </c>
      <c r="CT303" s="8">
        <v>114349</v>
      </c>
    </row>
    <row r="304" spans="1:98" s="8" customFormat="1" x14ac:dyDescent="0.25">
      <c r="A304" s="13">
        <v>112573</v>
      </c>
      <c r="B304" s="9">
        <v>36</v>
      </c>
      <c r="C304" s="9" t="s">
        <v>1160</v>
      </c>
      <c r="D304" s="9" t="s">
        <v>94</v>
      </c>
      <c r="E304" s="9" t="s">
        <v>349</v>
      </c>
      <c r="F304" s="9"/>
      <c r="G304" s="33" t="str">
        <f>_xlfn.XLOOKUP(CT304,'Just Methods'!T:T,'Just Methods'!S:S)</f>
        <v xml:space="preserve"> 36" GMFL+DEF (xHD) </v>
      </c>
      <c r="H304" s="47" t="str">
        <f>_xlfn.XLOOKUP(CT304,'Just Methods'!T:T,'Just Methods'!C:C)</f>
        <v>DEF.GMFL.36</v>
      </c>
      <c r="I304" s="9" t="str">
        <f>_xlfn.XLOOKUP(H304,'Alternative Tool Body Sheet'!A:A,'Alternative Tool Body Sheet'!C:C)</f>
        <v>32/36 DEF</v>
      </c>
      <c r="J304" s="9">
        <f t="shared" si="7"/>
        <v>5</v>
      </c>
      <c r="K304" s="9" t="s">
        <v>114</v>
      </c>
      <c r="L304" s="9">
        <v>36</v>
      </c>
      <c r="M304" s="9">
        <v>27</v>
      </c>
      <c r="N304" s="9">
        <v>25</v>
      </c>
      <c r="P304" s="9">
        <v>33</v>
      </c>
      <c r="Q304" s="9" t="s">
        <v>115</v>
      </c>
      <c r="R304" s="9">
        <v>33</v>
      </c>
      <c r="T304" s="9">
        <v>27.25</v>
      </c>
      <c r="U304" s="9" t="s">
        <v>116</v>
      </c>
      <c r="V304" s="9">
        <v>10</v>
      </c>
      <c r="W304" s="9">
        <v>10</v>
      </c>
      <c r="X304" s="9">
        <v>0.68799999999999994</v>
      </c>
      <c r="Y304" s="9">
        <v>1</v>
      </c>
      <c r="Z304" s="9">
        <v>0.68799999999999994</v>
      </c>
      <c r="AA304" s="9">
        <v>72</v>
      </c>
      <c r="AC304" s="9">
        <v>324</v>
      </c>
      <c r="AD304" s="9">
        <v>108</v>
      </c>
      <c r="AN304" s="9">
        <v>750</v>
      </c>
      <c r="AO304" s="9">
        <v>183</v>
      </c>
      <c r="AQ304" s="9">
        <v>3600</v>
      </c>
      <c r="AT304" s="9">
        <v>70</v>
      </c>
      <c r="AY304" s="9">
        <v>2000</v>
      </c>
      <c r="AZ304" s="9" t="s">
        <v>1161</v>
      </c>
      <c r="BA304" s="9" t="s">
        <v>102</v>
      </c>
      <c r="BB304" s="9" t="s">
        <v>101</v>
      </c>
      <c r="BC304" s="9" t="s">
        <v>101</v>
      </c>
      <c r="BD304" s="9" t="s">
        <v>102</v>
      </c>
      <c r="BE304" s="9" t="s">
        <v>102</v>
      </c>
      <c r="BF304" s="9" t="s">
        <v>126</v>
      </c>
      <c r="BG304" s="9" t="s">
        <v>126</v>
      </c>
      <c r="BH304" s="9" t="s">
        <v>105</v>
      </c>
      <c r="BI304" s="9">
        <v>16</v>
      </c>
      <c r="BJ304" s="9">
        <v>3</v>
      </c>
      <c r="BK304" s="9">
        <v>3</v>
      </c>
      <c r="BL304" s="9">
        <v>38</v>
      </c>
      <c r="BM304" s="9">
        <v>6</v>
      </c>
      <c r="BN304" s="9">
        <v>21</v>
      </c>
      <c r="BO304" s="9">
        <v>16</v>
      </c>
      <c r="BP304" s="9">
        <v>16</v>
      </c>
      <c r="BQ304" s="9">
        <v>3</v>
      </c>
      <c r="BR304" s="9">
        <v>38</v>
      </c>
      <c r="BS304" s="9">
        <v>6</v>
      </c>
      <c r="BT304" s="9">
        <v>21</v>
      </c>
      <c r="CI304" s="51">
        <v>110532</v>
      </c>
      <c r="CJ304" s="8" t="b">
        <v>0</v>
      </c>
      <c r="CT304" s="8">
        <v>112573</v>
      </c>
    </row>
    <row r="305" spans="1:98" s="8" customFormat="1" x14ac:dyDescent="0.25">
      <c r="A305" s="13">
        <v>114364</v>
      </c>
      <c r="B305" s="9">
        <v>36</v>
      </c>
      <c r="C305" s="9" t="s">
        <v>1162</v>
      </c>
      <c r="D305" s="9" t="s">
        <v>94</v>
      </c>
      <c r="E305" s="9" t="s">
        <v>194</v>
      </c>
      <c r="F305" s="9"/>
      <c r="G305" s="33" t="str">
        <f>_xlfn.XLOOKUP(CT305,'Just Methods'!T:T,'Just Methods'!S:S)</f>
        <v xml:space="preserve"> 36" DEF+XYZ ATEX </v>
      </c>
      <c r="H305" s="47" t="str">
        <f>_xlfn.XLOOKUP(CT305,'Just Methods'!T:T,'Just Methods'!C:C)</f>
        <v>DEF.XYZ.36</v>
      </c>
      <c r="I305" s="9" t="str">
        <f>_xlfn.XLOOKUP(H305,'Alternative Tool Body Sheet'!A:A,'Alternative Tool Body Sheet'!C:C)</f>
        <v>32/36 DEF</v>
      </c>
      <c r="J305" s="9">
        <f t="shared" si="7"/>
        <v>5</v>
      </c>
      <c r="K305" s="9" t="s">
        <v>114</v>
      </c>
      <c r="L305" s="9">
        <v>36</v>
      </c>
      <c r="M305" s="9">
        <v>27</v>
      </c>
      <c r="N305" s="9">
        <v>25</v>
      </c>
      <c r="P305" s="9">
        <v>33</v>
      </c>
      <c r="Q305" s="9" t="s">
        <v>115</v>
      </c>
      <c r="R305" s="9">
        <v>33</v>
      </c>
      <c r="T305" s="9">
        <v>27.25</v>
      </c>
      <c r="U305" s="9" t="s">
        <v>116</v>
      </c>
      <c r="V305" s="9">
        <v>15</v>
      </c>
      <c r="AA305" s="9">
        <v>72</v>
      </c>
      <c r="AN305" s="9">
        <v>750</v>
      </c>
      <c r="AO305" s="9">
        <v>127</v>
      </c>
      <c r="AQ305" s="9">
        <v>1525</v>
      </c>
      <c r="AS305" s="9">
        <v>0</v>
      </c>
      <c r="AT305" s="9">
        <v>0</v>
      </c>
      <c r="AY305" s="9">
        <v>2000</v>
      </c>
      <c r="BA305" s="9" t="s">
        <v>102</v>
      </c>
      <c r="BB305" s="9" t="s">
        <v>101</v>
      </c>
      <c r="BC305" s="9" t="s">
        <v>101</v>
      </c>
      <c r="BD305" s="9" t="s">
        <v>102</v>
      </c>
      <c r="BE305" s="9" t="s">
        <v>102</v>
      </c>
      <c r="BF305" s="9" t="s">
        <v>126</v>
      </c>
      <c r="BG305" s="9" t="s">
        <v>126</v>
      </c>
      <c r="BH305" s="9" t="s">
        <v>105</v>
      </c>
      <c r="BI305" s="9">
        <v>11</v>
      </c>
      <c r="BJ305" s="9">
        <v>3</v>
      </c>
      <c r="BK305" s="9">
        <v>3</v>
      </c>
      <c r="BL305" s="9">
        <v>38</v>
      </c>
      <c r="BM305" s="9">
        <v>6</v>
      </c>
      <c r="BN305" s="9">
        <v>14</v>
      </c>
      <c r="BO305" s="9">
        <v>11</v>
      </c>
      <c r="BP305" s="9">
        <v>11</v>
      </c>
      <c r="BQ305" s="9">
        <v>3</v>
      </c>
      <c r="BR305" s="9">
        <v>38</v>
      </c>
      <c r="BS305" s="9">
        <v>6</v>
      </c>
      <c r="BT305" s="9">
        <v>14</v>
      </c>
      <c r="BY305" s="8">
        <v>112569</v>
      </c>
      <c r="CI305" s="51"/>
      <c r="CJ305" s="8" t="b">
        <v>0</v>
      </c>
      <c r="CT305" s="8">
        <v>114364</v>
      </c>
    </row>
    <row r="306" spans="1:98" s="8" customFormat="1" x14ac:dyDescent="0.25">
      <c r="A306" s="13">
        <v>126101</v>
      </c>
      <c r="B306" s="9">
        <v>36</v>
      </c>
      <c r="C306" s="9" t="s">
        <v>1163</v>
      </c>
      <c r="D306" s="9" t="s">
        <v>94</v>
      </c>
      <c r="E306" s="9" t="s">
        <v>194</v>
      </c>
      <c r="F306" s="9"/>
      <c r="G306" s="33" t="str">
        <f>_xlfn.XLOOKUP(CT306,'Just Methods'!T:T,'Just Methods'!S:S)</f>
        <v xml:space="preserve"> 36" DEF+XYZ (Single Body) </v>
      </c>
      <c r="H306" s="47" t="str">
        <f>_xlfn.XLOOKUP(CT306,'Just Methods'!T:T,'Just Methods'!C:C)</f>
        <v>DEF.XYZ.36</v>
      </c>
      <c r="I306" s="9" t="str">
        <f>_xlfn.XLOOKUP(H306,'Alternative Tool Body Sheet'!A:A,'Alternative Tool Body Sheet'!C:C)</f>
        <v>32/36 DEF</v>
      </c>
      <c r="J306" s="9">
        <f t="shared" si="7"/>
        <v>5</v>
      </c>
      <c r="K306" s="9" t="s">
        <v>114</v>
      </c>
      <c r="L306" s="9">
        <v>36</v>
      </c>
      <c r="M306" s="9">
        <v>27</v>
      </c>
      <c r="N306" s="9">
        <v>25</v>
      </c>
      <c r="P306" s="9">
        <v>33</v>
      </c>
      <c r="Q306" s="9" t="s">
        <v>115</v>
      </c>
      <c r="R306" s="9">
        <v>33</v>
      </c>
      <c r="T306" s="9">
        <v>27.25</v>
      </c>
      <c r="U306" s="9" t="s">
        <v>116</v>
      </c>
      <c r="V306" s="9">
        <v>15</v>
      </c>
      <c r="AA306" s="9">
        <v>72</v>
      </c>
      <c r="AN306" s="9">
        <v>750</v>
      </c>
      <c r="AO306" s="9">
        <v>65</v>
      </c>
      <c r="AQ306" s="9">
        <v>925</v>
      </c>
      <c r="AT306" s="9">
        <v>16</v>
      </c>
      <c r="AX306" s="9">
        <v>200</v>
      </c>
      <c r="AY306" s="9">
        <v>2000</v>
      </c>
      <c r="AZ306" s="9" t="s">
        <v>1164</v>
      </c>
      <c r="BA306" s="9" t="s">
        <v>102</v>
      </c>
      <c r="BB306" s="9" t="s">
        <v>101</v>
      </c>
      <c r="BC306" s="9" t="s">
        <v>101</v>
      </c>
      <c r="BD306" s="9" t="s">
        <v>102</v>
      </c>
      <c r="BE306" s="9" t="s">
        <v>102</v>
      </c>
      <c r="BF306" s="9" t="s">
        <v>118</v>
      </c>
      <c r="BG306" s="9" t="s">
        <v>118</v>
      </c>
      <c r="BH306" s="9" t="s">
        <v>105</v>
      </c>
      <c r="BI306" s="9">
        <v>6</v>
      </c>
      <c r="BJ306" s="9">
        <v>3</v>
      </c>
      <c r="BK306" s="9">
        <v>3</v>
      </c>
      <c r="BL306" s="9">
        <v>38</v>
      </c>
      <c r="BM306" s="9">
        <v>6</v>
      </c>
      <c r="BN306" s="9">
        <v>8</v>
      </c>
      <c r="BO306" s="9">
        <v>6</v>
      </c>
      <c r="BP306" s="9">
        <v>6</v>
      </c>
      <c r="BQ306" s="9">
        <v>3</v>
      </c>
      <c r="BR306" s="9">
        <v>38</v>
      </c>
      <c r="BS306" s="9">
        <v>6</v>
      </c>
      <c r="BT306" s="9">
        <v>8</v>
      </c>
      <c r="BY306" s="8">
        <v>112569</v>
      </c>
      <c r="CI306" s="51"/>
      <c r="CJ306" s="8" t="b">
        <v>0</v>
      </c>
      <c r="CT306" s="8">
        <v>126101</v>
      </c>
    </row>
    <row r="307" spans="1:98" s="8" customFormat="1" x14ac:dyDescent="0.25">
      <c r="A307" s="13" t="s">
        <v>1165</v>
      </c>
      <c r="B307" s="9">
        <v>38</v>
      </c>
      <c r="C307" s="9" t="s">
        <v>1166</v>
      </c>
      <c r="D307" s="9" t="s">
        <v>94</v>
      </c>
      <c r="E307" s="9" t="s">
        <v>95</v>
      </c>
      <c r="F307" s="9"/>
      <c r="G307" s="33" t="str">
        <f>_xlfn.XLOOKUP(CT307,'Just Methods'!T:T,'Just Methods'!S:S)</f>
        <v xml:space="preserve"> 38" DEF ATEX </v>
      </c>
      <c r="H307" s="47" t="str">
        <f>_xlfn.XLOOKUP(CT307,'Just Methods'!T:T,'Just Methods'!C:C)</f>
        <v>DEF.38</v>
      </c>
      <c r="I307" s="9" t="str">
        <f>_xlfn.XLOOKUP(H307,'Alternative Tool Body Sheet'!A:A,'Alternative Tool Body Sheet'!C:C)</f>
        <v>38/42 DEF</v>
      </c>
      <c r="J307" s="9">
        <f t="shared" si="7"/>
        <v>5</v>
      </c>
      <c r="K307" s="9" t="s">
        <v>114</v>
      </c>
      <c r="L307" s="9">
        <v>38</v>
      </c>
      <c r="M307" s="9">
        <v>31.5</v>
      </c>
      <c r="N307" s="9">
        <v>17.11</v>
      </c>
      <c r="P307" s="9">
        <v>35</v>
      </c>
      <c r="Q307" s="9" t="s">
        <v>115</v>
      </c>
      <c r="T307" s="9">
        <v>31.75</v>
      </c>
      <c r="V307" s="9">
        <v>15</v>
      </c>
      <c r="AA307" s="9">
        <v>90</v>
      </c>
      <c r="AN307" s="9">
        <v>750</v>
      </c>
      <c r="AO307" s="9">
        <v>145</v>
      </c>
      <c r="AQ307" s="9">
        <v>2210</v>
      </c>
      <c r="AS307" s="9">
        <v>0</v>
      </c>
      <c r="AT307" s="9">
        <v>0</v>
      </c>
      <c r="AY307" s="9">
        <v>2000</v>
      </c>
      <c r="BA307" s="9" t="s">
        <v>102</v>
      </c>
      <c r="BB307" s="9" t="s">
        <v>102</v>
      </c>
      <c r="BC307" s="9" t="s">
        <v>102</v>
      </c>
      <c r="BD307" s="9" t="s">
        <v>102</v>
      </c>
      <c r="BE307" s="9" t="s">
        <v>102</v>
      </c>
      <c r="BF307" s="9" t="s">
        <v>118</v>
      </c>
      <c r="BG307" s="9" t="s">
        <v>118</v>
      </c>
      <c r="BH307" s="9" t="s">
        <v>105</v>
      </c>
      <c r="BI307" s="9">
        <v>13</v>
      </c>
      <c r="BJ307" s="9">
        <v>3</v>
      </c>
      <c r="BK307" s="9">
        <v>3</v>
      </c>
      <c r="BL307" s="9">
        <v>40</v>
      </c>
      <c r="BM307" s="9">
        <v>6</v>
      </c>
      <c r="BN307" s="9">
        <v>18</v>
      </c>
      <c r="BO307" s="9">
        <v>13</v>
      </c>
      <c r="BP307" s="9">
        <v>13</v>
      </c>
      <c r="BQ307" s="9">
        <v>3</v>
      </c>
      <c r="BR307" s="9">
        <v>40</v>
      </c>
      <c r="BS307" s="9">
        <v>6</v>
      </c>
      <c r="BT307" s="9">
        <v>18</v>
      </c>
      <c r="BY307" s="8">
        <v>105988</v>
      </c>
      <c r="CI307" s="51"/>
      <c r="CJ307" s="8" t="b">
        <v>0</v>
      </c>
      <c r="CT307" s="8" t="s">
        <v>1165</v>
      </c>
    </row>
    <row r="308" spans="1:98" s="8" customFormat="1" x14ac:dyDescent="0.25">
      <c r="A308" s="13" t="s">
        <v>1167</v>
      </c>
      <c r="B308" s="9">
        <v>38</v>
      </c>
      <c r="C308" s="9" t="s">
        <v>1168</v>
      </c>
      <c r="D308" s="9" t="s">
        <v>94</v>
      </c>
      <c r="E308" s="9" t="s">
        <v>95</v>
      </c>
      <c r="F308" s="9"/>
      <c r="G308" s="33" t="str">
        <f>_xlfn.XLOOKUP(CT308,'Just Methods'!T:T,'Just Methods'!S:S)</f>
        <v xml:space="preserve"> 38" DEF (38-42) (xHD) </v>
      </c>
      <c r="H308" s="47" t="str">
        <f>_xlfn.XLOOKUP(CT308,'Just Methods'!T:T,'Just Methods'!C:C)</f>
        <v>DEF.38</v>
      </c>
      <c r="I308" s="9" t="str">
        <f>_xlfn.XLOOKUP(H308,'Alternative Tool Body Sheet'!A:A,'Alternative Tool Body Sheet'!C:C)</f>
        <v>38/42 DEF</v>
      </c>
      <c r="J308" s="9">
        <f t="shared" si="7"/>
        <v>5</v>
      </c>
      <c r="K308" s="9" t="s">
        <v>114</v>
      </c>
      <c r="L308" s="9">
        <v>38</v>
      </c>
      <c r="M308" s="9">
        <v>31.5</v>
      </c>
      <c r="N308" s="9">
        <v>17.11</v>
      </c>
      <c r="P308" s="9">
        <v>35</v>
      </c>
      <c r="Q308" s="9" t="s">
        <v>115</v>
      </c>
      <c r="R308" s="9">
        <v>37</v>
      </c>
      <c r="T308" s="9">
        <v>31.75</v>
      </c>
      <c r="U308" s="9" t="s">
        <v>116</v>
      </c>
      <c r="V308" s="9">
        <v>15</v>
      </c>
      <c r="AA308" s="9">
        <v>90</v>
      </c>
      <c r="AN308" s="9">
        <v>750</v>
      </c>
      <c r="AO308" s="9">
        <v>144</v>
      </c>
      <c r="AQ308" s="9">
        <v>2400</v>
      </c>
      <c r="AT308" s="9">
        <v>49</v>
      </c>
      <c r="AX308" s="9">
        <v>200</v>
      </c>
      <c r="AY308" s="9">
        <v>2000</v>
      </c>
      <c r="AZ308" s="9" t="s">
        <v>1169</v>
      </c>
      <c r="BA308" s="9" t="s">
        <v>102</v>
      </c>
      <c r="BB308" s="9" t="s">
        <v>102</v>
      </c>
      <c r="BC308" s="9" t="s">
        <v>102</v>
      </c>
      <c r="BD308" s="9" t="s">
        <v>102</v>
      </c>
      <c r="BE308" s="9" t="s">
        <v>102</v>
      </c>
      <c r="BF308" s="9" t="s">
        <v>1170</v>
      </c>
      <c r="BG308" s="9" t="s">
        <v>1171</v>
      </c>
      <c r="BH308" s="9" t="s">
        <v>105</v>
      </c>
      <c r="BI308" s="9">
        <v>12</v>
      </c>
      <c r="BJ308" s="9">
        <v>3</v>
      </c>
      <c r="BK308" s="9">
        <v>3</v>
      </c>
      <c r="BL308" s="9">
        <v>40</v>
      </c>
      <c r="BM308" s="9">
        <v>6</v>
      </c>
      <c r="BN308" s="9">
        <v>15</v>
      </c>
      <c r="BO308" s="9">
        <v>12</v>
      </c>
      <c r="BP308" s="9">
        <v>12</v>
      </c>
      <c r="BQ308" s="9">
        <v>3</v>
      </c>
      <c r="BR308" s="9">
        <v>40</v>
      </c>
      <c r="BS308" s="9">
        <v>6</v>
      </c>
      <c r="BT308" s="9">
        <v>15</v>
      </c>
      <c r="BY308" s="8">
        <v>105988</v>
      </c>
      <c r="CI308" s="51"/>
      <c r="CJ308" s="8" t="b">
        <v>0</v>
      </c>
      <c r="CT308" s="8" t="s">
        <v>1167</v>
      </c>
    </row>
    <row r="309" spans="1:98" s="8" customFormat="1" x14ac:dyDescent="0.25">
      <c r="A309" s="13">
        <v>114653</v>
      </c>
      <c r="B309" s="9">
        <v>40</v>
      </c>
      <c r="C309" s="9" t="s">
        <v>1172</v>
      </c>
      <c r="D309" s="9" t="s">
        <v>94</v>
      </c>
      <c r="E309" s="9" t="s">
        <v>421</v>
      </c>
      <c r="F309" s="9"/>
      <c r="G309" s="33" t="s">
        <v>1173</v>
      </c>
      <c r="H309" s="47" t="s">
        <v>1174</v>
      </c>
      <c r="I309" s="9" t="str">
        <f>_xlfn.XLOOKUP(H309,'Alternative Tool Body Sheet'!A:A,'Alternative Tool Body Sheet'!C:C)</f>
        <v>38/42 DEF</v>
      </c>
      <c r="J309" s="9">
        <f t="shared" si="7"/>
        <v>5</v>
      </c>
      <c r="K309" s="9" t="s">
        <v>114</v>
      </c>
      <c r="L309" s="9">
        <v>40</v>
      </c>
      <c r="M309" s="9">
        <v>31.5</v>
      </c>
      <c r="N309" s="9">
        <v>21.25</v>
      </c>
      <c r="P309" s="9">
        <v>36.5</v>
      </c>
      <c r="Q309" s="9" t="s">
        <v>115</v>
      </c>
      <c r="R309" s="9">
        <v>38</v>
      </c>
      <c r="T309" s="9">
        <v>31.75</v>
      </c>
      <c r="U309" s="9" t="s">
        <v>116</v>
      </c>
      <c r="V309" s="9">
        <v>10</v>
      </c>
      <c r="W309" s="9">
        <v>10</v>
      </c>
      <c r="X309" s="9">
        <v>0.69</v>
      </c>
      <c r="Y309" s="9">
        <v>1</v>
      </c>
      <c r="Z309" s="9">
        <v>0.872</v>
      </c>
      <c r="AA309" s="9">
        <v>90</v>
      </c>
      <c r="AC309" s="9">
        <v>378</v>
      </c>
      <c r="AD309" s="9">
        <v>126</v>
      </c>
      <c r="AN309" s="9">
        <v>750</v>
      </c>
      <c r="AO309" s="9">
        <v>218</v>
      </c>
      <c r="AQ309" s="9">
        <v>5005</v>
      </c>
      <c r="AT309" s="9">
        <v>49</v>
      </c>
      <c r="AY309" s="9">
        <v>2000</v>
      </c>
      <c r="BA309" s="9" t="s">
        <v>102</v>
      </c>
      <c r="BB309" s="9" t="s">
        <v>101</v>
      </c>
      <c r="BC309" s="9" t="s">
        <v>101</v>
      </c>
      <c r="BD309" s="9" t="s">
        <v>102</v>
      </c>
      <c r="BE309" s="9" t="s">
        <v>102</v>
      </c>
      <c r="BF309" s="9" t="s">
        <v>126</v>
      </c>
      <c r="BG309" s="9" t="s">
        <v>126</v>
      </c>
      <c r="BH309" s="9" t="s">
        <v>105</v>
      </c>
      <c r="BI309" s="9">
        <v>19</v>
      </c>
      <c r="BJ309" s="9">
        <v>3</v>
      </c>
      <c r="BK309" s="9">
        <v>3</v>
      </c>
      <c r="BL309" s="9">
        <v>42</v>
      </c>
      <c r="BM309" s="9">
        <v>6</v>
      </c>
      <c r="BN309" s="9">
        <v>24</v>
      </c>
      <c r="BO309" s="9">
        <v>19</v>
      </c>
      <c r="BP309" s="9">
        <v>19</v>
      </c>
      <c r="BQ309" s="9">
        <v>3</v>
      </c>
      <c r="BR309" s="9">
        <v>42</v>
      </c>
      <c r="BS309" s="9">
        <v>6</v>
      </c>
      <c r="BT309" s="9">
        <v>24</v>
      </c>
      <c r="BY309" s="8">
        <v>105988</v>
      </c>
      <c r="CI309" s="51" t="s">
        <v>1175</v>
      </c>
      <c r="CJ309" s="8" t="b">
        <v>0</v>
      </c>
      <c r="CT309" s="8">
        <v>114653</v>
      </c>
    </row>
    <row r="310" spans="1:98" s="8" customFormat="1" x14ac:dyDescent="0.25">
      <c r="A310" s="13" t="s">
        <v>1176</v>
      </c>
      <c r="B310" s="9">
        <v>40</v>
      </c>
      <c r="C310" s="9" t="s">
        <v>1177</v>
      </c>
      <c r="D310" s="9" t="s">
        <v>94</v>
      </c>
      <c r="E310" s="9" t="s">
        <v>95</v>
      </c>
      <c r="F310" s="9"/>
      <c r="G310" s="33" t="s">
        <v>1178</v>
      </c>
      <c r="H310" s="47" t="s">
        <v>1179</v>
      </c>
      <c r="I310" s="9" t="str">
        <f>_xlfn.XLOOKUP(H310,'Alternative Tool Body Sheet'!A:A,'Alternative Tool Body Sheet'!C:C)</f>
        <v>38/42 DEF</v>
      </c>
      <c r="J310" s="9">
        <f t="shared" si="7"/>
        <v>5</v>
      </c>
      <c r="K310" s="9" t="s">
        <v>114</v>
      </c>
      <c r="L310" s="9">
        <v>40</v>
      </c>
      <c r="M310" s="9">
        <v>31.5</v>
      </c>
      <c r="N310" s="9">
        <v>21.25</v>
      </c>
      <c r="P310" s="9">
        <v>36.5</v>
      </c>
      <c r="Q310" s="9" t="s">
        <v>115</v>
      </c>
      <c r="R310" s="9">
        <v>37</v>
      </c>
      <c r="T310" s="9">
        <v>31.75</v>
      </c>
      <c r="V310" s="9">
        <v>15</v>
      </c>
      <c r="AA310" s="9">
        <v>90</v>
      </c>
      <c r="AN310" s="9">
        <v>750</v>
      </c>
      <c r="AO310" s="9">
        <v>146</v>
      </c>
      <c r="AQ310" s="9">
        <v>2350</v>
      </c>
      <c r="AS310" s="9">
        <v>0</v>
      </c>
      <c r="AT310" s="9">
        <v>0</v>
      </c>
      <c r="AY310" s="9">
        <v>2000</v>
      </c>
      <c r="BA310" s="9" t="s">
        <v>102</v>
      </c>
      <c r="BB310" s="9" t="s">
        <v>101</v>
      </c>
      <c r="BC310" s="9" t="s">
        <v>101</v>
      </c>
      <c r="BD310" s="9" t="s">
        <v>102</v>
      </c>
      <c r="BE310" s="9" t="s">
        <v>102</v>
      </c>
      <c r="BF310" s="9" t="s">
        <v>126</v>
      </c>
      <c r="BG310" s="9" t="s">
        <v>126</v>
      </c>
      <c r="BH310" s="9" t="s">
        <v>105</v>
      </c>
      <c r="BY310" s="8">
        <v>105988</v>
      </c>
      <c r="CI310" s="51"/>
      <c r="CJ310" s="8" t="b">
        <v>0</v>
      </c>
      <c r="CT310" s="8" t="s">
        <v>1176</v>
      </c>
    </row>
    <row r="311" spans="1:98" s="8" customFormat="1" x14ac:dyDescent="0.25">
      <c r="A311" s="13">
        <v>114684</v>
      </c>
      <c r="B311" s="9">
        <v>40</v>
      </c>
      <c r="C311" s="9" t="s">
        <v>1180</v>
      </c>
      <c r="D311" s="9" t="s">
        <v>94</v>
      </c>
      <c r="E311" s="9" t="s">
        <v>194</v>
      </c>
      <c r="F311" s="9"/>
      <c r="G311" s="33" t="s">
        <v>1181</v>
      </c>
      <c r="H311" s="47" t="s">
        <v>1182</v>
      </c>
      <c r="I311" s="9" t="str">
        <f>_xlfn.XLOOKUP(H311,'Alternative Tool Body Sheet'!A:A,'Alternative Tool Body Sheet'!C:C)</f>
        <v>38/42 DEF</v>
      </c>
      <c r="J311" s="9">
        <f t="shared" si="7"/>
        <v>5</v>
      </c>
      <c r="K311" s="9" t="s">
        <v>114</v>
      </c>
      <c r="L311" s="9">
        <v>40</v>
      </c>
      <c r="M311" s="9">
        <v>31.5</v>
      </c>
      <c r="N311" s="9">
        <v>21.25</v>
      </c>
      <c r="P311" s="9">
        <v>36.5</v>
      </c>
      <c r="Q311" s="9" t="s">
        <v>115</v>
      </c>
      <c r="R311" s="9">
        <v>37</v>
      </c>
      <c r="T311" s="9">
        <v>31.75</v>
      </c>
      <c r="U311" s="9" t="s">
        <v>116</v>
      </c>
      <c r="V311" s="9">
        <v>15</v>
      </c>
      <c r="AA311" s="9">
        <v>90</v>
      </c>
      <c r="AN311" s="9">
        <v>750</v>
      </c>
      <c r="AO311" s="9">
        <v>147</v>
      </c>
      <c r="AP311" s="9">
        <v>2325</v>
      </c>
      <c r="AQ311" s="9">
        <v>2325</v>
      </c>
      <c r="AS311" s="9">
        <v>0</v>
      </c>
      <c r="AT311" s="9">
        <v>0</v>
      </c>
      <c r="AY311" s="9">
        <v>2000</v>
      </c>
      <c r="BA311" s="9" t="s">
        <v>102</v>
      </c>
      <c r="BB311" s="9" t="s">
        <v>101</v>
      </c>
      <c r="BC311" s="9" t="s">
        <v>101</v>
      </c>
      <c r="BD311" s="9" t="s">
        <v>102</v>
      </c>
      <c r="BE311" s="9" t="s">
        <v>102</v>
      </c>
      <c r="BF311" s="9" t="s">
        <v>126</v>
      </c>
      <c r="BG311" s="9" t="s">
        <v>126</v>
      </c>
      <c r="BH311" s="9" t="s">
        <v>105</v>
      </c>
      <c r="BI311" s="9">
        <v>13</v>
      </c>
      <c r="BJ311" s="9">
        <v>3</v>
      </c>
      <c r="BK311" s="9">
        <v>3</v>
      </c>
      <c r="BL311" s="9">
        <v>42</v>
      </c>
      <c r="BM311" s="9">
        <v>6</v>
      </c>
      <c r="BN311" s="9">
        <v>18</v>
      </c>
      <c r="BO311" s="9">
        <v>13</v>
      </c>
      <c r="BP311" s="9">
        <v>13</v>
      </c>
      <c r="BQ311" s="9">
        <v>3</v>
      </c>
      <c r="BR311" s="9">
        <v>42</v>
      </c>
      <c r="BS311" s="9">
        <v>6</v>
      </c>
      <c r="BT311" s="9">
        <v>18</v>
      </c>
      <c r="BY311" s="8">
        <v>105988</v>
      </c>
      <c r="CI311" s="51"/>
      <c r="CJ311" s="8" t="b">
        <v>0</v>
      </c>
      <c r="CT311" s="8">
        <v>114684</v>
      </c>
    </row>
    <row r="312" spans="1:98" s="8" customFormat="1" x14ac:dyDescent="0.25">
      <c r="A312" s="13" t="s">
        <v>1183</v>
      </c>
      <c r="B312" s="9">
        <v>40</v>
      </c>
      <c r="C312" s="9" t="s">
        <v>1184</v>
      </c>
      <c r="D312" s="9" t="s">
        <v>94</v>
      </c>
      <c r="E312" s="9" t="s">
        <v>95</v>
      </c>
      <c r="F312" s="9"/>
      <c r="G312" s="33" t="s">
        <v>1185</v>
      </c>
      <c r="H312" s="47" t="s">
        <v>1179</v>
      </c>
      <c r="I312" s="9" t="str">
        <f>_xlfn.XLOOKUP(H312,'Alternative Tool Body Sheet'!A:A,'Alternative Tool Body Sheet'!C:C)</f>
        <v>38/42 DEF</v>
      </c>
      <c r="J312" s="9">
        <f t="shared" si="7"/>
        <v>5</v>
      </c>
      <c r="K312" s="9" t="s">
        <v>114</v>
      </c>
      <c r="L312" s="9">
        <v>40</v>
      </c>
      <c r="M312" s="9">
        <v>31.5</v>
      </c>
      <c r="N312" s="9">
        <v>21.25</v>
      </c>
      <c r="P312" s="9">
        <v>36.5</v>
      </c>
      <c r="Q312" s="9" t="s">
        <v>115</v>
      </c>
      <c r="R312" s="9">
        <v>37</v>
      </c>
      <c r="T312" s="9">
        <v>31.75</v>
      </c>
      <c r="U312" s="9" t="s">
        <v>116</v>
      </c>
      <c r="V312" s="9">
        <v>15</v>
      </c>
      <c r="AA312" s="9">
        <v>90</v>
      </c>
      <c r="AN312" s="9">
        <v>750</v>
      </c>
      <c r="AO312" s="9">
        <v>146</v>
      </c>
      <c r="AQ312" s="9">
        <v>2350</v>
      </c>
      <c r="AT312" s="9">
        <v>49</v>
      </c>
      <c r="AX312" s="9">
        <v>200</v>
      </c>
      <c r="AY312" s="9">
        <v>2000</v>
      </c>
      <c r="AZ312" s="9" t="s">
        <v>1186</v>
      </c>
      <c r="BA312" s="9" t="s">
        <v>102</v>
      </c>
      <c r="BB312" s="9" t="s">
        <v>102</v>
      </c>
      <c r="BC312" s="9" t="s">
        <v>102</v>
      </c>
      <c r="BD312" s="9" t="s">
        <v>102</v>
      </c>
      <c r="BE312" s="9" t="s">
        <v>102</v>
      </c>
      <c r="BF312" s="9" t="s">
        <v>118</v>
      </c>
      <c r="BG312" s="9" t="s">
        <v>1171</v>
      </c>
      <c r="BH312" s="9" t="s">
        <v>105</v>
      </c>
      <c r="BI312" s="9">
        <v>13</v>
      </c>
      <c r="BJ312" s="9">
        <v>3</v>
      </c>
      <c r="BK312" s="9">
        <v>3</v>
      </c>
      <c r="BL312" s="9">
        <v>42</v>
      </c>
      <c r="BM312" s="9">
        <v>6</v>
      </c>
      <c r="BN312" s="9">
        <v>18</v>
      </c>
      <c r="BO312" s="9">
        <v>13</v>
      </c>
      <c r="BP312" s="9">
        <v>13</v>
      </c>
      <c r="BQ312" s="9">
        <v>3</v>
      </c>
      <c r="BR312" s="9">
        <v>42</v>
      </c>
      <c r="BS312" s="9">
        <v>6</v>
      </c>
      <c r="BT312" s="9">
        <v>18</v>
      </c>
      <c r="BY312" s="8">
        <v>105988</v>
      </c>
      <c r="CI312" s="51"/>
      <c r="CJ312" s="8" t="b">
        <v>0</v>
      </c>
      <c r="CT312" s="8" t="s">
        <v>1183</v>
      </c>
    </row>
    <row r="313" spans="1:98" s="8" customFormat="1" x14ac:dyDescent="0.25">
      <c r="A313" s="13">
        <v>127865</v>
      </c>
      <c r="B313" s="9">
        <v>42</v>
      </c>
      <c r="C313" s="9" t="s">
        <v>1187</v>
      </c>
      <c r="D313" s="9" t="s">
        <v>94</v>
      </c>
      <c r="E313" s="9" t="s">
        <v>349</v>
      </c>
      <c r="F313" s="9"/>
      <c r="G313" s="33" t="str">
        <f>_xlfn.XLOOKUP(CT313,'Just Methods'!T:T,'Just Methods'!S:S)</f>
        <v xml:space="preserve"> 42" DEF+GMFL </v>
      </c>
      <c r="H313" s="47" t="str">
        <f>_xlfn.XLOOKUP(CT313,'Just Methods'!T:T,'Just Methods'!C:C)</f>
        <v>DEF.GMFL.42</v>
      </c>
      <c r="I313" s="9" t="str">
        <f>_xlfn.XLOOKUP(H313,'Alternative Tool Body Sheet'!A:A,'Alternative Tool Body Sheet'!C:C)</f>
        <v>38/42 DEF</v>
      </c>
      <c r="J313" s="9">
        <f t="shared" si="7"/>
        <v>5</v>
      </c>
      <c r="K313" s="9" t="s">
        <v>114</v>
      </c>
      <c r="L313" s="9">
        <v>42</v>
      </c>
      <c r="M313" s="9">
        <v>31.5</v>
      </c>
      <c r="N313" s="9">
        <v>25</v>
      </c>
      <c r="P313" s="9">
        <v>39</v>
      </c>
      <c r="Q313" s="9" t="s">
        <v>115</v>
      </c>
      <c r="R313" s="9">
        <v>39</v>
      </c>
      <c r="T313" s="9">
        <v>31.75</v>
      </c>
      <c r="U313" s="9" t="s">
        <v>116</v>
      </c>
      <c r="V313" s="9">
        <v>10</v>
      </c>
      <c r="W313" s="9">
        <v>10</v>
      </c>
      <c r="X313" s="9">
        <v>0.69</v>
      </c>
      <c r="Y313" s="9">
        <v>1</v>
      </c>
      <c r="Z313" s="9">
        <v>0.872</v>
      </c>
      <c r="AA313" s="9">
        <v>90</v>
      </c>
      <c r="AC313" s="9">
        <v>378</v>
      </c>
      <c r="AD313" s="9">
        <v>126</v>
      </c>
      <c r="AN313" s="9">
        <v>750</v>
      </c>
      <c r="AO313" s="9">
        <v>218</v>
      </c>
      <c r="AQ313" s="9">
        <v>4915</v>
      </c>
      <c r="AT313" s="9">
        <v>131</v>
      </c>
      <c r="AV313" s="9">
        <v>42.7</v>
      </c>
      <c r="AW313" s="9">
        <v>3.56</v>
      </c>
      <c r="AX313" s="9">
        <v>200</v>
      </c>
      <c r="AY313" s="9">
        <v>2000</v>
      </c>
      <c r="AZ313" s="9" t="s">
        <v>1188</v>
      </c>
      <c r="BA313" s="9" t="s">
        <v>102</v>
      </c>
      <c r="BB313" s="9" t="s">
        <v>101</v>
      </c>
      <c r="BC313" s="9" t="s">
        <v>101</v>
      </c>
      <c r="BD313" s="9" t="s">
        <v>102</v>
      </c>
      <c r="BE313" s="9" t="s">
        <v>102</v>
      </c>
      <c r="BF313" s="9" t="s">
        <v>1170</v>
      </c>
      <c r="BG313" s="9" t="s">
        <v>1171</v>
      </c>
      <c r="BH313" s="9" t="s">
        <v>105</v>
      </c>
      <c r="BI313" s="9">
        <v>19</v>
      </c>
      <c r="BJ313" s="9">
        <v>3</v>
      </c>
      <c r="BK313" s="9">
        <v>3</v>
      </c>
      <c r="BL313" s="9">
        <v>44</v>
      </c>
      <c r="BM313" s="9">
        <v>6</v>
      </c>
      <c r="BN313" s="9">
        <v>24</v>
      </c>
      <c r="BO313" s="9">
        <v>19</v>
      </c>
      <c r="BP313" s="9">
        <v>19</v>
      </c>
      <c r="BQ313" s="9">
        <v>3</v>
      </c>
      <c r="BR313" s="9">
        <v>44</v>
      </c>
      <c r="BS313" s="9">
        <v>6</v>
      </c>
      <c r="BT313" s="9">
        <v>24</v>
      </c>
      <c r="BY313" s="8">
        <v>105988</v>
      </c>
      <c r="CI313" s="51" t="s">
        <v>1175</v>
      </c>
      <c r="CJ313" s="8" t="b">
        <v>0</v>
      </c>
      <c r="CT313" s="8">
        <v>127865</v>
      </c>
    </row>
    <row r="314" spans="1:98" s="8" customFormat="1" x14ac:dyDescent="0.25">
      <c r="A314" s="13" t="s">
        <v>1189</v>
      </c>
      <c r="B314" s="9">
        <v>42</v>
      </c>
      <c r="C314" s="9" t="s">
        <v>1190</v>
      </c>
      <c r="D314" s="9" t="s">
        <v>94</v>
      </c>
      <c r="E314" s="9" t="s">
        <v>95</v>
      </c>
      <c r="F314" s="9"/>
      <c r="G314" s="33" t="str">
        <f>_xlfn.XLOOKUP(CT314,'Just Methods'!T:T,'Just Methods'!S:S)</f>
        <v xml:space="preserve"> 42" DEF ATEX </v>
      </c>
      <c r="H314" s="47" t="str">
        <f>_xlfn.XLOOKUP(CT314,'Just Methods'!T:T,'Just Methods'!C:C)</f>
        <v>DEF.42</v>
      </c>
      <c r="I314" s="9" t="str">
        <f>_xlfn.XLOOKUP(H314,'Alternative Tool Body Sheet'!A:A,'Alternative Tool Body Sheet'!C:C)</f>
        <v>38/42 DEF</v>
      </c>
      <c r="J314" s="9">
        <f t="shared" si="7"/>
        <v>5</v>
      </c>
      <c r="K314" s="9" t="s">
        <v>114</v>
      </c>
      <c r="L314" s="9">
        <v>42</v>
      </c>
      <c r="M314" s="9">
        <v>31.5</v>
      </c>
      <c r="N314" s="9">
        <v>25</v>
      </c>
      <c r="P314" s="9">
        <v>39</v>
      </c>
      <c r="Q314" s="9" t="s">
        <v>115</v>
      </c>
      <c r="R314" s="9">
        <v>38</v>
      </c>
      <c r="T314" s="9">
        <v>31.75</v>
      </c>
      <c r="V314" s="9">
        <v>15</v>
      </c>
      <c r="AA314" s="9">
        <v>90</v>
      </c>
      <c r="AN314" s="9">
        <v>750</v>
      </c>
      <c r="AO314" s="9">
        <v>147</v>
      </c>
      <c r="AQ314" s="9">
        <v>2400</v>
      </c>
      <c r="AS314" s="9">
        <v>0</v>
      </c>
      <c r="AT314" s="9">
        <v>0</v>
      </c>
      <c r="AY314" s="9">
        <v>2000</v>
      </c>
      <c r="BA314" s="9" t="s">
        <v>102</v>
      </c>
      <c r="BB314" s="9" t="s">
        <v>101</v>
      </c>
      <c r="BC314" s="9" t="s">
        <v>101</v>
      </c>
      <c r="BD314" s="9" t="s">
        <v>102</v>
      </c>
      <c r="BE314" s="9" t="s">
        <v>102</v>
      </c>
      <c r="BF314" s="9" t="s">
        <v>126</v>
      </c>
      <c r="BG314" s="9" t="s">
        <v>126</v>
      </c>
      <c r="BH314" s="9" t="s">
        <v>105</v>
      </c>
      <c r="BI314" s="9">
        <v>13</v>
      </c>
      <c r="BJ314" s="9">
        <v>3</v>
      </c>
      <c r="BK314" s="9">
        <v>3</v>
      </c>
      <c r="BL314" s="9">
        <v>44</v>
      </c>
      <c r="BM314" s="9">
        <v>6</v>
      </c>
      <c r="BN314" s="9">
        <v>18</v>
      </c>
      <c r="BO314" s="9">
        <v>13</v>
      </c>
      <c r="BP314" s="9">
        <v>13</v>
      </c>
      <c r="BQ314" s="9">
        <v>3</v>
      </c>
      <c r="BR314" s="9">
        <v>44</v>
      </c>
      <c r="BS314" s="9">
        <v>6</v>
      </c>
      <c r="BT314" s="9">
        <v>18</v>
      </c>
      <c r="BY314" s="8">
        <v>105988</v>
      </c>
      <c r="CI314" s="51"/>
      <c r="CJ314" s="8" t="b">
        <v>0</v>
      </c>
      <c r="CT314" s="8" t="s">
        <v>1189</v>
      </c>
    </row>
    <row r="315" spans="1:98" s="8" customFormat="1" x14ac:dyDescent="0.25">
      <c r="A315" s="13">
        <v>116952</v>
      </c>
      <c r="B315" s="9">
        <v>42</v>
      </c>
      <c r="C315" s="9" t="s">
        <v>1191</v>
      </c>
      <c r="D315" s="9" t="s">
        <v>94</v>
      </c>
      <c r="E315" s="9" t="s">
        <v>421</v>
      </c>
      <c r="F315" s="9"/>
      <c r="G315" s="33" t="str">
        <f>_xlfn.XLOOKUP(CT315,'Just Methods'!T:T,'Just Methods'!S:S)</f>
        <v xml:space="preserve"> 42" GMFL+DEF+XYZ ATEX </v>
      </c>
      <c r="H315" s="47" t="str">
        <f>_xlfn.XLOOKUP(CT315,'Just Methods'!T:T,'Just Methods'!C:C)</f>
        <v>DEF.GMFL.XYZ.42</v>
      </c>
      <c r="I315" s="9" t="str">
        <f>_xlfn.XLOOKUP(H315,'Alternative Tool Body Sheet'!A:A,'Alternative Tool Body Sheet'!C:C)</f>
        <v>38/42 DEF</v>
      </c>
      <c r="J315" s="9">
        <f t="shared" si="7"/>
        <v>5</v>
      </c>
      <c r="K315" s="9" t="s">
        <v>114</v>
      </c>
      <c r="L315" s="9">
        <v>42</v>
      </c>
      <c r="M315" s="9">
        <v>31.5</v>
      </c>
      <c r="N315" s="9">
        <v>25</v>
      </c>
      <c r="P315" s="9">
        <v>39</v>
      </c>
      <c r="Q315" s="9" t="s">
        <v>115</v>
      </c>
      <c r="R315" s="9">
        <v>39</v>
      </c>
      <c r="T315" s="9">
        <v>31.75</v>
      </c>
      <c r="U315" s="9" t="s">
        <v>116</v>
      </c>
      <c r="V315" s="9">
        <v>10</v>
      </c>
      <c r="W315" s="9">
        <v>10</v>
      </c>
      <c r="X315" s="9">
        <v>0.69</v>
      </c>
      <c r="Y315" s="9">
        <v>1</v>
      </c>
      <c r="Z315" s="9">
        <v>0.872</v>
      </c>
      <c r="AA315" s="9">
        <v>90</v>
      </c>
      <c r="AC315" s="9">
        <v>378</v>
      </c>
      <c r="AD315" s="9">
        <v>126</v>
      </c>
      <c r="AN315" s="9">
        <v>750</v>
      </c>
      <c r="AO315" s="9">
        <v>218</v>
      </c>
      <c r="AQ315" s="9">
        <v>5425</v>
      </c>
      <c r="AS315" s="9">
        <v>0</v>
      </c>
      <c r="AT315" s="9">
        <v>0</v>
      </c>
      <c r="AY315" s="9">
        <v>2000</v>
      </c>
      <c r="BA315" s="9" t="s">
        <v>102</v>
      </c>
      <c r="BB315" s="9" t="s">
        <v>101</v>
      </c>
      <c r="BC315" s="9" t="s">
        <v>101</v>
      </c>
      <c r="BD315" s="9" t="s">
        <v>102</v>
      </c>
      <c r="BE315" s="9" t="s">
        <v>102</v>
      </c>
      <c r="BF315" s="9" t="s">
        <v>126</v>
      </c>
      <c r="BG315" s="9" t="s">
        <v>126</v>
      </c>
      <c r="BH315" s="9" t="s">
        <v>105</v>
      </c>
      <c r="BI315" s="9">
        <v>19</v>
      </c>
      <c r="BJ315" s="9">
        <v>3</v>
      </c>
      <c r="BK315" s="9">
        <v>3</v>
      </c>
      <c r="BL315" s="9">
        <v>44</v>
      </c>
      <c r="BM315" s="9">
        <v>6</v>
      </c>
      <c r="BN315" s="9">
        <v>24</v>
      </c>
      <c r="BO315" s="9">
        <v>19</v>
      </c>
      <c r="BP315" s="9">
        <v>19</v>
      </c>
      <c r="BQ315" s="9">
        <v>3</v>
      </c>
      <c r="BR315" s="9">
        <v>44</v>
      </c>
      <c r="BS315" s="9">
        <v>6</v>
      </c>
      <c r="BT315" s="9">
        <v>24</v>
      </c>
      <c r="BY315" s="8">
        <v>105988</v>
      </c>
      <c r="CI315" s="51" t="s">
        <v>1175</v>
      </c>
      <c r="CJ315" s="8" t="b">
        <v>0</v>
      </c>
      <c r="CT315" s="8">
        <v>116952</v>
      </c>
    </row>
    <row r="316" spans="1:98" s="8" customFormat="1" x14ac:dyDescent="0.25">
      <c r="A316" s="13">
        <v>113590</v>
      </c>
      <c r="B316" s="9">
        <v>42</v>
      </c>
      <c r="C316" s="9" t="s">
        <v>1192</v>
      </c>
      <c r="D316" s="9" t="s">
        <v>94</v>
      </c>
      <c r="E316" s="9" t="s">
        <v>194</v>
      </c>
      <c r="F316" s="9"/>
      <c r="G316" s="33" t="str">
        <f>_xlfn.XLOOKUP(CT316,'Just Methods'!T:T,'Just Methods'!S:S)</f>
        <v xml:space="preserve"> 42" DEF+XYZ (xHD) </v>
      </c>
      <c r="H316" s="47" t="str">
        <f>_xlfn.XLOOKUP(CT316,'Just Methods'!T:T,'Just Methods'!C:C)</f>
        <v>DEF.XYZ.42</v>
      </c>
      <c r="I316" s="9" t="str">
        <f>_xlfn.XLOOKUP(H316,'Alternative Tool Body Sheet'!A:A,'Alternative Tool Body Sheet'!C:C)</f>
        <v>38/42 DEF</v>
      </c>
      <c r="J316" s="9">
        <f t="shared" ref="J316:J318" si="8">IF(ISNUMBER(SEARCH("Legacy",D316)),5,
IF(OR(ISNUMBER(SEARCH("MDS",D316)),ISNUMBER(SEARCH("EMAT",D316))),7,""))</f>
        <v>5</v>
      </c>
      <c r="K316" s="9" t="s">
        <v>114</v>
      </c>
      <c r="L316" s="9">
        <v>42</v>
      </c>
      <c r="M316" s="9">
        <v>31.5</v>
      </c>
      <c r="N316" s="9">
        <v>25</v>
      </c>
      <c r="P316" s="9">
        <v>39</v>
      </c>
      <c r="Q316" s="9" t="s">
        <v>115</v>
      </c>
      <c r="R316" s="9">
        <v>38</v>
      </c>
      <c r="T316" s="9">
        <v>31.75</v>
      </c>
      <c r="U316" s="9" t="s">
        <v>116</v>
      </c>
      <c r="V316" s="9">
        <v>15</v>
      </c>
      <c r="AA316" s="9">
        <v>90</v>
      </c>
      <c r="AN316" s="9">
        <v>750</v>
      </c>
      <c r="AO316" s="9">
        <v>147</v>
      </c>
      <c r="AQ316" s="9">
        <v>2425</v>
      </c>
      <c r="AT316" s="9">
        <v>71</v>
      </c>
      <c r="AY316" s="9">
        <v>2000</v>
      </c>
      <c r="BA316" s="9" t="s">
        <v>102</v>
      </c>
      <c r="BB316" s="9" t="s">
        <v>101</v>
      </c>
      <c r="BC316" s="9" t="s">
        <v>101</v>
      </c>
      <c r="BD316" s="9" t="s">
        <v>102</v>
      </c>
      <c r="BE316" s="9" t="s">
        <v>102</v>
      </c>
      <c r="BF316" s="9" t="s">
        <v>126</v>
      </c>
      <c r="BG316" s="9" t="s">
        <v>126</v>
      </c>
      <c r="BH316" s="9" t="s">
        <v>105</v>
      </c>
      <c r="BI316" s="9">
        <v>13</v>
      </c>
      <c r="BJ316" s="9">
        <v>3</v>
      </c>
      <c r="BK316" s="9">
        <v>3</v>
      </c>
      <c r="BL316" s="9">
        <v>44</v>
      </c>
      <c r="BM316" s="9">
        <v>6</v>
      </c>
      <c r="BN316" s="9">
        <v>18</v>
      </c>
      <c r="BO316" s="9">
        <v>13</v>
      </c>
      <c r="BP316" s="9">
        <v>13</v>
      </c>
      <c r="BQ316" s="9">
        <v>3</v>
      </c>
      <c r="BR316" s="9">
        <v>44</v>
      </c>
      <c r="BS316" s="9">
        <v>6</v>
      </c>
      <c r="BT316" s="9">
        <v>18</v>
      </c>
      <c r="BY316" s="8">
        <v>105988</v>
      </c>
      <c r="CI316" s="51"/>
      <c r="CJ316" s="8" t="b">
        <v>0</v>
      </c>
      <c r="CT316" s="8">
        <v>113590</v>
      </c>
    </row>
    <row r="317" spans="1:98" s="8" customFormat="1" x14ac:dyDescent="0.25">
      <c r="A317" s="13">
        <v>116951</v>
      </c>
      <c r="B317" s="9">
        <v>42</v>
      </c>
      <c r="C317" s="9" t="s">
        <v>1193</v>
      </c>
      <c r="D317" s="9" t="s">
        <v>94</v>
      </c>
      <c r="E317" s="9" t="s">
        <v>258</v>
      </c>
      <c r="F317" s="9"/>
      <c r="G317" s="33" t="str">
        <f>_xlfn.XLOOKUP(CT317,'Just Methods'!T:T,'Just Methods'!S:S)</f>
        <v xml:space="preserve"> 42" GMFL ATEX </v>
      </c>
      <c r="H317" s="47" t="str">
        <f>_xlfn.XLOOKUP(CT317,'Just Methods'!T:T,'Just Methods'!C:C)</f>
        <v>GMFL.42</v>
      </c>
      <c r="I317" s="9" t="str">
        <f>_xlfn.XLOOKUP(H317,'Alternative Tool Body Sheet'!A:A,'Alternative Tool Body Sheet'!C:C)</f>
        <v>40/42 GMFL</v>
      </c>
      <c r="J317" s="9">
        <f t="shared" si="8"/>
        <v>5</v>
      </c>
      <c r="K317" s="9" t="s">
        <v>114</v>
      </c>
      <c r="L317" s="9">
        <v>42</v>
      </c>
      <c r="M317" s="9">
        <v>31.5</v>
      </c>
      <c r="N317" s="9">
        <v>25</v>
      </c>
      <c r="P317" s="9">
        <v>39</v>
      </c>
      <c r="Q317" s="9" t="s">
        <v>115</v>
      </c>
      <c r="R317" s="9">
        <v>39</v>
      </c>
      <c r="T317" s="9">
        <v>31.75</v>
      </c>
      <c r="V317" s="9">
        <v>10</v>
      </c>
      <c r="W317" s="9">
        <v>10</v>
      </c>
      <c r="X317" s="9">
        <v>0.69</v>
      </c>
      <c r="Y317" s="9">
        <v>1</v>
      </c>
      <c r="Z317" s="9">
        <v>0.872</v>
      </c>
      <c r="AC317" s="9">
        <v>378</v>
      </c>
      <c r="AD317" s="9">
        <v>126</v>
      </c>
      <c r="AN317" s="9">
        <v>750</v>
      </c>
      <c r="AO317" s="9">
        <v>140</v>
      </c>
      <c r="AQ317" s="9">
        <v>3620</v>
      </c>
      <c r="AS317" s="9">
        <v>207</v>
      </c>
      <c r="AT317" s="9">
        <v>816</v>
      </c>
      <c r="AV317" s="9">
        <v>30.13</v>
      </c>
      <c r="AW317" s="9">
        <v>2.5099999999999998</v>
      </c>
      <c r="AX317" s="9">
        <v>200</v>
      </c>
      <c r="AY317" s="9">
        <v>2000</v>
      </c>
      <c r="AZ317" s="9" t="s">
        <v>1194</v>
      </c>
      <c r="BA317" s="9" t="s">
        <v>102</v>
      </c>
      <c r="BB317" s="9" t="s">
        <v>101</v>
      </c>
      <c r="BC317" s="9" t="s">
        <v>101</v>
      </c>
      <c r="BD317" s="9" t="s">
        <v>102</v>
      </c>
      <c r="BE317" s="9" t="s">
        <v>102</v>
      </c>
      <c r="BF317" s="9" t="s">
        <v>1170</v>
      </c>
      <c r="BG317" s="9" t="s">
        <v>1171</v>
      </c>
      <c r="BH317" s="9" t="s">
        <v>105</v>
      </c>
      <c r="BI317" s="9">
        <v>12</v>
      </c>
      <c r="BJ317" s="9">
        <v>3</v>
      </c>
      <c r="BK317" s="9">
        <v>3</v>
      </c>
      <c r="BL317" s="9">
        <v>44</v>
      </c>
      <c r="BM317" s="9">
        <v>6</v>
      </c>
      <c r="BN317" s="9">
        <v>15</v>
      </c>
      <c r="BO317" s="9">
        <v>12</v>
      </c>
      <c r="BP317" s="9">
        <v>12</v>
      </c>
      <c r="BQ317" s="9">
        <v>3</v>
      </c>
      <c r="BR317" s="9">
        <v>44</v>
      </c>
      <c r="BS317" s="9">
        <v>6</v>
      </c>
      <c r="BT317" s="9">
        <v>15</v>
      </c>
      <c r="CI317" s="51" t="s">
        <v>1175</v>
      </c>
      <c r="CJ317" s="8" t="b">
        <v>0</v>
      </c>
      <c r="CT317" s="8">
        <v>116951</v>
      </c>
    </row>
    <row r="318" spans="1:98" s="8" customFormat="1" x14ac:dyDescent="0.25">
      <c r="A318" s="13">
        <v>111622</v>
      </c>
      <c r="B318" s="9">
        <v>42</v>
      </c>
      <c r="C318" s="9" t="s">
        <v>1195</v>
      </c>
      <c r="D318" s="9" t="s">
        <v>94</v>
      </c>
      <c r="E318" s="9" t="s">
        <v>258</v>
      </c>
      <c r="F318" s="9"/>
      <c r="G318" s="33" t="str">
        <f>_xlfn.XLOOKUP(CT318,'Just Methods'!T:T,'Just Methods'!S:S)</f>
        <v xml:space="preserve"> 42" GMFL (xHD) </v>
      </c>
      <c r="H318" s="47" t="str">
        <f>_xlfn.XLOOKUP(CT318,'Just Methods'!T:T,'Just Methods'!C:C)</f>
        <v>GMFL.42</v>
      </c>
      <c r="I318" s="9" t="str">
        <f>_xlfn.XLOOKUP(H318,'Alternative Tool Body Sheet'!A:A,'Alternative Tool Body Sheet'!C:C)</f>
        <v>40/42 GMFL</v>
      </c>
      <c r="J318" s="9">
        <f t="shared" si="8"/>
        <v>5</v>
      </c>
      <c r="K318" s="9" t="s">
        <v>114</v>
      </c>
      <c r="L318" s="9">
        <v>42</v>
      </c>
      <c r="M318" s="9">
        <v>31.5</v>
      </c>
      <c r="N318" s="9">
        <v>25</v>
      </c>
      <c r="P318" s="9">
        <v>39</v>
      </c>
      <c r="Q318" s="9" t="s">
        <v>115</v>
      </c>
      <c r="R318" s="9">
        <v>39</v>
      </c>
      <c r="T318" s="9">
        <v>31.75</v>
      </c>
      <c r="V318" s="9">
        <v>10</v>
      </c>
      <c r="W318" s="9">
        <v>10</v>
      </c>
      <c r="X318" s="9">
        <v>0.69</v>
      </c>
      <c r="Y318" s="9">
        <v>1</v>
      </c>
      <c r="Z318" s="9">
        <v>0.872</v>
      </c>
      <c r="AC318" s="9">
        <v>378</v>
      </c>
      <c r="AD318" s="9">
        <v>126</v>
      </c>
      <c r="AN318" s="9">
        <v>750</v>
      </c>
      <c r="AO318" s="9">
        <v>138</v>
      </c>
      <c r="AQ318" s="9">
        <v>3536</v>
      </c>
      <c r="AT318" s="9">
        <v>77</v>
      </c>
      <c r="AX318" s="9">
        <v>200</v>
      </c>
      <c r="AY318" s="9">
        <v>2000</v>
      </c>
      <c r="AZ318" s="9" t="s">
        <v>1196</v>
      </c>
      <c r="BA318" s="9" t="s">
        <v>102</v>
      </c>
      <c r="BB318" s="9" t="s">
        <v>101</v>
      </c>
      <c r="BC318" s="9" t="s">
        <v>101</v>
      </c>
      <c r="BD318" s="9" t="s">
        <v>102</v>
      </c>
      <c r="BE318" s="9" t="s">
        <v>102</v>
      </c>
      <c r="BF318" s="9" t="s">
        <v>118</v>
      </c>
      <c r="BG318" s="9" t="s">
        <v>118</v>
      </c>
      <c r="BH318" s="9" t="s">
        <v>105</v>
      </c>
      <c r="BI318" s="9">
        <v>12</v>
      </c>
      <c r="BJ318" s="9">
        <v>3</v>
      </c>
      <c r="BK318" s="9">
        <v>3</v>
      </c>
      <c r="BL318" s="9">
        <v>44</v>
      </c>
      <c r="BM318" s="9">
        <v>6</v>
      </c>
      <c r="BN318" s="9">
        <v>15</v>
      </c>
      <c r="BO318" s="9">
        <v>12</v>
      </c>
      <c r="BP318" s="9">
        <v>12</v>
      </c>
      <c r="BQ318" s="9">
        <v>3</v>
      </c>
      <c r="BR318" s="9">
        <v>44</v>
      </c>
      <c r="BS318" s="9">
        <v>6</v>
      </c>
      <c r="BT318" s="9">
        <v>15</v>
      </c>
      <c r="CI318" s="51" t="s">
        <v>1175</v>
      </c>
      <c r="CJ318" s="8" t="b">
        <v>0</v>
      </c>
      <c r="CT318" s="8">
        <v>111622</v>
      </c>
    </row>
    <row r="319" spans="1:98" x14ac:dyDescent="0.25">
      <c r="A319" s="13">
        <v>113557</v>
      </c>
      <c r="B319" s="9">
        <v>42</v>
      </c>
      <c r="C319" s="9"/>
      <c r="D319" s="9" t="s">
        <v>1197</v>
      </c>
      <c r="E319" s="9"/>
      <c r="F319" s="9"/>
      <c r="G319" s="33" t="str">
        <f>_xlfn.XLOOKUP(A319, 'Just Methods'!M:M, 'Just Methods'!C:C, "")</f>
        <v/>
      </c>
      <c r="H319" s="47" t="s">
        <v>1198</v>
      </c>
      <c r="I319" s="9" t="s">
        <v>1199</v>
      </c>
      <c r="J319" s="9">
        <f>IF(ISNUMBER(SEARCH("Legacy",D319)),5,
IF(OR(ISNUMBER(SEARCH("MDS",D319)),ISNUMBER(SEARCH("EMAT",D319))),7,""))</f>
        <v>5</v>
      </c>
      <c r="K319" s="9"/>
      <c r="L319" s="9"/>
      <c r="M319" s="9"/>
      <c r="N319" s="9"/>
      <c r="O319" s="8"/>
      <c r="P319" s="9"/>
      <c r="Q319" s="9"/>
      <c r="R319" s="9"/>
      <c r="S319" s="8"/>
      <c r="T319" s="9"/>
      <c r="U319" s="9"/>
      <c r="V319" s="9"/>
      <c r="W319" s="9"/>
      <c r="X319" s="9"/>
      <c r="Y319" s="9"/>
      <c r="Z319" s="9"/>
      <c r="AA319" s="9"/>
      <c r="AB319" s="8"/>
      <c r="AC319" s="9"/>
      <c r="AD319" s="9"/>
      <c r="AE319" s="8"/>
      <c r="AF319" s="8"/>
      <c r="AG319" s="8"/>
      <c r="AH319" s="8"/>
      <c r="AI319" s="8"/>
      <c r="AJ319" s="8"/>
      <c r="AK319" s="8"/>
      <c r="AL319" s="8"/>
      <c r="AM319" s="8"/>
      <c r="AN319" s="9"/>
      <c r="AO319" s="9"/>
      <c r="AP319" s="8"/>
      <c r="AQ319" s="9"/>
      <c r="AR319" s="8"/>
      <c r="AS319" s="8"/>
      <c r="AT319" s="9"/>
      <c r="AU319" s="8"/>
      <c r="AV319" s="8"/>
      <c r="AW319" s="8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8"/>
      <c r="BV319" s="8"/>
      <c r="BW319" s="8"/>
      <c r="BX319" s="8"/>
      <c r="BY319" s="8">
        <v>105988</v>
      </c>
      <c r="BZ319" s="8"/>
      <c r="CA319" s="8"/>
      <c r="CB319" s="8"/>
      <c r="CC319" s="8"/>
      <c r="CD319" s="8"/>
      <c r="CE319" s="8"/>
      <c r="CF319" s="8"/>
      <c r="CG319" s="8"/>
      <c r="CH319" s="8"/>
      <c r="CI319" s="51" t="s">
        <v>1175</v>
      </c>
      <c r="CJ319" s="8"/>
      <c r="CK319" s="8"/>
      <c r="CL319" s="8"/>
      <c r="CM319" s="8"/>
      <c r="CN319" s="8"/>
      <c r="CO319" s="8"/>
      <c r="CT319" t="s">
        <v>1200</v>
      </c>
    </row>
    <row r="320" spans="1:98" x14ac:dyDescent="0.25">
      <c r="A320" s="13">
        <v>131428</v>
      </c>
      <c r="B320" s="9">
        <v>14</v>
      </c>
      <c r="C320" s="9"/>
      <c r="D320" s="9" t="s">
        <v>121</v>
      </c>
      <c r="E320" s="9"/>
      <c r="F320" s="9"/>
      <c r="G320" s="33" t="str">
        <f>_xlfn.XLOOKUP(A320, 'Just Methods'!M:M, 'Just Methods'!C:C, "")</f>
        <v/>
      </c>
      <c r="H320" s="47" t="s">
        <v>1201</v>
      </c>
      <c r="I320" s="9" t="s">
        <v>1202</v>
      </c>
      <c r="J320" s="9">
        <f>IF(ISNUMBER(SEARCH("Legacy",D320)),5,
IF(OR(ISNUMBER(SEARCH("MDS",D320)),ISNUMBER(SEARCH("EMAT",D320))),7,""))</f>
        <v>7</v>
      </c>
      <c r="K320" s="9"/>
      <c r="L320" s="9"/>
      <c r="M320" s="9"/>
      <c r="N320" s="9"/>
      <c r="O320" s="8"/>
      <c r="P320" s="9"/>
      <c r="Q320" s="9"/>
      <c r="R320" s="9"/>
      <c r="S320" s="8"/>
      <c r="T320" s="9"/>
      <c r="U320" s="9"/>
      <c r="V320" s="9"/>
      <c r="W320" s="9"/>
      <c r="X320" s="9"/>
      <c r="Y320" s="9"/>
      <c r="Z320" s="9"/>
      <c r="AA320" s="9"/>
      <c r="AB320" s="8"/>
      <c r="AC320" s="9"/>
      <c r="AD320" s="9"/>
      <c r="AE320" s="8"/>
      <c r="AF320" s="8"/>
      <c r="AG320" s="8"/>
      <c r="AH320" s="8"/>
      <c r="AI320" s="8"/>
      <c r="AJ320" s="8"/>
      <c r="AK320" s="8"/>
      <c r="AL320" s="8"/>
      <c r="AM320" s="8"/>
      <c r="AN320" s="9"/>
      <c r="AO320" s="9"/>
      <c r="AP320" s="8"/>
      <c r="AQ320" s="9"/>
      <c r="AR320" s="8"/>
      <c r="AS320" s="8"/>
      <c r="AT320" s="9"/>
      <c r="AU320" s="8"/>
      <c r="AV320" s="8"/>
      <c r="AW320" s="8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8"/>
      <c r="BV320" s="8"/>
      <c r="BW320" s="8"/>
      <c r="BX320" s="8">
        <v>131433</v>
      </c>
      <c r="BY320" s="8">
        <v>131471</v>
      </c>
      <c r="BZ320" s="8"/>
      <c r="CA320" s="8"/>
      <c r="CB320" s="8"/>
      <c r="CC320" s="8"/>
      <c r="CD320" s="8"/>
      <c r="CE320" s="8"/>
      <c r="CF320" s="8"/>
      <c r="CG320" s="8"/>
      <c r="CH320" s="8">
        <v>131458</v>
      </c>
      <c r="CI320" s="51"/>
      <c r="CJ320" s="8"/>
      <c r="CK320" s="8"/>
      <c r="CL320" s="8"/>
      <c r="CM320" s="8"/>
      <c r="CN320" s="8"/>
      <c r="CO320" s="8"/>
    </row>
    <row r="321" spans="1:98" x14ac:dyDescent="0.25">
      <c r="A321" s="13">
        <v>131429</v>
      </c>
      <c r="B321" s="9">
        <v>14</v>
      </c>
      <c r="C321" s="9"/>
      <c r="D321" s="9" t="s">
        <v>121</v>
      </c>
      <c r="E321" s="9"/>
      <c r="F321" s="9"/>
      <c r="G321" s="33" t="str">
        <f>_xlfn.XLOOKUP(A321, 'Just Methods'!M:M, 'Just Methods'!C:C, "")</f>
        <v/>
      </c>
      <c r="H321" s="47" t="s">
        <v>1203</v>
      </c>
      <c r="I321" s="9" t="s">
        <v>1202</v>
      </c>
      <c r="J321" s="9">
        <f>IF(ISNUMBER(SEARCH("Legacy",D321)),5,
IF(OR(ISNUMBER(SEARCH("MDS",D321)),ISNUMBER(SEARCH("EMAT",D321))),7,""))</f>
        <v>7</v>
      </c>
      <c r="K321" s="9"/>
      <c r="L321" s="9"/>
      <c r="M321" s="9"/>
      <c r="N321" s="9"/>
      <c r="O321" s="8"/>
      <c r="P321" s="9"/>
      <c r="Q321" s="9"/>
      <c r="R321" s="9"/>
      <c r="S321" s="8"/>
      <c r="T321" s="9"/>
      <c r="U321" s="9"/>
      <c r="V321" s="9"/>
      <c r="W321" s="9"/>
      <c r="X321" s="9"/>
      <c r="Y321" s="9"/>
      <c r="Z321" s="9"/>
      <c r="AA321" s="9"/>
      <c r="AB321" s="8"/>
      <c r="AC321" s="9"/>
      <c r="AD321" s="9"/>
      <c r="AE321" s="8"/>
      <c r="AF321" s="8"/>
      <c r="AG321" s="8"/>
      <c r="AH321" s="8"/>
      <c r="AI321" s="8"/>
      <c r="AJ321" s="8"/>
      <c r="AK321" s="8"/>
      <c r="AL321" s="8"/>
      <c r="AM321" s="8"/>
      <c r="AN321" s="9"/>
      <c r="AO321" s="9"/>
      <c r="AP321" s="8"/>
      <c r="AQ321" s="9"/>
      <c r="AR321" s="8"/>
      <c r="AS321" s="8"/>
      <c r="AT321" s="9"/>
      <c r="AU321" s="8"/>
      <c r="AV321" s="8"/>
      <c r="AW321" s="8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8"/>
      <c r="BV321" s="8"/>
      <c r="BW321" s="8"/>
      <c r="BX321" s="8">
        <v>131433</v>
      </c>
      <c r="BY321" s="8">
        <v>131471</v>
      </c>
      <c r="BZ321" s="8"/>
      <c r="CA321" s="8"/>
      <c r="CB321" s="8"/>
      <c r="CC321" s="8"/>
      <c r="CD321" s="8"/>
      <c r="CE321" s="8"/>
      <c r="CF321" s="8"/>
      <c r="CG321" s="8"/>
      <c r="CH321" s="8">
        <v>131458</v>
      </c>
      <c r="CI321" s="51"/>
      <c r="CJ321" s="8"/>
      <c r="CK321" s="8"/>
      <c r="CL321" s="8"/>
      <c r="CM321" s="8"/>
      <c r="CN321" s="8"/>
      <c r="CO321" s="8"/>
    </row>
    <row r="322" spans="1:98" x14ac:dyDescent="0.25">
      <c r="A322" s="13" t="s">
        <v>1204</v>
      </c>
      <c r="B322" s="9">
        <v>14</v>
      </c>
      <c r="C322" s="9"/>
      <c r="D322" s="9" t="s">
        <v>121</v>
      </c>
      <c r="E322" s="9"/>
      <c r="F322" s="9"/>
      <c r="G322" s="33" t="str">
        <f>_xlfn.XLOOKUP(A322, 'Just Methods'!M:M, 'Just Methods'!C:C, "")</f>
        <v/>
      </c>
      <c r="H322" s="47" t="s">
        <v>1205</v>
      </c>
      <c r="I322" s="9" t="s">
        <v>1202</v>
      </c>
      <c r="J322" s="9">
        <f>IF(ISNUMBER(SEARCH("Legacy",D322)),5,
IF(OR(ISNUMBER(SEARCH("MDS",D322)),ISNUMBER(SEARCH("EMAT",D322))),7,""))</f>
        <v>7</v>
      </c>
      <c r="K322" s="9"/>
      <c r="L322" s="9"/>
      <c r="M322" s="9"/>
      <c r="N322" s="9"/>
      <c r="O322" s="8"/>
      <c r="P322" s="9"/>
      <c r="Q322" s="9"/>
      <c r="R322" s="9"/>
      <c r="S322" s="8"/>
      <c r="T322" s="9"/>
      <c r="U322" s="9"/>
      <c r="V322" s="9"/>
      <c r="W322" s="9"/>
      <c r="X322" s="9"/>
      <c r="Y322" s="9"/>
      <c r="Z322" s="9"/>
      <c r="AA322" s="9"/>
      <c r="AB322" s="8"/>
      <c r="AC322" s="9"/>
      <c r="AD322" s="9"/>
      <c r="AE322" s="8"/>
      <c r="AF322" s="8"/>
      <c r="AG322" s="8"/>
      <c r="AH322" s="8"/>
      <c r="AI322" s="8"/>
      <c r="AJ322" s="8"/>
      <c r="AK322" s="8"/>
      <c r="AL322" s="8"/>
      <c r="AM322" s="8"/>
      <c r="AN322" s="9"/>
      <c r="AO322" s="9"/>
      <c r="AP322" s="8"/>
      <c r="AQ322" s="9"/>
      <c r="AR322" s="8"/>
      <c r="AS322" s="8"/>
      <c r="AT322" s="9"/>
      <c r="AU322" s="8"/>
      <c r="AV322" s="8"/>
      <c r="AW322" s="8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8"/>
      <c r="BV322" s="8"/>
      <c r="BW322" s="8"/>
      <c r="BX322" s="8">
        <v>131433</v>
      </c>
      <c r="BY322" s="8">
        <v>131471</v>
      </c>
      <c r="BZ322" s="8"/>
      <c r="CA322" s="8"/>
      <c r="CB322" s="8"/>
      <c r="CC322" s="8"/>
      <c r="CD322" s="8"/>
      <c r="CE322" s="8"/>
      <c r="CF322" s="8"/>
      <c r="CG322" s="8"/>
      <c r="CH322" s="8"/>
      <c r="CI322" s="51"/>
      <c r="CJ322" s="8"/>
      <c r="CK322" s="8"/>
      <c r="CL322" s="8"/>
      <c r="CM322" s="8"/>
      <c r="CN322" s="8"/>
      <c r="CO322" s="8"/>
    </row>
    <row r="323" spans="1:98" x14ac:dyDescent="0.25">
      <c r="A323" s="13" t="s">
        <v>1206</v>
      </c>
      <c r="B323" s="9">
        <v>14</v>
      </c>
      <c r="C323" s="9"/>
      <c r="D323" s="9" t="s">
        <v>121</v>
      </c>
      <c r="E323" s="9"/>
      <c r="F323" s="9"/>
      <c r="G323" s="33" t="str">
        <f>_xlfn.XLOOKUP(A323, 'Just Methods'!M:M, 'Just Methods'!C:C, "")</f>
        <v/>
      </c>
      <c r="H323" s="47" t="s">
        <v>1205</v>
      </c>
      <c r="I323" s="9" t="s">
        <v>1202</v>
      </c>
      <c r="J323" s="9">
        <f>IF(ISNUMBER(SEARCH("Legacy",D323)),5,
IF(OR(ISNUMBER(SEARCH("MDS",D323)),ISNUMBER(SEARCH("EMAT",D323))),7,""))</f>
        <v>7</v>
      </c>
      <c r="K323" s="9"/>
      <c r="L323" s="9"/>
      <c r="M323" s="9"/>
      <c r="N323" s="9"/>
      <c r="O323" s="8"/>
      <c r="P323" s="9"/>
      <c r="Q323" s="9"/>
      <c r="R323" s="9"/>
      <c r="S323" s="8"/>
      <c r="T323" s="9"/>
      <c r="U323" s="9"/>
      <c r="V323" s="9"/>
      <c r="W323" s="9"/>
      <c r="X323" s="9"/>
      <c r="Y323" s="9"/>
      <c r="Z323" s="9"/>
      <c r="AA323" s="9"/>
      <c r="AB323" s="8"/>
      <c r="AC323" s="9"/>
      <c r="AD323" s="9"/>
      <c r="AE323" s="8"/>
      <c r="AF323" s="8"/>
      <c r="AG323" s="8"/>
      <c r="AH323" s="8"/>
      <c r="AI323" s="8"/>
      <c r="AJ323" s="8"/>
      <c r="AK323" s="8"/>
      <c r="AL323" s="8"/>
      <c r="AM323" s="8"/>
      <c r="AN323" s="9"/>
      <c r="AO323" s="9"/>
      <c r="AP323" s="8"/>
      <c r="AQ323" s="9"/>
      <c r="AR323" s="8"/>
      <c r="AS323" s="8"/>
      <c r="AT323" s="9"/>
      <c r="AU323" s="8"/>
      <c r="AV323" s="8"/>
      <c r="AW323" s="8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8"/>
      <c r="BV323" s="8"/>
      <c r="BW323" s="8"/>
      <c r="BX323" s="8">
        <v>131433</v>
      </c>
      <c r="BY323" s="8">
        <v>131471</v>
      </c>
      <c r="BZ323" s="8"/>
      <c r="CA323" s="8"/>
      <c r="CB323" s="8"/>
      <c r="CC323" s="8"/>
      <c r="CD323" s="8"/>
      <c r="CE323" s="8"/>
      <c r="CF323" s="8"/>
      <c r="CG323" s="8"/>
      <c r="CH323" s="8"/>
      <c r="CI323" s="51"/>
      <c r="CJ323" s="8"/>
      <c r="CK323" s="8"/>
      <c r="CL323" s="8"/>
      <c r="CM323" s="8"/>
      <c r="CN323" s="8"/>
      <c r="CO323" s="8"/>
    </row>
    <row r="324" spans="1:98" x14ac:dyDescent="0.25">
      <c r="CF324" t="s">
        <v>1207</v>
      </c>
    </row>
    <row r="330" spans="1:98" x14ac:dyDescent="0.25">
      <c r="D330"/>
      <c r="H330"/>
    </row>
    <row r="331" spans="1:98" x14ac:dyDescent="0.25">
      <c r="D331"/>
      <c r="H331"/>
    </row>
    <row r="332" spans="1:98" s="8" customFormat="1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 s="25"/>
      <c r="CJ332"/>
      <c r="CK332"/>
      <c r="CL332"/>
      <c r="CM332"/>
      <c r="CN332"/>
      <c r="CO332"/>
      <c r="CT332" s="8" t="s">
        <v>1208</v>
      </c>
    </row>
    <row r="333" spans="1:98" x14ac:dyDescent="0.25">
      <c r="D333"/>
      <c r="H333"/>
    </row>
    <row r="334" spans="1:98" x14ac:dyDescent="0.25">
      <c r="A334" s="8"/>
      <c r="B334" s="8"/>
      <c r="C334" s="8"/>
      <c r="D334" s="8"/>
      <c r="E334" s="8"/>
      <c r="F334" s="8"/>
      <c r="G334" s="8"/>
      <c r="H334" s="8"/>
      <c r="I334" s="9"/>
      <c r="J334" s="9"/>
      <c r="K334" s="9" t="s">
        <v>114</v>
      </c>
      <c r="L334" s="9">
        <v>30</v>
      </c>
      <c r="M334" s="9">
        <v>22.5</v>
      </c>
      <c r="N334" s="9">
        <v>25</v>
      </c>
      <c r="O334" s="8"/>
      <c r="P334" s="9">
        <v>27</v>
      </c>
      <c r="Q334" s="9" t="s">
        <v>115</v>
      </c>
      <c r="R334" s="9">
        <v>27</v>
      </c>
      <c r="S334" s="8"/>
      <c r="T334" s="9">
        <v>22.75</v>
      </c>
      <c r="U334" s="9" t="s">
        <v>116</v>
      </c>
      <c r="V334" s="9">
        <v>15</v>
      </c>
      <c r="W334" s="8"/>
      <c r="X334" s="8"/>
      <c r="Y334" s="8"/>
      <c r="Z334" s="8"/>
      <c r="AA334" s="9">
        <v>65</v>
      </c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9">
        <v>750</v>
      </c>
      <c r="AO334" s="9">
        <v>100</v>
      </c>
      <c r="AP334" s="8"/>
      <c r="AQ334" s="9">
        <v>985</v>
      </c>
      <c r="AR334" s="8"/>
      <c r="AS334" s="8"/>
      <c r="AT334" s="8"/>
      <c r="AU334" s="8"/>
      <c r="AV334" s="8"/>
      <c r="AW334" s="8"/>
      <c r="AX334" s="8"/>
      <c r="AY334" s="9">
        <v>2000</v>
      </c>
      <c r="AZ334" s="8"/>
      <c r="BA334" s="9" t="s">
        <v>102</v>
      </c>
      <c r="BB334" s="9" t="s">
        <v>101</v>
      </c>
      <c r="BC334" s="9" t="s">
        <v>101</v>
      </c>
      <c r="BD334" s="9" t="s">
        <v>102</v>
      </c>
      <c r="BE334" s="9" t="s">
        <v>102</v>
      </c>
      <c r="BF334" s="9" t="s">
        <v>118</v>
      </c>
      <c r="BG334" s="9" t="s">
        <v>118</v>
      </c>
      <c r="BH334" s="9" t="s">
        <v>105</v>
      </c>
      <c r="BI334" s="9">
        <v>9</v>
      </c>
      <c r="BJ334" s="9">
        <v>3</v>
      </c>
      <c r="BK334" s="9">
        <v>3</v>
      </c>
      <c r="BL334" s="9">
        <v>32</v>
      </c>
      <c r="BM334" s="9">
        <v>6</v>
      </c>
      <c r="BN334" s="9">
        <v>12</v>
      </c>
      <c r="BO334" s="9">
        <v>9</v>
      </c>
      <c r="BP334" s="9">
        <v>9</v>
      </c>
      <c r="BQ334" s="9">
        <v>3</v>
      </c>
      <c r="BR334" s="9">
        <v>32</v>
      </c>
      <c r="BS334" s="9">
        <v>6</v>
      </c>
      <c r="BT334" s="9">
        <v>12</v>
      </c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51"/>
      <c r="CJ334" s="8"/>
      <c r="CK334" s="8"/>
      <c r="CL334" s="8"/>
      <c r="CM334" s="8"/>
      <c r="CN334" s="8"/>
      <c r="CO334" s="8"/>
    </row>
  </sheetData>
  <phoneticPr fontId="3" type="noConversion"/>
  <conditionalFormatting sqref="A375:A1048576 A1:A329">
    <cfRule type="duplicateValues" dxfId="3" priority="1"/>
  </conditionalFormatting>
  <pageMargins left="0.7" right="0.7" top="0.75" bottom="0.75" header="0.3" footer="0.3"/>
  <ignoredErrors>
    <ignoredError sqref="G284:G315 G282 G155:G268 G56 G2 G4 G1 G5:G8 G3 G57:G64 G149:G154 G269:G281 G50:G55 G65:G146 G9:G13 G19:G49 G14:G18 I31 I38 I40 I43 I46 I87 I300 I276 I268:I269 I260 I243 I232 I211 I214:I228 I194:I200 I188 I176 I170:I171 I129 I121 I23 I50:I56 I69:I70 I79 I85 I181 G147:G148 G316:G318 I72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43AF7-6183-40E3-8955-7D3DBE72EE64}">
  <dimension ref="A1:CT54"/>
  <sheetViews>
    <sheetView topLeftCell="A36" workbookViewId="0">
      <selection activeCell="A51" sqref="A51"/>
    </sheetView>
  </sheetViews>
  <sheetFormatPr defaultRowHeight="15" x14ac:dyDescent="0.25"/>
  <cols>
    <col min="3" max="3" width="32.140625" bestFit="1" customWidth="1"/>
    <col min="6" max="6" width="23.42578125" bestFit="1" customWidth="1"/>
    <col min="7" max="7" width="39.5703125" bestFit="1" customWidth="1"/>
    <col min="8" max="8" width="29.28515625" customWidth="1"/>
  </cols>
  <sheetData>
    <row r="1" spans="1:8" x14ac:dyDescent="0.25">
      <c r="A1" t="s">
        <v>1209</v>
      </c>
    </row>
    <row r="3" spans="1:8" x14ac:dyDescent="0.25">
      <c r="A3" s="22">
        <v>123232</v>
      </c>
      <c r="B3" s="9">
        <v>6</v>
      </c>
      <c r="C3" s="9" t="s">
        <v>1210</v>
      </c>
      <c r="D3" s="9" t="s">
        <v>94</v>
      </c>
      <c r="E3" s="9" t="s">
        <v>169</v>
      </c>
      <c r="F3" s="8" t="s">
        <v>1211</v>
      </c>
      <c r="G3" s="35" t="s">
        <v>1212</v>
      </c>
      <c r="H3" s="35"/>
    </row>
    <row r="4" spans="1:8" x14ac:dyDescent="0.25">
      <c r="A4" s="22">
        <v>105191</v>
      </c>
      <c r="B4" s="9">
        <v>6</v>
      </c>
      <c r="C4" s="9" t="s">
        <v>1213</v>
      </c>
      <c r="D4" s="9" t="s">
        <v>94</v>
      </c>
      <c r="E4" s="9" t="s">
        <v>169</v>
      </c>
      <c r="F4" s="8" t="s">
        <v>1214</v>
      </c>
      <c r="G4" s="35" t="s">
        <v>1212</v>
      </c>
      <c r="H4" s="35"/>
    </row>
    <row r="5" spans="1:8" x14ac:dyDescent="0.25">
      <c r="A5" s="22">
        <v>124815</v>
      </c>
      <c r="B5" s="9">
        <v>6</v>
      </c>
      <c r="C5" s="9" t="s">
        <v>1215</v>
      </c>
      <c r="D5" s="9" t="s">
        <v>94</v>
      </c>
      <c r="E5" s="9" t="s">
        <v>194</v>
      </c>
      <c r="F5" s="8" t="s">
        <v>1211</v>
      </c>
      <c r="G5" s="35" t="s">
        <v>1212</v>
      </c>
      <c r="H5" s="35"/>
    </row>
    <row r="6" spans="1:8" x14ac:dyDescent="0.25">
      <c r="A6" s="22">
        <v>124816</v>
      </c>
      <c r="B6" s="9">
        <v>6</v>
      </c>
      <c r="C6" s="9" t="s">
        <v>1216</v>
      </c>
      <c r="D6" s="9" t="s">
        <v>94</v>
      </c>
      <c r="E6" s="9" t="s">
        <v>199</v>
      </c>
      <c r="F6" s="8" t="s">
        <v>1211</v>
      </c>
      <c r="G6" s="35" t="s">
        <v>1212</v>
      </c>
      <c r="H6" s="35"/>
    </row>
    <row r="7" spans="1:8" x14ac:dyDescent="0.25">
      <c r="A7" s="22" t="s">
        <v>1208</v>
      </c>
      <c r="B7" s="9">
        <v>30</v>
      </c>
      <c r="C7" s="9" t="s">
        <v>1217</v>
      </c>
      <c r="D7" s="9" t="s">
        <v>94</v>
      </c>
      <c r="E7" s="9" t="s">
        <v>194</v>
      </c>
      <c r="F7" s="8" t="s">
        <v>1214</v>
      </c>
      <c r="G7" s="35" t="s">
        <v>1212</v>
      </c>
      <c r="H7" s="35" t="s">
        <v>1212</v>
      </c>
    </row>
    <row r="8" spans="1:8" x14ac:dyDescent="0.25">
      <c r="D8" s="52"/>
      <c r="H8" s="38"/>
    </row>
    <row r="9" spans="1:8" x14ac:dyDescent="0.25">
      <c r="D9" s="52"/>
      <c r="H9" s="38"/>
    </row>
    <row r="10" spans="1:8" x14ac:dyDescent="0.25">
      <c r="A10" t="s">
        <v>1218</v>
      </c>
      <c r="D10" s="52"/>
      <c r="H10" s="38"/>
    </row>
    <row r="11" spans="1:8" x14ac:dyDescent="0.25">
      <c r="A11">
        <v>113411</v>
      </c>
      <c r="B11">
        <v>6</v>
      </c>
      <c r="D11" s="9" t="s">
        <v>94</v>
      </c>
      <c r="G11" s="45" t="str">
        <f>_xlfn.XLOOKUP(A11,'Just Methods'!T:T,'Just Methods'!S:S)</f>
        <v xml:space="preserve"> 6" MFL2 </v>
      </c>
      <c r="H11" s="45" t="str">
        <f>_xlfn.XLOOKUP(A11,'Just Methods'!T:T,'Just Methods'!C:C)</f>
        <v>MFL.06</v>
      </c>
    </row>
    <row r="12" spans="1:8" x14ac:dyDescent="0.25">
      <c r="A12">
        <v>116459</v>
      </c>
      <c r="B12">
        <v>6</v>
      </c>
      <c r="D12" s="9" t="s">
        <v>94</v>
      </c>
      <c r="G12" s="45" t="str">
        <f>_xlfn.XLOOKUP(A12,'Just Methods'!T:T,'Just Methods'!S:S)</f>
        <v xml:space="preserve"> 6" MFL3 ATEX </v>
      </c>
      <c r="H12" s="45" t="str">
        <f>_xlfn.XLOOKUP(A12,'Just Methods'!T:T,'Just Methods'!C:C)</f>
        <v>MFL.06</v>
      </c>
    </row>
    <row r="13" spans="1:8" x14ac:dyDescent="0.25">
      <c r="A13">
        <v>116738</v>
      </c>
      <c r="B13">
        <v>6</v>
      </c>
      <c r="D13" s="9" t="s">
        <v>94</v>
      </c>
      <c r="G13" s="45" t="str">
        <f>_xlfn.XLOOKUP(A13,'Just Methods'!T:T,'Just Methods'!S:S)</f>
        <v xml:space="preserve"> 6" DEF ATEX </v>
      </c>
      <c r="H13" s="45" t="str">
        <f>_xlfn.XLOOKUP(A13,'Just Methods'!T:T,'Just Methods'!C:C)</f>
        <v>DEF.06</v>
      </c>
    </row>
    <row r="14" spans="1:8" x14ac:dyDescent="0.25">
      <c r="A14">
        <v>129654</v>
      </c>
      <c r="B14">
        <v>6</v>
      </c>
      <c r="D14" s="9" t="s">
        <v>94</v>
      </c>
      <c r="G14" s="45" t="str">
        <f>_xlfn.XLOOKUP(A14,'Just Methods'!T:T,'Just Methods'!S:S)</f>
        <v xml:space="preserve"> 6" MFL+XYZ </v>
      </c>
      <c r="H14" s="45" t="str">
        <f>_xlfn.XLOOKUP(A14,'Just Methods'!T:T,'Just Methods'!C:C)</f>
        <v>MFL.XYZ.06</v>
      </c>
    </row>
    <row r="15" spans="1:8" x14ac:dyDescent="0.25">
      <c r="A15">
        <v>129658</v>
      </c>
      <c r="B15">
        <v>6</v>
      </c>
      <c r="D15" s="9" t="s">
        <v>94</v>
      </c>
      <c r="G15" s="45" t="str">
        <f>_xlfn.XLOOKUP(A15,'Just Methods'!T:T,'Just Methods'!S:S)</f>
        <v xml:space="preserve"> 6" MFL (xHD) </v>
      </c>
      <c r="H15" s="45" t="str">
        <f>_xlfn.XLOOKUP(A15,'Just Methods'!T:T,'Just Methods'!C:C)</f>
        <v>MFL.06</v>
      </c>
    </row>
    <row r="16" spans="1:8" x14ac:dyDescent="0.25">
      <c r="A16">
        <v>108323</v>
      </c>
      <c r="B16">
        <v>8</v>
      </c>
      <c r="D16" s="9" t="s">
        <v>94</v>
      </c>
      <c r="G16" s="45" t="str">
        <f>_xlfn.XLOOKUP(A16,'Just Methods'!T:T,'Just Methods'!S:S)</f>
        <v xml:space="preserve"> 8" DEF3 (Short) </v>
      </c>
      <c r="H16" s="45" t="str">
        <f>_xlfn.XLOOKUP(A16,'Just Methods'!T:T,'Just Methods'!C:C)</f>
        <v>DEF.08</v>
      </c>
    </row>
    <row r="17" spans="1:8" x14ac:dyDescent="0.25">
      <c r="A17">
        <v>108472</v>
      </c>
      <c r="B17">
        <v>8</v>
      </c>
      <c r="D17" s="9" t="s">
        <v>94</v>
      </c>
      <c r="G17" s="45" t="str">
        <f>_xlfn.XLOOKUP(A17,'Just Methods'!T:T,'Just Methods'!S:S)</f>
        <v xml:space="preserve"> 8" GMFL (Short)- EH </v>
      </c>
      <c r="H17" s="45" t="str">
        <f>_xlfn.XLOOKUP(A17,'Just Methods'!T:T,'Just Methods'!C:C)</f>
        <v>GMFL.08</v>
      </c>
    </row>
    <row r="18" spans="1:8" x14ac:dyDescent="0.25">
      <c r="A18">
        <v>110300</v>
      </c>
      <c r="B18">
        <v>8</v>
      </c>
      <c r="D18" s="9" t="s">
        <v>94</v>
      </c>
      <c r="G18" s="45" t="str">
        <f>_xlfn.XLOOKUP(A18,'Just Methods'!T:T,'Just Methods'!S:S)</f>
        <v xml:space="preserve"> 8" MFL BI-DI xHD </v>
      </c>
      <c r="H18" s="45" t="str">
        <f>_xlfn.XLOOKUP(A18,'Just Methods'!T:T,'Just Methods'!C:C)</f>
        <v>MFL.08</v>
      </c>
    </row>
    <row r="19" spans="1:8" x14ac:dyDescent="0.25">
      <c r="A19">
        <v>124907</v>
      </c>
      <c r="B19">
        <v>8</v>
      </c>
      <c r="D19" s="52" t="s">
        <v>121</v>
      </c>
      <c r="G19" s="45" t="str">
        <f>_xlfn.XLOOKUP(A19,'Just Methods'!T:T,'Just Methods'!S:S)</f>
        <v xml:space="preserve"> 8" Dual Drive SpirALL MFL+DEF+MFL4+RES </v>
      </c>
      <c r="H19" s="45" t="str">
        <f>_xlfn.XLOOKUP(A19,'Just Methods'!T:T,'Just Methods'!C:C)</f>
        <v>DEF.MFL.RES.SMFL.08</v>
      </c>
    </row>
    <row r="20" spans="1:8" x14ac:dyDescent="0.25">
      <c r="A20">
        <v>108571</v>
      </c>
      <c r="B20">
        <v>10</v>
      </c>
      <c r="D20" s="52" t="s">
        <v>94</v>
      </c>
      <c r="G20" s="45" t="str">
        <f>_xlfn.XLOOKUP(A20,'Just Methods'!T:T,'Just Methods'!S:S)</f>
        <v xml:space="preserve"> 10" DEF (8" Batt) xHD </v>
      </c>
      <c r="H20" s="45" t="str">
        <f>_xlfn.XLOOKUP(A20,'Just Methods'!T:T,'Just Methods'!C:C)</f>
        <v>DEF.10</v>
      </c>
    </row>
    <row r="21" spans="1:8" x14ac:dyDescent="0.25">
      <c r="A21">
        <v>115008</v>
      </c>
      <c r="B21">
        <v>10</v>
      </c>
      <c r="D21" s="52" t="s">
        <v>94</v>
      </c>
      <c r="G21" s="45" t="str">
        <f>_xlfn.XLOOKUP(A21,'Just Methods'!T:T,'Just Methods'!S:S)</f>
        <v xml:space="preserve"> 10" DEF+XYZ ATEX </v>
      </c>
      <c r="H21" s="45" t="str">
        <f>_xlfn.XLOOKUP(A21,'Just Methods'!T:T,'Just Methods'!C:C)</f>
        <v>DEF.XYZ.10</v>
      </c>
    </row>
    <row r="22" spans="1:8" x14ac:dyDescent="0.25">
      <c r="A22">
        <v>117308</v>
      </c>
      <c r="B22">
        <v>10</v>
      </c>
      <c r="D22" s="52" t="s">
        <v>94</v>
      </c>
      <c r="G22" s="45" t="str">
        <f>_xlfn.XLOOKUP(A22,'Just Methods'!T:T,'Just Methods'!S:S)</f>
        <v xml:space="preserve"> 10" MFL+IDOD+DEF (NH3) </v>
      </c>
      <c r="H22" s="45" t="str">
        <f>_xlfn.XLOOKUP(A22,'Just Methods'!T:T,'Just Methods'!C:C)</f>
        <v>DEF.MFL.10</v>
      </c>
    </row>
    <row r="23" spans="1:8" x14ac:dyDescent="0.25">
      <c r="A23">
        <v>119024</v>
      </c>
      <c r="B23">
        <v>10</v>
      </c>
      <c r="D23" s="52" t="s">
        <v>94</v>
      </c>
      <c r="G23" s="45" t="str">
        <f>_xlfn.XLOOKUP(A23,'Just Methods'!T:T,'Just Methods'!S:S)</f>
        <v xml:space="preserve"> 10" MFL+DEF+XYZ (Dual Drive) </v>
      </c>
      <c r="H23" s="45" t="str">
        <f>_xlfn.XLOOKUP(A23,'Just Methods'!T:T,'Just Methods'!C:C)</f>
        <v>DEF.MFL.XYZ.10</v>
      </c>
    </row>
    <row r="24" spans="1:8" x14ac:dyDescent="0.25">
      <c r="A24">
        <v>103541</v>
      </c>
      <c r="B24">
        <v>12</v>
      </c>
      <c r="D24" s="52" t="s">
        <v>94</v>
      </c>
      <c r="G24" s="45" t="str">
        <f>_xlfn.XLOOKUP(A24,'Just Methods'!T:T,'Just Methods'!S:S)</f>
        <v xml:space="preserve"> 12" GMFL+DEF+XYZ (xHD) </v>
      </c>
      <c r="H24" s="45" t="str">
        <f>_xlfn.XLOOKUP(A24,'Just Methods'!T:T,'Just Methods'!C:C)</f>
        <v>DEF.GMFL.XYZ.12</v>
      </c>
    </row>
    <row r="25" spans="1:8" x14ac:dyDescent="0.25">
      <c r="A25">
        <v>115300</v>
      </c>
      <c r="B25">
        <v>12</v>
      </c>
      <c r="D25" s="52" t="s">
        <v>94</v>
      </c>
      <c r="G25" s="45" t="str">
        <f>_xlfn.XLOOKUP(A25,'Just Methods'!T:T,'Just Methods'!S:S)</f>
        <v xml:space="preserve"> 12" MFL2 (Heavy Wall) </v>
      </c>
      <c r="H25" s="45" t="str">
        <f>_xlfn.XLOOKUP(A25,'Just Methods'!T:T,'Just Methods'!C:C)</f>
        <v>MFL.12</v>
      </c>
    </row>
    <row r="26" spans="1:8" x14ac:dyDescent="0.25">
      <c r="A26">
        <v>116645</v>
      </c>
      <c r="B26">
        <v>14</v>
      </c>
      <c r="D26" s="52" t="s">
        <v>94</v>
      </c>
      <c r="G26" s="45" t="str">
        <f>_xlfn.XLOOKUP(A26,'Just Methods'!T:T,'Just Methods'!S:S)</f>
        <v xml:space="preserve"> 14" MFL2 (Heavy Wall) </v>
      </c>
      <c r="H26" s="45" t="str">
        <f>_xlfn.XLOOKUP(A26,'Just Methods'!T:T,'Just Methods'!C:C)</f>
        <v>MFL.14</v>
      </c>
    </row>
    <row r="27" spans="1:8" x14ac:dyDescent="0.25">
      <c r="A27">
        <v>101002</v>
      </c>
      <c r="B27">
        <v>16</v>
      </c>
      <c r="D27" s="52" t="s">
        <v>94</v>
      </c>
      <c r="G27" s="45" t="str">
        <f>_xlfn.XLOOKUP(A27,'Just Methods'!T:T,'Just Methods'!S:S)</f>
        <v xml:space="preserve"> 16" K360 </v>
      </c>
      <c r="H27" s="45" t="str">
        <f>_xlfn.XLOOKUP(A27,'Just Methods'!T:T,'Just Methods'!C:C)</f>
        <v>K360.16</v>
      </c>
    </row>
    <row r="28" spans="1:8" x14ac:dyDescent="0.25">
      <c r="A28">
        <v>103123</v>
      </c>
      <c r="B28">
        <v>18</v>
      </c>
      <c r="D28" s="52" t="s">
        <v>94</v>
      </c>
      <c r="G28" s="45" t="str">
        <f>_xlfn.XLOOKUP(A28,'Just Methods'!T:T,'Just Methods'!S:S)</f>
        <v xml:space="preserve"> 18" K360 (16-18) </v>
      </c>
      <c r="H28" s="45" t="str">
        <f>_xlfn.XLOOKUP(A28,'Just Methods'!T:T,'Just Methods'!C:C)</f>
        <v>K360.18</v>
      </c>
    </row>
    <row r="29" spans="1:8" x14ac:dyDescent="0.25">
      <c r="A29">
        <v>105258</v>
      </c>
      <c r="B29">
        <v>20</v>
      </c>
      <c r="D29" s="52" t="s">
        <v>94</v>
      </c>
      <c r="G29" s="45" t="str">
        <f>_xlfn.XLOOKUP(A29,'Just Methods'!T:T,'Just Methods'!S:S)</f>
        <v xml:space="preserve"> 20" K360 </v>
      </c>
      <c r="H29" s="45" t="str">
        <f>_xlfn.XLOOKUP(A29,'Just Methods'!T:T,'Just Methods'!C:C)</f>
        <v>K360.20</v>
      </c>
    </row>
    <row r="30" spans="1:8" x14ac:dyDescent="0.25">
      <c r="A30">
        <v>102958</v>
      </c>
      <c r="B30">
        <v>24</v>
      </c>
      <c r="D30" s="52" t="s">
        <v>94</v>
      </c>
      <c r="G30" s="45" t="str">
        <f>_xlfn.XLOOKUP(A30,'Just Methods'!T:T,'Just Methods'!S:S)</f>
        <v xml:space="preserve"> 24" GMFL2 (22-24) +DEF (20-24) </v>
      </c>
      <c r="H30" s="45" t="str">
        <f>_xlfn.XLOOKUP(A30,'Just Methods'!T:T,'Just Methods'!C:C)</f>
        <v>DEF.GMFL.24</v>
      </c>
    </row>
    <row r="31" spans="1:8" x14ac:dyDescent="0.25">
      <c r="A31">
        <v>104139</v>
      </c>
      <c r="B31">
        <v>24</v>
      </c>
      <c r="D31" s="52" t="s">
        <v>94</v>
      </c>
      <c r="G31" s="45" t="str">
        <f>_xlfn.XLOOKUP(A31,'Just Methods'!T:T,'Just Methods'!S:S)</f>
        <v xml:space="preserve"> 24" K360 </v>
      </c>
      <c r="H31" s="45" t="str">
        <f>_xlfn.XLOOKUP(A31,'Just Methods'!T:T,'Just Methods'!C:C)</f>
        <v>K360.24</v>
      </c>
    </row>
    <row r="32" spans="1:8" x14ac:dyDescent="0.25">
      <c r="A32">
        <v>111895</v>
      </c>
      <c r="B32">
        <v>26</v>
      </c>
      <c r="D32" s="52" t="s">
        <v>94</v>
      </c>
      <c r="G32" s="45" t="str">
        <f>_xlfn.XLOOKUP(A32,'Just Methods'!T:T,'Just Methods'!S:S)</f>
        <v xml:space="preserve"> 24" GMFL2+XYZ (ATEX) </v>
      </c>
      <c r="H32" s="45" t="str">
        <f>_xlfn.XLOOKUP(A32,'Just Methods'!T:T,'Just Methods'!C:C)</f>
        <v>GMFL.XYZ.24</v>
      </c>
    </row>
    <row r="33" spans="1:8" x14ac:dyDescent="0.25">
      <c r="A33">
        <v>102861</v>
      </c>
      <c r="B33">
        <v>26</v>
      </c>
      <c r="D33" s="52" t="s">
        <v>94</v>
      </c>
      <c r="G33" s="45" t="str">
        <f>_xlfn.XLOOKUP(A33,'Just Methods'!T:T,'Just Methods'!S:S)</f>
        <v xml:space="preserve"> 26" K360 </v>
      </c>
      <c r="H33" s="45" t="str">
        <f>_xlfn.XLOOKUP(A33,'Just Methods'!T:T,'Just Methods'!C:C)</f>
        <v>K360.26</v>
      </c>
    </row>
    <row r="34" spans="1:8" x14ac:dyDescent="0.25">
      <c r="A34">
        <v>114486</v>
      </c>
      <c r="B34">
        <v>26</v>
      </c>
      <c r="D34" s="52" t="s">
        <v>94</v>
      </c>
      <c r="G34" s="45" t="str">
        <f>_xlfn.XLOOKUP(A34,'Just Methods'!T:T,'Just Methods'!S:S)</f>
        <v xml:space="preserve"> 26" GMFL ATEX </v>
      </c>
      <c r="H34" s="45" t="str">
        <f>_xlfn.XLOOKUP(A34,'Just Methods'!T:T,'Just Methods'!C:C)</f>
        <v>GMFL.26</v>
      </c>
    </row>
    <row r="35" spans="1:8" x14ac:dyDescent="0.25">
      <c r="A35">
        <v>122710</v>
      </c>
      <c r="B35">
        <v>26</v>
      </c>
      <c r="D35" s="52" t="s">
        <v>121</v>
      </c>
      <c r="G35" s="45" t="str">
        <f>_xlfn.XLOOKUP(A35,'Just Methods'!T:T,'Just Methods'!S:S)</f>
        <v xml:space="preserve"> 26" MFL+DEF2+SMFL+XYZ+LFM ATEX </v>
      </c>
      <c r="H35" s="45" t="str">
        <f>_xlfn.XLOOKUP(A35,'Just Methods'!T:T,'Just Methods'!C:C)</f>
        <v>DEF.LFM.MFL.SMFL.XYZ.26</v>
      </c>
    </row>
    <row r="36" spans="1:8" x14ac:dyDescent="0.25">
      <c r="A36">
        <v>122711</v>
      </c>
      <c r="B36">
        <v>26</v>
      </c>
      <c r="D36" s="52" t="s">
        <v>121</v>
      </c>
      <c r="G36" s="45" t="str">
        <f>_xlfn.XLOOKUP(A36,'Just Methods'!T:T,'Just Methods'!S:S)</f>
        <v xml:space="preserve"> 26" MFL+DEF2+SMFL+LFM ATEX </v>
      </c>
      <c r="H36" s="45" t="str">
        <f>_xlfn.XLOOKUP(A36,'Just Methods'!T:T,'Just Methods'!C:C)</f>
        <v>DEF.LFM.MFL.SMFL.26</v>
      </c>
    </row>
    <row r="37" spans="1:8" x14ac:dyDescent="0.25">
      <c r="A37">
        <v>122712</v>
      </c>
      <c r="B37">
        <v>26</v>
      </c>
      <c r="D37" s="52" t="s">
        <v>121</v>
      </c>
      <c r="G37" s="45" t="str">
        <f>_xlfn.XLOOKUP(A37,'Just Methods'!T:T,'Just Methods'!S:S)</f>
        <v xml:space="preserve"> 26" MDS FLEX MFL+DEF2+XYZ+LFM ATEX </v>
      </c>
      <c r="H37" s="45" t="str">
        <f>_xlfn.XLOOKUP(A37,'Just Methods'!T:T,'Just Methods'!C:C)</f>
        <v>DEF.LFM.MFL.XYZ.26</v>
      </c>
    </row>
    <row r="38" spans="1:8" x14ac:dyDescent="0.25">
      <c r="A38">
        <v>122713</v>
      </c>
      <c r="B38">
        <v>26</v>
      </c>
      <c r="D38" s="52" t="s">
        <v>121</v>
      </c>
      <c r="G38" s="45" t="str">
        <f>_xlfn.XLOOKUP(A38,'Just Methods'!T:T,'Just Methods'!S:S)</f>
        <v xml:space="preserve"> 26" MDS FLEX MFL+DEF2+LFM ATEX </v>
      </c>
      <c r="H38" s="45" t="str">
        <f>_xlfn.XLOOKUP(A38,'Just Methods'!T:T,'Just Methods'!C:C)</f>
        <v>DEF.LFM.MFL.26</v>
      </c>
    </row>
    <row r="39" spans="1:8" x14ac:dyDescent="0.25">
      <c r="A39">
        <v>104140</v>
      </c>
      <c r="B39">
        <v>28</v>
      </c>
      <c r="D39" s="52" t="s">
        <v>94</v>
      </c>
      <c r="G39" s="45" t="str">
        <f>_xlfn.XLOOKUP(A39,'Just Methods'!T:T,'Just Methods'!S:S)</f>
        <v xml:space="preserve"> 28" K360 </v>
      </c>
      <c r="H39" s="45" t="str">
        <f>_xlfn.XLOOKUP(A39,'Just Methods'!T:T,'Just Methods'!C:C)</f>
        <v>K360.28</v>
      </c>
    </row>
    <row r="40" spans="1:8" x14ac:dyDescent="0.25">
      <c r="A40">
        <v>104141</v>
      </c>
      <c r="B40">
        <v>30</v>
      </c>
      <c r="D40" s="52" t="s">
        <v>94</v>
      </c>
      <c r="G40" s="45" t="str">
        <f>_xlfn.XLOOKUP(A40,'Just Methods'!T:T,'Just Methods'!S:S)</f>
        <v xml:space="preserve"> 30" K360 </v>
      </c>
      <c r="H40" s="45" t="str">
        <f>_xlfn.XLOOKUP(A40,'Just Methods'!T:T,'Just Methods'!C:C)</f>
        <v>K360.30</v>
      </c>
    </row>
    <row r="41" spans="1:8" x14ac:dyDescent="0.25">
      <c r="A41">
        <v>102446</v>
      </c>
      <c r="B41">
        <v>32</v>
      </c>
      <c r="D41" s="52" t="s">
        <v>94</v>
      </c>
      <c r="G41" s="45" t="str">
        <f>_xlfn.XLOOKUP(A41,'Just Methods'!T:T,'Just Methods'!S:S)</f>
        <v xml:space="preserve"> 32" K360 </v>
      </c>
      <c r="H41" s="45" t="str">
        <f>_xlfn.XLOOKUP(A41,'Just Methods'!T:T,'Just Methods'!C:C)</f>
        <v>K360.32</v>
      </c>
    </row>
    <row r="42" spans="1:8" x14ac:dyDescent="0.25">
      <c r="A42">
        <v>104143</v>
      </c>
      <c r="B42">
        <v>36</v>
      </c>
      <c r="D42" s="52" t="s">
        <v>94</v>
      </c>
      <c r="G42" s="45" t="str">
        <f>_xlfn.XLOOKUP(A42,'Just Methods'!T:T,'Just Methods'!S:S)</f>
        <v xml:space="preserve"> 36" K360 (32-38) </v>
      </c>
      <c r="H42" s="45" t="str">
        <f>_xlfn.XLOOKUP(A42,'Just Methods'!T:T,'Just Methods'!C:C)</f>
        <v>K360.36</v>
      </c>
    </row>
    <row r="43" spans="1:8" x14ac:dyDescent="0.25">
      <c r="A43">
        <v>101600</v>
      </c>
      <c r="B43">
        <v>42</v>
      </c>
      <c r="D43" s="52" t="s">
        <v>94</v>
      </c>
      <c r="G43" s="45" t="str">
        <f>_xlfn.XLOOKUP(A43,'Just Methods'!T:T,'Just Methods'!S:S)</f>
        <v xml:space="preserve"> 42" K360 (40-48) </v>
      </c>
      <c r="H43" s="45" t="str">
        <f>_xlfn.XLOOKUP(A43,'Just Methods'!T:T,'Just Methods'!C:C)</f>
        <v>K360.42</v>
      </c>
    </row>
    <row r="44" spans="1:8" x14ac:dyDescent="0.25">
      <c r="A44">
        <v>101852</v>
      </c>
      <c r="B44">
        <v>48</v>
      </c>
      <c r="D44" s="52" t="s">
        <v>94</v>
      </c>
      <c r="G44" s="45" t="str">
        <f>_xlfn.XLOOKUP(A44,'Just Methods'!T:T,'Just Methods'!S:S)</f>
        <v xml:space="preserve"> 48" K360 (40-48) </v>
      </c>
      <c r="H44" s="45" t="str">
        <f>_xlfn.XLOOKUP(A44,'Just Methods'!T:T,'Just Methods'!C:C)</f>
        <v>K360.48</v>
      </c>
    </row>
    <row r="45" spans="1:8" x14ac:dyDescent="0.25">
      <c r="A45">
        <v>103550</v>
      </c>
      <c r="B45">
        <v>48</v>
      </c>
      <c r="D45" s="52" t="s">
        <v>94</v>
      </c>
      <c r="G45" s="45" t="str">
        <f>_xlfn.XLOOKUP(A45,'Just Methods'!T:T,'Just Methods'!S:S)</f>
        <v xml:space="preserve"> 48" GMFL </v>
      </c>
      <c r="H45" s="45" t="str">
        <f>_xlfn.XLOOKUP(A45,'Just Methods'!T:T,'Just Methods'!C:C)</f>
        <v>GMFL.48</v>
      </c>
    </row>
    <row r="46" spans="1:8" x14ac:dyDescent="0.25">
      <c r="A46">
        <v>123249</v>
      </c>
      <c r="B46">
        <v>48</v>
      </c>
      <c r="D46" s="52" t="s">
        <v>94</v>
      </c>
      <c r="G46" s="45" t="str">
        <f>_xlfn.XLOOKUP(A46,'Just Methods'!T:T,'Just Methods'!S:S)</f>
        <v xml:space="preserve"> 48" GMFL DEF XYZ </v>
      </c>
      <c r="H46" s="45" t="str">
        <f>_xlfn.XLOOKUP(A46,'Just Methods'!T:T,'Just Methods'!C:C)</f>
        <v>DEF.GMFL.XYZ.48</v>
      </c>
    </row>
    <row r="47" spans="1:8" x14ac:dyDescent="0.25">
      <c r="A47">
        <v>123170</v>
      </c>
      <c r="B47">
        <v>48</v>
      </c>
      <c r="D47" s="52" t="s">
        <v>94</v>
      </c>
      <c r="G47" s="45" t="str">
        <f>_xlfn.XLOOKUP(A47,'Just Methods'!T:T,'Just Methods'!S:S)</f>
        <v xml:space="preserve"> 48" GMFL+DEF </v>
      </c>
      <c r="H47" s="45" t="str">
        <f>_xlfn.XLOOKUP(A47,'Just Methods'!T:T,'Just Methods'!C:C)</f>
        <v>DEF.GMFL.48</v>
      </c>
    </row>
    <row r="50" spans="1:98" x14ac:dyDescent="0.25">
      <c r="A50">
        <v>131428</v>
      </c>
      <c r="B50">
        <v>14</v>
      </c>
      <c r="C50" t="s">
        <v>1219</v>
      </c>
      <c r="D50" t="s">
        <v>121</v>
      </c>
      <c r="E50" t="s">
        <v>286</v>
      </c>
      <c r="G50" t="s">
        <v>1212</v>
      </c>
      <c r="I50">
        <v>0</v>
      </c>
      <c r="J50">
        <v>7</v>
      </c>
      <c r="K50" t="s">
        <v>114</v>
      </c>
      <c r="L50">
        <v>14</v>
      </c>
      <c r="M50">
        <v>11</v>
      </c>
      <c r="N50">
        <v>13.73</v>
      </c>
      <c r="P50">
        <v>11.25</v>
      </c>
      <c r="Q50" t="s">
        <v>115</v>
      </c>
      <c r="R50">
        <v>11.62</v>
      </c>
      <c r="U50" t="s">
        <v>99</v>
      </c>
      <c r="V50">
        <v>10</v>
      </c>
      <c r="W50">
        <v>10</v>
      </c>
      <c r="X50">
        <v>0.6</v>
      </c>
      <c r="Y50">
        <v>1</v>
      </c>
      <c r="Z50">
        <v>0.67</v>
      </c>
      <c r="AA50">
        <v>48</v>
      </c>
      <c r="AD50">
        <v>48</v>
      </c>
      <c r="AF50">
        <v>144</v>
      </c>
      <c r="AH50">
        <v>288</v>
      </c>
      <c r="AN50">
        <v>750</v>
      </c>
      <c r="AO50">
        <v>100</v>
      </c>
      <c r="AQ50">
        <v>563</v>
      </c>
      <c r="AT50">
        <v>21</v>
      </c>
      <c r="AV50">
        <v>25.52</v>
      </c>
      <c r="AW50">
        <v>2.13</v>
      </c>
      <c r="AX50">
        <v>375</v>
      </c>
      <c r="AY50">
        <v>2000</v>
      </c>
      <c r="AZ50" t="s">
        <v>1220</v>
      </c>
      <c r="BA50" t="s">
        <v>102</v>
      </c>
      <c r="BB50" t="s">
        <v>102</v>
      </c>
      <c r="BC50" t="s">
        <v>101</v>
      </c>
      <c r="BD50" t="s">
        <v>102</v>
      </c>
      <c r="BE50" t="s">
        <v>101</v>
      </c>
      <c r="BF50" t="s">
        <v>118</v>
      </c>
      <c r="BG50" t="s">
        <v>729</v>
      </c>
      <c r="BH50" t="s">
        <v>105</v>
      </c>
      <c r="BI50">
        <v>9</v>
      </c>
      <c r="BJ50">
        <v>2</v>
      </c>
      <c r="BK50">
        <v>2</v>
      </c>
      <c r="BL50">
        <v>16</v>
      </c>
      <c r="BM50">
        <v>4</v>
      </c>
      <c r="BN50">
        <v>12</v>
      </c>
      <c r="BO50">
        <v>9</v>
      </c>
      <c r="BP50">
        <v>9</v>
      </c>
      <c r="BQ50">
        <v>2</v>
      </c>
      <c r="BR50">
        <v>16</v>
      </c>
      <c r="BS50">
        <v>4</v>
      </c>
      <c r="BT50">
        <v>12</v>
      </c>
      <c r="CJ50" t="b">
        <v>0</v>
      </c>
      <c r="CT50">
        <v>131428</v>
      </c>
    </row>
    <row r="51" spans="1:98" x14ac:dyDescent="0.25">
      <c r="A51">
        <v>131429</v>
      </c>
      <c r="B51">
        <v>14</v>
      </c>
      <c r="C51" t="s">
        <v>1221</v>
      </c>
      <c r="D51" t="s">
        <v>121</v>
      </c>
      <c r="E51" t="s">
        <v>390</v>
      </c>
      <c r="G51" t="s">
        <v>1212</v>
      </c>
      <c r="I51">
        <v>0</v>
      </c>
      <c r="J51">
        <v>7</v>
      </c>
      <c r="K51" t="s">
        <v>114</v>
      </c>
      <c r="L51">
        <v>14</v>
      </c>
      <c r="M51">
        <v>11</v>
      </c>
      <c r="N51">
        <v>13.73</v>
      </c>
      <c r="P51">
        <v>11.25</v>
      </c>
      <c r="Q51" t="s">
        <v>115</v>
      </c>
      <c r="R51">
        <v>11.62</v>
      </c>
      <c r="U51" t="s">
        <v>99</v>
      </c>
      <c r="V51">
        <v>10</v>
      </c>
      <c r="W51">
        <v>10</v>
      </c>
      <c r="X51">
        <v>0.6</v>
      </c>
      <c r="Y51">
        <v>1</v>
      </c>
      <c r="Z51">
        <v>0.67</v>
      </c>
      <c r="AA51">
        <v>48</v>
      </c>
      <c r="AD51">
        <v>48</v>
      </c>
      <c r="AF51">
        <v>144</v>
      </c>
      <c r="AH51">
        <v>288</v>
      </c>
      <c r="AN51">
        <v>750</v>
      </c>
      <c r="AO51">
        <v>100</v>
      </c>
      <c r="AQ51">
        <v>554</v>
      </c>
      <c r="AT51">
        <v>51</v>
      </c>
      <c r="AV51">
        <v>25.52</v>
      </c>
      <c r="AW51">
        <v>2.13</v>
      </c>
      <c r="AX51">
        <v>375</v>
      </c>
      <c r="AY51">
        <v>2000</v>
      </c>
      <c r="AZ51" t="s">
        <v>1222</v>
      </c>
      <c r="BA51" t="s">
        <v>102</v>
      </c>
      <c r="BB51" t="s">
        <v>102</v>
      </c>
      <c r="BC51" t="s">
        <v>102</v>
      </c>
      <c r="BD51" t="s">
        <v>102</v>
      </c>
      <c r="BE51" t="s">
        <v>102</v>
      </c>
      <c r="BF51" t="s">
        <v>118</v>
      </c>
      <c r="BG51" t="s">
        <v>640</v>
      </c>
      <c r="BH51" t="s">
        <v>105</v>
      </c>
      <c r="BI51">
        <v>9</v>
      </c>
      <c r="BJ51">
        <v>2</v>
      </c>
      <c r="BK51">
        <v>2</v>
      </c>
      <c r="BL51">
        <v>16</v>
      </c>
      <c r="BM51">
        <v>4</v>
      </c>
      <c r="BN51">
        <v>12</v>
      </c>
      <c r="BO51">
        <v>9</v>
      </c>
      <c r="BP51">
        <v>9</v>
      </c>
      <c r="BQ51">
        <v>2</v>
      </c>
      <c r="BR51">
        <v>16</v>
      </c>
      <c r="BS51">
        <v>4</v>
      </c>
      <c r="BT51">
        <v>12</v>
      </c>
      <c r="CJ51" t="b">
        <v>0</v>
      </c>
      <c r="CT51">
        <v>131429</v>
      </c>
    </row>
    <row r="52" spans="1:98" x14ac:dyDescent="0.25">
      <c r="A52">
        <v>131430</v>
      </c>
      <c r="B52">
        <v>14</v>
      </c>
      <c r="C52" t="s">
        <v>1223</v>
      </c>
      <c r="D52" t="s">
        <v>121</v>
      </c>
      <c r="E52" t="s">
        <v>212</v>
      </c>
      <c r="G52" t="s">
        <v>1212</v>
      </c>
      <c r="I52">
        <v>0</v>
      </c>
      <c r="J52">
        <v>7</v>
      </c>
      <c r="K52" t="s">
        <v>114</v>
      </c>
      <c r="L52">
        <v>14</v>
      </c>
      <c r="M52">
        <v>11</v>
      </c>
      <c r="N52">
        <v>13.73</v>
      </c>
      <c r="P52">
        <v>11.25</v>
      </c>
      <c r="Q52" t="s">
        <v>115</v>
      </c>
      <c r="R52">
        <v>11.62</v>
      </c>
      <c r="U52" t="s">
        <v>99</v>
      </c>
      <c r="V52">
        <v>10</v>
      </c>
      <c r="W52">
        <v>10</v>
      </c>
      <c r="X52">
        <v>0.6</v>
      </c>
      <c r="Y52">
        <v>1</v>
      </c>
      <c r="Z52">
        <v>0.67</v>
      </c>
      <c r="AA52">
        <v>48</v>
      </c>
      <c r="AD52">
        <v>48</v>
      </c>
      <c r="AH52">
        <v>288</v>
      </c>
      <c r="AN52">
        <v>750</v>
      </c>
      <c r="AO52">
        <v>100</v>
      </c>
      <c r="AQ52">
        <v>489</v>
      </c>
      <c r="AT52">
        <v>22</v>
      </c>
      <c r="AV52">
        <v>25.52</v>
      </c>
      <c r="AW52">
        <v>2.13</v>
      </c>
      <c r="AX52">
        <v>375</v>
      </c>
      <c r="AY52">
        <v>2000</v>
      </c>
      <c r="AZ52" t="s">
        <v>1224</v>
      </c>
      <c r="BA52" t="s">
        <v>102</v>
      </c>
      <c r="BB52" t="s">
        <v>102</v>
      </c>
      <c r="BC52" t="s">
        <v>101</v>
      </c>
      <c r="BD52" t="s">
        <v>102</v>
      </c>
      <c r="BE52" t="s">
        <v>101</v>
      </c>
      <c r="BF52" t="s">
        <v>118</v>
      </c>
      <c r="BG52" t="s">
        <v>640</v>
      </c>
      <c r="BH52" t="s">
        <v>105</v>
      </c>
      <c r="BI52">
        <v>9</v>
      </c>
      <c r="BJ52">
        <v>2</v>
      </c>
      <c r="BK52">
        <v>2</v>
      </c>
      <c r="BL52">
        <v>16</v>
      </c>
      <c r="BM52">
        <v>4</v>
      </c>
      <c r="BN52">
        <v>12</v>
      </c>
      <c r="BO52">
        <v>9</v>
      </c>
      <c r="BP52">
        <v>9</v>
      </c>
      <c r="BQ52">
        <v>2</v>
      </c>
      <c r="BR52">
        <v>16</v>
      </c>
      <c r="BS52">
        <v>4</v>
      </c>
      <c r="BT52">
        <v>12</v>
      </c>
      <c r="CJ52" t="b">
        <v>0</v>
      </c>
      <c r="CT52">
        <v>131430</v>
      </c>
    </row>
    <row r="53" spans="1:98" x14ac:dyDescent="0.25">
      <c r="A53">
        <v>109000</v>
      </c>
      <c r="B53">
        <v>16</v>
      </c>
      <c r="C53" t="s">
        <v>1225</v>
      </c>
      <c r="D53" t="s">
        <v>121</v>
      </c>
      <c r="E53" t="s">
        <v>331</v>
      </c>
      <c r="G53" t="s">
        <v>1212</v>
      </c>
      <c r="I53">
        <v>0</v>
      </c>
      <c r="J53">
        <v>7</v>
      </c>
      <c r="K53" t="s">
        <v>114</v>
      </c>
      <c r="L53">
        <v>16</v>
      </c>
      <c r="M53">
        <v>13.6</v>
      </c>
      <c r="N53">
        <v>15</v>
      </c>
      <c r="P53">
        <v>15</v>
      </c>
      <c r="Q53" t="s">
        <v>115</v>
      </c>
      <c r="R53">
        <v>14.5</v>
      </c>
      <c r="U53" t="s">
        <v>99</v>
      </c>
      <c r="V53">
        <v>10</v>
      </c>
      <c r="W53">
        <v>10</v>
      </c>
      <c r="X53">
        <v>0.625</v>
      </c>
      <c r="Y53">
        <v>1</v>
      </c>
      <c r="Z53">
        <v>0.625</v>
      </c>
      <c r="AA53">
        <v>60</v>
      </c>
      <c r="AD53">
        <v>60</v>
      </c>
      <c r="AF53">
        <v>180</v>
      </c>
      <c r="AH53">
        <v>180</v>
      </c>
      <c r="AJ53">
        <v>396</v>
      </c>
      <c r="AN53">
        <v>750</v>
      </c>
      <c r="AO53">
        <v>144</v>
      </c>
      <c r="AQ53">
        <v>1383</v>
      </c>
      <c r="AT53">
        <v>15</v>
      </c>
      <c r="AV53">
        <v>27.52</v>
      </c>
      <c r="AW53">
        <v>2.29</v>
      </c>
      <c r="AX53">
        <v>375</v>
      </c>
      <c r="AY53">
        <v>2000</v>
      </c>
      <c r="AZ53" t="s">
        <v>1226</v>
      </c>
      <c r="BA53" t="s">
        <v>102</v>
      </c>
      <c r="BB53" t="s">
        <v>102</v>
      </c>
      <c r="BC53" t="s">
        <v>102</v>
      </c>
      <c r="BD53" t="s">
        <v>102</v>
      </c>
      <c r="BE53" t="s">
        <v>102</v>
      </c>
      <c r="BF53" t="s">
        <v>118</v>
      </c>
      <c r="BG53" t="s">
        <v>792</v>
      </c>
      <c r="BH53" t="s">
        <v>105</v>
      </c>
      <c r="BI53">
        <v>12</v>
      </c>
      <c r="BJ53">
        <v>2</v>
      </c>
      <c r="BK53">
        <v>2</v>
      </c>
      <c r="BL53">
        <v>18</v>
      </c>
      <c r="BM53">
        <v>4</v>
      </c>
      <c r="BN53">
        <v>15</v>
      </c>
      <c r="BO53">
        <v>12</v>
      </c>
      <c r="BP53">
        <v>12</v>
      </c>
      <c r="BQ53">
        <v>2</v>
      </c>
      <c r="BR53">
        <v>18</v>
      </c>
      <c r="BS53">
        <v>4</v>
      </c>
      <c r="BT53">
        <v>15</v>
      </c>
      <c r="BY53">
        <v>109845</v>
      </c>
      <c r="CJ53" t="b">
        <v>0</v>
      </c>
      <c r="CT53">
        <v>109000</v>
      </c>
    </row>
    <row r="54" spans="1:98" x14ac:dyDescent="0.25">
      <c r="A54">
        <v>131431</v>
      </c>
      <c r="B54">
        <v>14</v>
      </c>
      <c r="C54" t="s">
        <v>1227</v>
      </c>
      <c r="D54" t="s">
        <v>121</v>
      </c>
      <c r="E54" t="s">
        <v>145</v>
      </c>
      <c r="G54" t="s">
        <v>1212</v>
      </c>
      <c r="I54">
        <v>0</v>
      </c>
      <c r="J54">
        <v>7</v>
      </c>
      <c r="K54" t="s">
        <v>114</v>
      </c>
      <c r="L54">
        <v>14</v>
      </c>
      <c r="M54">
        <v>11</v>
      </c>
      <c r="N54">
        <v>13.73</v>
      </c>
      <c r="P54">
        <v>11.25</v>
      </c>
      <c r="Q54" t="s">
        <v>115</v>
      </c>
      <c r="R54">
        <v>11.62</v>
      </c>
      <c r="U54" t="s">
        <v>99</v>
      </c>
      <c r="V54">
        <v>10</v>
      </c>
      <c r="W54">
        <v>10</v>
      </c>
      <c r="X54">
        <v>0.6</v>
      </c>
      <c r="Y54">
        <v>1</v>
      </c>
      <c r="Z54">
        <v>0.67</v>
      </c>
      <c r="AA54">
        <v>48</v>
      </c>
      <c r="AD54">
        <v>48</v>
      </c>
      <c r="AH54">
        <v>288</v>
      </c>
      <c r="AN54">
        <v>750</v>
      </c>
      <c r="AO54">
        <v>100</v>
      </c>
      <c r="AQ54">
        <v>480</v>
      </c>
      <c r="AT54">
        <v>64</v>
      </c>
      <c r="AV54">
        <v>25.52</v>
      </c>
      <c r="AW54">
        <v>2.13</v>
      </c>
      <c r="AX54">
        <v>375</v>
      </c>
      <c r="AY54">
        <v>2000</v>
      </c>
      <c r="AZ54" t="s">
        <v>1228</v>
      </c>
      <c r="BA54" t="s">
        <v>102</v>
      </c>
      <c r="BB54" t="s">
        <v>102</v>
      </c>
      <c r="BC54" t="s">
        <v>101</v>
      </c>
      <c r="BD54" t="s">
        <v>102</v>
      </c>
      <c r="BE54" t="s">
        <v>101</v>
      </c>
      <c r="BF54" t="s">
        <v>118</v>
      </c>
      <c r="BG54" t="s">
        <v>640</v>
      </c>
      <c r="BH54" t="s">
        <v>105</v>
      </c>
      <c r="BI54">
        <v>9</v>
      </c>
      <c r="BJ54">
        <v>2</v>
      </c>
      <c r="BK54">
        <v>2</v>
      </c>
      <c r="BL54">
        <v>16</v>
      </c>
      <c r="BM54">
        <v>4</v>
      </c>
      <c r="BN54">
        <v>12</v>
      </c>
      <c r="BO54">
        <v>9</v>
      </c>
      <c r="BP54">
        <v>9</v>
      </c>
      <c r="BQ54">
        <v>2</v>
      </c>
      <c r="BR54">
        <v>16</v>
      </c>
      <c r="BS54">
        <v>4</v>
      </c>
      <c r="BT54">
        <v>12</v>
      </c>
      <c r="CJ54" t="b">
        <v>0</v>
      </c>
      <c r="CT54">
        <v>131431</v>
      </c>
    </row>
  </sheetData>
  <conditionalFormatting sqref="A3:A47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59AEB-F3A5-4A3F-99FB-7FF94B75E31F}">
  <sheetPr codeName="Sheet3"/>
  <dimension ref="A1:I85"/>
  <sheetViews>
    <sheetView topLeftCell="A55" workbookViewId="0">
      <selection activeCell="D80" sqref="D80"/>
    </sheetView>
  </sheetViews>
  <sheetFormatPr defaultRowHeight="15" x14ac:dyDescent="0.25"/>
  <cols>
    <col min="2" max="2" width="17" customWidth="1"/>
    <col min="3" max="3" width="16.42578125" customWidth="1"/>
    <col min="4" max="4" width="14.42578125" customWidth="1"/>
    <col min="5" max="6" width="14" customWidth="1"/>
    <col min="7" max="7" width="11.7109375" customWidth="1"/>
  </cols>
  <sheetData>
    <row r="1" spans="1:7" x14ac:dyDescent="0.25">
      <c r="A1" t="s">
        <v>1229</v>
      </c>
      <c r="B1" t="s">
        <v>1230</v>
      </c>
      <c r="C1" t="s">
        <v>1231</v>
      </c>
      <c r="D1" t="s">
        <v>1232</v>
      </c>
      <c r="E1" t="s">
        <v>1233</v>
      </c>
      <c r="F1" t="s">
        <v>92</v>
      </c>
      <c r="G1" t="s">
        <v>1234</v>
      </c>
    </row>
    <row r="2" spans="1:7" x14ac:dyDescent="0.25">
      <c r="A2">
        <v>4</v>
      </c>
      <c r="B2" t="s">
        <v>95</v>
      </c>
      <c r="C2" t="s">
        <v>106</v>
      </c>
      <c r="D2" t="s">
        <v>94</v>
      </c>
      <c r="E2" t="s">
        <v>76</v>
      </c>
    </row>
    <row r="3" spans="1:7" x14ac:dyDescent="0.25">
      <c r="A3">
        <v>4</v>
      </c>
      <c r="B3" t="s">
        <v>128</v>
      </c>
      <c r="C3" t="s">
        <v>132</v>
      </c>
      <c r="D3" t="s">
        <v>94</v>
      </c>
      <c r="E3" t="s">
        <v>75</v>
      </c>
    </row>
    <row r="4" spans="1:7" x14ac:dyDescent="0.25">
      <c r="A4">
        <v>4</v>
      </c>
      <c r="B4" t="s">
        <v>128</v>
      </c>
      <c r="C4">
        <v>118211</v>
      </c>
      <c r="D4" t="s">
        <v>121</v>
      </c>
      <c r="E4" t="s">
        <v>75</v>
      </c>
    </row>
    <row r="5" spans="1:7" x14ac:dyDescent="0.25">
      <c r="A5">
        <v>4</v>
      </c>
      <c r="B5" t="s">
        <v>95</v>
      </c>
      <c r="C5">
        <v>116490</v>
      </c>
      <c r="D5" t="s">
        <v>121</v>
      </c>
      <c r="E5" t="s">
        <v>76</v>
      </c>
    </row>
    <row r="6" spans="1:7" x14ac:dyDescent="0.25">
      <c r="A6">
        <v>6</v>
      </c>
      <c r="B6" t="s">
        <v>95</v>
      </c>
      <c r="C6" t="s">
        <v>150</v>
      </c>
      <c r="D6" t="s">
        <v>94</v>
      </c>
      <c r="E6" t="s">
        <v>76</v>
      </c>
    </row>
    <row r="7" spans="1:7" x14ac:dyDescent="0.25">
      <c r="A7">
        <v>6</v>
      </c>
      <c r="B7" t="s">
        <v>128</v>
      </c>
      <c r="C7" t="s">
        <v>149</v>
      </c>
      <c r="D7" t="s">
        <v>94</v>
      </c>
      <c r="E7" t="s">
        <v>75</v>
      </c>
      <c r="F7" t="s">
        <v>1235</v>
      </c>
    </row>
    <row r="8" spans="1:7" x14ac:dyDescent="0.25">
      <c r="A8">
        <v>6</v>
      </c>
      <c r="B8" t="s">
        <v>1236</v>
      </c>
      <c r="C8">
        <v>105683</v>
      </c>
      <c r="D8" t="s">
        <v>94</v>
      </c>
      <c r="E8" t="s">
        <v>76</v>
      </c>
      <c r="F8" t="s">
        <v>95</v>
      </c>
    </row>
    <row r="9" spans="1:7" x14ac:dyDescent="0.25">
      <c r="A9">
        <v>6</v>
      </c>
      <c r="B9" t="s">
        <v>128</v>
      </c>
      <c r="C9">
        <v>112174</v>
      </c>
      <c r="D9" t="s">
        <v>121</v>
      </c>
      <c r="E9" t="s">
        <v>75</v>
      </c>
    </row>
    <row r="10" spans="1:7" x14ac:dyDescent="0.25">
      <c r="A10">
        <v>6</v>
      </c>
      <c r="B10" t="s">
        <v>1237</v>
      </c>
      <c r="C10">
        <v>113045</v>
      </c>
      <c r="D10" t="s">
        <v>121</v>
      </c>
      <c r="E10" t="s">
        <v>81</v>
      </c>
    </row>
    <row r="11" spans="1:7" x14ac:dyDescent="0.25">
      <c r="A11">
        <v>6</v>
      </c>
      <c r="B11" t="s">
        <v>95</v>
      </c>
      <c r="C11">
        <v>112707</v>
      </c>
      <c r="D11" t="s">
        <v>121</v>
      </c>
      <c r="E11" t="s">
        <v>76</v>
      </c>
    </row>
    <row r="12" spans="1:7" x14ac:dyDescent="0.25">
      <c r="A12">
        <v>6</v>
      </c>
      <c r="B12" t="s">
        <v>128</v>
      </c>
      <c r="C12" t="s">
        <v>149</v>
      </c>
      <c r="D12" t="s">
        <v>94</v>
      </c>
      <c r="E12" t="s">
        <v>75</v>
      </c>
      <c r="F12" t="s">
        <v>1238</v>
      </c>
    </row>
    <row r="13" spans="1:7" x14ac:dyDescent="0.25">
      <c r="A13">
        <v>6</v>
      </c>
      <c r="B13" t="s">
        <v>95</v>
      </c>
      <c r="C13">
        <v>102784</v>
      </c>
      <c r="D13" t="s">
        <v>94</v>
      </c>
      <c r="E13" t="s">
        <v>76</v>
      </c>
      <c r="F13" t="s">
        <v>1238</v>
      </c>
    </row>
    <row r="14" spans="1:7" x14ac:dyDescent="0.25">
      <c r="A14">
        <v>8</v>
      </c>
      <c r="B14" t="s">
        <v>95</v>
      </c>
      <c r="C14">
        <v>108564</v>
      </c>
      <c r="D14" t="s">
        <v>94</v>
      </c>
      <c r="E14" t="s">
        <v>76</v>
      </c>
    </row>
    <row r="15" spans="1:7" x14ac:dyDescent="0.25">
      <c r="A15">
        <v>8</v>
      </c>
      <c r="B15" t="s">
        <v>1239</v>
      </c>
      <c r="C15">
        <v>109401</v>
      </c>
      <c r="D15" t="s">
        <v>94</v>
      </c>
      <c r="E15" t="s">
        <v>86</v>
      </c>
    </row>
    <row r="16" spans="1:7" x14ac:dyDescent="0.25">
      <c r="A16">
        <v>8</v>
      </c>
      <c r="B16" t="s">
        <v>128</v>
      </c>
      <c r="C16" t="s">
        <v>284</v>
      </c>
      <c r="D16" t="s">
        <v>94</v>
      </c>
      <c r="E16" t="s">
        <v>75</v>
      </c>
    </row>
    <row r="17" spans="1:8" x14ac:dyDescent="0.25">
      <c r="A17">
        <v>8</v>
      </c>
      <c r="B17" t="s">
        <v>128</v>
      </c>
      <c r="C17">
        <v>114560</v>
      </c>
      <c r="D17" t="s">
        <v>121</v>
      </c>
      <c r="E17" t="s">
        <v>75</v>
      </c>
      <c r="F17" t="s">
        <v>1240</v>
      </c>
    </row>
    <row r="18" spans="1:8" x14ac:dyDescent="0.25">
      <c r="A18">
        <v>8</v>
      </c>
      <c r="B18" t="s">
        <v>128</v>
      </c>
      <c r="C18">
        <v>130501</v>
      </c>
      <c r="D18" t="s">
        <v>121</v>
      </c>
      <c r="E18" t="s">
        <v>75</v>
      </c>
      <c r="F18" t="s">
        <v>1241</v>
      </c>
    </row>
    <row r="19" spans="1:8" x14ac:dyDescent="0.25">
      <c r="A19">
        <v>8</v>
      </c>
      <c r="B19" t="s">
        <v>1237</v>
      </c>
      <c r="C19">
        <v>122013</v>
      </c>
      <c r="D19" t="s">
        <v>121</v>
      </c>
      <c r="E19" t="s">
        <v>81</v>
      </c>
      <c r="F19" t="s">
        <v>1240</v>
      </c>
    </row>
    <row r="20" spans="1:8" x14ac:dyDescent="0.25">
      <c r="A20">
        <v>8</v>
      </c>
      <c r="B20" t="s">
        <v>95</v>
      </c>
      <c r="C20">
        <v>110255</v>
      </c>
      <c r="D20" t="s">
        <v>121</v>
      </c>
      <c r="E20" t="s">
        <v>76</v>
      </c>
      <c r="F20" t="s">
        <v>1240</v>
      </c>
    </row>
    <row r="21" spans="1:8" x14ac:dyDescent="0.25">
      <c r="A21">
        <v>8</v>
      </c>
      <c r="B21" t="s">
        <v>128</v>
      </c>
      <c r="C21">
        <v>121003</v>
      </c>
      <c r="D21" t="s">
        <v>121</v>
      </c>
      <c r="E21" t="s">
        <v>75</v>
      </c>
      <c r="F21" t="s">
        <v>1242</v>
      </c>
    </row>
    <row r="22" spans="1:8" x14ac:dyDescent="0.25">
      <c r="A22">
        <v>8</v>
      </c>
      <c r="B22" t="s">
        <v>95</v>
      </c>
      <c r="C22">
        <v>120927</v>
      </c>
      <c r="D22" t="s">
        <v>121</v>
      </c>
      <c r="E22" t="s">
        <v>76</v>
      </c>
      <c r="F22" t="s">
        <v>1242</v>
      </c>
    </row>
    <row r="23" spans="1:8" x14ac:dyDescent="0.25">
      <c r="A23">
        <v>8</v>
      </c>
      <c r="B23" t="s">
        <v>1237</v>
      </c>
      <c r="C23">
        <v>121111</v>
      </c>
      <c r="D23" t="s">
        <v>121</v>
      </c>
      <c r="E23" t="s">
        <v>81</v>
      </c>
      <c r="F23" t="s">
        <v>1242</v>
      </c>
    </row>
    <row r="24" spans="1:8" x14ac:dyDescent="0.25">
      <c r="A24">
        <v>8</v>
      </c>
      <c r="B24" t="s">
        <v>128</v>
      </c>
      <c r="C24">
        <v>130501</v>
      </c>
      <c r="D24" t="s">
        <v>121</v>
      </c>
      <c r="E24" t="s">
        <v>128</v>
      </c>
      <c r="F24" t="s">
        <v>1243</v>
      </c>
      <c r="H24" t="s">
        <v>1244</v>
      </c>
    </row>
    <row r="25" spans="1:8" x14ac:dyDescent="0.25">
      <c r="A25" s="25" t="s">
        <v>1245</v>
      </c>
      <c r="B25" t="s">
        <v>1236</v>
      </c>
      <c r="C25">
        <v>112179</v>
      </c>
      <c r="D25" t="s">
        <v>94</v>
      </c>
      <c r="E25" t="s">
        <v>76</v>
      </c>
      <c r="F25" t="s">
        <v>164</v>
      </c>
      <c r="G25" t="s">
        <v>1246</v>
      </c>
    </row>
    <row r="26" spans="1:8" x14ac:dyDescent="0.25">
      <c r="A26">
        <v>8</v>
      </c>
      <c r="B26" t="s">
        <v>95</v>
      </c>
      <c r="C26">
        <v>107269</v>
      </c>
      <c r="D26" t="s">
        <v>94</v>
      </c>
      <c r="E26" t="s">
        <v>76</v>
      </c>
      <c r="F26" t="s">
        <v>1238</v>
      </c>
    </row>
    <row r="27" spans="1:8" x14ac:dyDescent="0.25">
      <c r="A27">
        <v>8</v>
      </c>
      <c r="B27" t="s">
        <v>128</v>
      </c>
      <c r="C27" t="s">
        <v>284</v>
      </c>
      <c r="D27" t="s">
        <v>94</v>
      </c>
      <c r="E27" t="s">
        <v>75</v>
      </c>
      <c r="F27" t="s">
        <v>1238</v>
      </c>
    </row>
    <row r="28" spans="1:8" x14ac:dyDescent="0.25">
      <c r="A28">
        <v>10</v>
      </c>
      <c r="B28" t="s">
        <v>95</v>
      </c>
      <c r="C28">
        <v>112058</v>
      </c>
      <c r="D28" t="s">
        <v>94</v>
      </c>
      <c r="E28" t="s">
        <v>76</v>
      </c>
    </row>
    <row r="29" spans="1:8" x14ac:dyDescent="0.25">
      <c r="A29">
        <v>10</v>
      </c>
      <c r="B29" t="s">
        <v>128</v>
      </c>
      <c r="C29" t="s">
        <v>479</v>
      </c>
      <c r="D29" t="s">
        <v>94</v>
      </c>
      <c r="E29" t="s">
        <v>75</v>
      </c>
    </row>
    <row r="30" spans="1:8" x14ac:dyDescent="0.25">
      <c r="A30">
        <v>10</v>
      </c>
      <c r="B30" t="s">
        <v>1239</v>
      </c>
      <c r="C30">
        <v>108557</v>
      </c>
      <c r="D30" t="s">
        <v>94</v>
      </c>
      <c r="E30" t="s">
        <v>86</v>
      </c>
    </row>
    <row r="31" spans="1:8" x14ac:dyDescent="0.25">
      <c r="A31">
        <v>10</v>
      </c>
      <c r="B31" t="s">
        <v>1247</v>
      </c>
      <c r="C31">
        <v>113727</v>
      </c>
      <c r="D31" t="s">
        <v>94</v>
      </c>
      <c r="E31" t="s">
        <v>1248</v>
      </c>
    </row>
    <row r="32" spans="1:8" x14ac:dyDescent="0.25">
      <c r="A32">
        <v>10</v>
      </c>
      <c r="B32" t="s">
        <v>128</v>
      </c>
      <c r="C32">
        <v>108081</v>
      </c>
      <c r="D32" t="s">
        <v>121</v>
      </c>
      <c r="E32" t="s">
        <v>75</v>
      </c>
    </row>
    <row r="33" spans="1:6" x14ac:dyDescent="0.25">
      <c r="A33">
        <v>10</v>
      </c>
      <c r="B33" t="s">
        <v>128</v>
      </c>
      <c r="C33">
        <v>130285</v>
      </c>
      <c r="D33" t="s">
        <v>121</v>
      </c>
      <c r="E33" t="s">
        <v>75</v>
      </c>
      <c r="F33" t="s">
        <v>1244</v>
      </c>
    </row>
    <row r="34" spans="1:6" x14ac:dyDescent="0.25">
      <c r="A34">
        <v>10</v>
      </c>
      <c r="B34" t="s">
        <v>95</v>
      </c>
      <c r="C34">
        <v>110257</v>
      </c>
      <c r="D34" t="s">
        <v>121</v>
      </c>
      <c r="E34" t="s">
        <v>76</v>
      </c>
    </row>
    <row r="35" spans="1:6" x14ac:dyDescent="0.25">
      <c r="A35">
        <v>10</v>
      </c>
      <c r="B35" t="s">
        <v>1237</v>
      </c>
      <c r="C35">
        <v>123689</v>
      </c>
      <c r="D35" t="s">
        <v>121</v>
      </c>
      <c r="E35" t="s">
        <v>81</v>
      </c>
    </row>
    <row r="36" spans="1:6" x14ac:dyDescent="0.25">
      <c r="A36">
        <v>10</v>
      </c>
      <c r="B36" t="s">
        <v>128</v>
      </c>
      <c r="C36" t="s">
        <v>479</v>
      </c>
      <c r="D36" t="s">
        <v>94</v>
      </c>
      <c r="E36" t="s">
        <v>75</v>
      </c>
      <c r="F36" t="s">
        <v>1238</v>
      </c>
    </row>
    <row r="37" spans="1:6" x14ac:dyDescent="0.25">
      <c r="A37">
        <v>10</v>
      </c>
      <c r="B37" t="s">
        <v>95</v>
      </c>
      <c r="C37">
        <v>112058</v>
      </c>
      <c r="D37" t="s">
        <v>94</v>
      </c>
      <c r="E37" t="s">
        <v>76</v>
      </c>
      <c r="F37" t="s">
        <v>1238</v>
      </c>
    </row>
    <row r="38" spans="1:6" x14ac:dyDescent="0.25">
      <c r="A38">
        <v>10</v>
      </c>
      <c r="B38" t="s">
        <v>469</v>
      </c>
      <c r="C38">
        <v>111201</v>
      </c>
      <c r="D38" t="s">
        <v>469</v>
      </c>
      <c r="E38" t="s">
        <v>83</v>
      </c>
    </row>
    <row r="39" spans="1:6" x14ac:dyDescent="0.25">
      <c r="A39">
        <v>12</v>
      </c>
      <c r="B39" t="s">
        <v>95</v>
      </c>
      <c r="C39">
        <v>112106</v>
      </c>
      <c r="D39" t="s">
        <v>94</v>
      </c>
      <c r="E39" t="s">
        <v>76</v>
      </c>
    </row>
    <row r="40" spans="1:6" x14ac:dyDescent="0.25">
      <c r="A40">
        <v>12</v>
      </c>
      <c r="B40" t="s">
        <v>128</v>
      </c>
      <c r="C40" t="s">
        <v>605</v>
      </c>
      <c r="D40" t="s">
        <v>94</v>
      </c>
      <c r="E40" t="s">
        <v>75</v>
      </c>
    </row>
    <row r="41" spans="1:6" x14ac:dyDescent="0.25">
      <c r="A41">
        <v>12</v>
      </c>
      <c r="B41" t="s">
        <v>1239</v>
      </c>
      <c r="C41" s="52">
        <v>109088</v>
      </c>
      <c r="D41" t="s">
        <v>94</v>
      </c>
      <c r="E41" t="s">
        <v>86</v>
      </c>
    </row>
    <row r="42" spans="1:6" x14ac:dyDescent="0.25">
      <c r="A42">
        <v>12</v>
      </c>
      <c r="B42" t="s">
        <v>1247</v>
      </c>
      <c r="C42">
        <v>114368</v>
      </c>
      <c r="D42" t="s">
        <v>94</v>
      </c>
      <c r="E42" t="s">
        <v>76</v>
      </c>
    </row>
    <row r="43" spans="1:6" x14ac:dyDescent="0.25">
      <c r="A43">
        <v>12</v>
      </c>
      <c r="B43" t="s">
        <v>128</v>
      </c>
      <c r="C43">
        <v>129645</v>
      </c>
      <c r="D43" t="s">
        <v>121</v>
      </c>
      <c r="E43" t="s">
        <v>75</v>
      </c>
      <c r="F43" t="s">
        <v>1244</v>
      </c>
    </row>
    <row r="44" spans="1:6" x14ac:dyDescent="0.25">
      <c r="A44">
        <v>12</v>
      </c>
      <c r="B44" t="s">
        <v>128</v>
      </c>
      <c r="C44">
        <v>113097</v>
      </c>
      <c r="D44" t="s">
        <v>121</v>
      </c>
      <c r="E44" t="s">
        <v>75</v>
      </c>
    </row>
    <row r="45" spans="1:6" x14ac:dyDescent="0.25">
      <c r="A45">
        <v>12</v>
      </c>
      <c r="B45" t="s">
        <v>1237</v>
      </c>
      <c r="C45">
        <v>120459</v>
      </c>
      <c r="D45" t="s">
        <v>121</v>
      </c>
      <c r="E45" t="s">
        <v>81</v>
      </c>
    </row>
    <row r="46" spans="1:6" x14ac:dyDescent="0.25">
      <c r="A46">
        <v>12</v>
      </c>
      <c r="B46" t="s">
        <v>95</v>
      </c>
      <c r="C46">
        <v>116405</v>
      </c>
      <c r="D46" t="s">
        <v>121</v>
      </c>
      <c r="E46" t="s">
        <v>76</v>
      </c>
    </row>
    <row r="47" spans="1:6" x14ac:dyDescent="0.25">
      <c r="A47">
        <v>12</v>
      </c>
      <c r="B47" t="s">
        <v>469</v>
      </c>
      <c r="C47">
        <v>121994</v>
      </c>
      <c r="D47" t="s">
        <v>469</v>
      </c>
      <c r="E47" t="s">
        <v>83</v>
      </c>
    </row>
    <row r="48" spans="1:6" x14ac:dyDescent="0.25">
      <c r="A48">
        <v>14</v>
      </c>
      <c r="B48" t="s">
        <v>1239</v>
      </c>
      <c r="C48">
        <v>108764</v>
      </c>
      <c r="D48" t="s">
        <v>94</v>
      </c>
      <c r="E48" t="s">
        <v>86</v>
      </c>
    </row>
    <row r="49" spans="1:8" x14ac:dyDescent="0.25">
      <c r="A49">
        <v>16</v>
      </c>
      <c r="B49" t="s">
        <v>95</v>
      </c>
      <c r="C49">
        <v>109067</v>
      </c>
      <c r="D49" t="s">
        <v>94</v>
      </c>
      <c r="E49" t="s">
        <v>76</v>
      </c>
      <c r="G49">
        <v>18</v>
      </c>
    </row>
    <row r="50" spans="1:8" x14ac:dyDescent="0.25">
      <c r="A50">
        <v>16</v>
      </c>
      <c r="B50" t="s">
        <v>1247</v>
      </c>
      <c r="C50">
        <v>109176</v>
      </c>
      <c r="D50" t="s">
        <v>94</v>
      </c>
      <c r="E50" t="s">
        <v>76</v>
      </c>
    </row>
    <row r="51" spans="1:8" x14ac:dyDescent="0.25">
      <c r="A51">
        <v>16</v>
      </c>
      <c r="B51" t="s">
        <v>1239</v>
      </c>
      <c r="C51">
        <v>109250</v>
      </c>
      <c r="D51" t="s">
        <v>94</v>
      </c>
      <c r="E51" t="s">
        <v>86</v>
      </c>
    </row>
    <row r="52" spans="1:8" x14ac:dyDescent="0.25">
      <c r="A52">
        <v>16</v>
      </c>
      <c r="B52" t="s">
        <v>128</v>
      </c>
      <c r="C52" t="s">
        <v>806</v>
      </c>
      <c r="D52" t="s">
        <v>94</v>
      </c>
      <c r="E52" t="s">
        <v>75</v>
      </c>
      <c r="G52">
        <v>18</v>
      </c>
    </row>
    <row r="53" spans="1:8" x14ac:dyDescent="0.25">
      <c r="A53">
        <v>16</v>
      </c>
      <c r="B53" t="s">
        <v>128</v>
      </c>
      <c r="C53">
        <v>108959</v>
      </c>
      <c r="D53" t="s">
        <v>121</v>
      </c>
      <c r="E53" t="s">
        <v>75</v>
      </c>
    </row>
    <row r="54" spans="1:8" x14ac:dyDescent="0.25">
      <c r="A54">
        <v>16</v>
      </c>
      <c r="B54" t="s">
        <v>128</v>
      </c>
      <c r="C54">
        <v>129898</v>
      </c>
      <c r="D54" t="s">
        <v>121</v>
      </c>
      <c r="E54" t="s">
        <v>75</v>
      </c>
      <c r="F54" t="s">
        <v>1244</v>
      </c>
    </row>
    <row r="55" spans="1:8" x14ac:dyDescent="0.25">
      <c r="A55">
        <v>16</v>
      </c>
      <c r="B55" t="s">
        <v>95</v>
      </c>
      <c r="C55">
        <v>109845</v>
      </c>
      <c r="D55" t="s">
        <v>121</v>
      </c>
      <c r="E55" t="s">
        <v>76</v>
      </c>
    </row>
    <row r="56" spans="1:8" x14ac:dyDescent="0.25">
      <c r="A56">
        <v>16</v>
      </c>
      <c r="B56" t="s">
        <v>1237</v>
      </c>
      <c r="C56">
        <v>120589</v>
      </c>
      <c r="D56" t="s">
        <v>121</v>
      </c>
      <c r="E56" t="s">
        <v>81</v>
      </c>
    </row>
    <row r="57" spans="1:8" x14ac:dyDescent="0.25">
      <c r="A57">
        <v>16</v>
      </c>
      <c r="B57" t="s">
        <v>469</v>
      </c>
      <c r="C57">
        <v>123590</v>
      </c>
      <c r="D57" t="s">
        <v>469</v>
      </c>
      <c r="E57" t="s">
        <v>83</v>
      </c>
    </row>
    <row r="58" spans="1:8" x14ac:dyDescent="0.25">
      <c r="A58">
        <v>18</v>
      </c>
      <c r="B58" t="s">
        <v>1239</v>
      </c>
      <c r="C58">
        <v>112078</v>
      </c>
      <c r="D58" t="s">
        <v>94</v>
      </c>
      <c r="E58" t="s">
        <v>86</v>
      </c>
    </row>
    <row r="59" spans="1:8" x14ac:dyDescent="0.25">
      <c r="A59">
        <v>18</v>
      </c>
      <c r="B59" t="s">
        <v>1247</v>
      </c>
      <c r="C59">
        <v>112548</v>
      </c>
      <c r="D59" t="s">
        <v>94</v>
      </c>
      <c r="E59" t="s">
        <v>76</v>
      </c>
    </row>
    <row r="60" spans="1:8" x14ac:dyDescent="0.25">
      <c r="A60">
        <v>20</v>
      </c>
      <c r="B60" t="s">
        <v>95</v>
      </c>
      <c r="C60">
        <v>109322</v>
      </c>
      <c r="D60" t="s">
        <v>94</v>
      </c>
      <c r="E60" t="s">
        <v>76</v>
      </c>
    </row>
    <row r="61" spans="1:8" x14ac:dyDescent="0.25">
      <c r="A61">
        <v>20</v>
      </c>
      <c r="B61" t="s">
        <v>128</v>
      </c>
      <c r="C61">
        <v>105850</v>
      </c>
      <c r="D61" t="s">
        <v>94</v>
      </c>
      <c r="E61" t="s">
        <v>75</v>
      </c>
    </row>
    <row r="62" spans="1:8" x14ac:dyDescent="0.25">
      <c r="A62">
        <v>20</v>
      </c>
      <c r="B62" t="s">
        <v>1239</v>
      </c>
      <c r="C62">
        <v>109101</v>
      </c>
      <c r="D62" t="s">
        <v>94</v>
      </c>
      <c r="E62" t="s">
        <v>86</v>
      </c>
    </row>
    <row r="63" spans="1:8" x14ac:dyDescent="0.25">
      <c r="A63">
        <v>20</v>
      </c>
      <c r="B63" t="s">
        <v>128</v>
      </c>
      <c r="C63">
        <v>111283</v>
      </c>
      <c r="D63" t="s">
        <v>121</v>
      </c>
      <c r="E63" t="s">
        <v>75</v>
      </c>
      <c r="H63" t="s">
        <v>1249</v>
      </c>
    </row>
    <row r="64" spans="1:8" x14ac:dyDescent="0.25">
      <c r="A64">
        <v>20</v>
      </c>
      <c r="B64" t="s">
        <v>95</v>
      </c>
      <c r="C64">
        <v>112950</v>
      </c>
      <c r="D64" t="s">
        <v>121</v>
      </c>
      <c r="E64" t="s">
        <v>76</v>
      </c>
    </row>
    <row r="65" spans="1:7" x14ac:dyDescent="0.25">
      <c r="A65">
        <v>20</v>
      </c>
      <c r="B65" t="s">
        <v>1237</v>
      </c>
      <c r="C65">
        <v>120123</v>
      </c>
      <c r="D65" t="s">
        <v>121</v>
      </c>
      <c r="E65" t="s">
        <v>81</v>
      </c>
    </row>
    <row r="66" spans="1:7" x14ac:dyDescent="0.25">
      <c r="A66">
        <v>24</v>
      </c>
      <c r="B66" t="s">
        <v>95</v>
      </c>
      <c r="C66">
        <v>102397</v>
      </c>
      <c r="D66" t="s">
        <v>94</v>
      </c>
      <c r="E66" t="s">
        <v>76</v>
      </c>
      <c r="F66" t="s">
        <v>1250</v>
      </c>
    </row>
    <row r="67" spans="1:7" x14ac:dyDescent="0.25">
      <c r="A67">
        <v>24</v>
      </c>
      <c r="B67" t="s">
        <v>1239</v>
      </c>
      <c r="C67" t="s">
        <v>973</v>
      </c>
      <c r="D67" t="s">
        <v>94</v>
      </c>
      <c r="E67" t="s">
        <v>86</v>
      </c>
    </row>
    <row r="68" spans="1:7" x14ac:dyDescent="0.25">
      <c r="A68">
        <v>24</v>
      </c>
      <c r="B68" t="s">
        <v>128</v>
      </c>
      <c r="C68">
        <v>110710</v>
      </c>
      <c r="D68" t="s">
        <v>121</v>
      </c>
      <c r="E68" t="s">
        <v>75</v>
      </c>
    </row>
    <row r="69" spans="1:7" x14ac:dyDescent="0.25">
      <c r="A69">
        <v>24</v>
      </c>
      <c r="B69" t="s">
        <v>95</v>
      </c>
      <c r="C69" t="s">
        <v>1003</v>
      </c>
      <c r="D69" t="s">
        <v>121</v>
      </c>
      <c r="E69" t="s">
        <v>76</v>
      </c>
      <c r="F69" t="s">
        <v>1251</v>
      </c>
    </row>
    <row r="70" spans="1:7" x14ac:dyDescent="0.25">
      <c r="A70">
        <v>24</v>
      </c>
      <c r="B70" t="s">
        <v>1237</v>
      </c>
      <c r="C70">
        <v>118879</v>
      </c>
      <c r="D70" t="s">
        <v>121</v>
      </c>
      <c r="E70" t="s">
        <v>81</v>
      </c>
    </row>
    <row r="71" spans="1:7" x14ac:dyDescent="0.25">
      <c r="A71">
        <v>26</v>
      </c>
      <c r="B71" t="s">
        <v>95</v>
      </c>
      <c r="C71">
        <v>110887</v>
      </c>
      <c r="D71" t="s">
        <v>94</v>
      </c>
      <c r="E71" t="s">
        <v>76</v>
      </c>
      <c r="G71" t="s">
        <v>1252</v>
      </c>
    </row>
    <row r="72" spans="1:7" x14ac:dyDescent="0.25">
      <c r="A72">
        <v>26</v>
      </c>
      <c r="B72" t="s">
        <v>1239</v>
      </c>
      <c r="C72" t="s">
        <v>1055</v>
      </c>
      <c r="D72" t="s">
        <v>94</v>
      </c>
      <c r="E72" t="s">
        <v>86</v>
      </c>
    </row>
    <row r="73" spans="1:7" x14ac:dyDescent="0.25">
      <c r="A73">
        <v>26</v>
      </c>
      <c r="B73" t="s">
        <v>128</v>
      </c>
      <c r="C73">
        <v>110710</v>
      </c>
      <c r="D73" t="s">
        <v>121</v>
      </c>
      <c r="E73" t="s">
        <v>75</v>
      </c>
    </row>
    <row r="74" spans="1:7" x14ac:dyDescent="0.25">
      <c r="A74">
        <v>26</v>
      </c>
      <c r="B74" t="s">
        <v>95</v>
      </c>
      <c r="C74">
        <v>116188</v>
      </c>
      <c r="D74" t="s">
        <v>121</v>
      </c>
      <c r="E74" t="s">
        <v>76</v>
      </c>
    </row>
    <row r="75" spans="1:7" x14ac:dyDescent="0.25">
      <c r="A75">
        <v>26</v>
      </c>
      <c r="B75" t="s">
        <v>1237</v>
      </c>
      <c r="C75">
        <v>118879</v>
      </c>
      <c r="D75" t="s">
        <v>121</v>
      </c>
      <c r="E75" t="s">
        <v>81</v>
      </c>
    </row>
    <row r="76" spans="1:7" x14ac:dyDescent="0.25">
      <c r="A76">
        <v>30</v>
      </c>
      <c r="B76" t="s">
        <v>1239</v>
      </c>
      <c r="C76">
        <v>109360</v>
      </c>
      <c r="D76" t="s">
        <v>94</v>
      </c>
      <c r="E76" t="s">
        <v>86</v>
      </c>
    </row>
    <row r="77" spans="1:7" x14ac:dyDescent="0.25">
      <c r="A77">
        <v>30</v>
      </c>
      <c r="B77" t="s">
        <v>128</v>
      </c>
      <c r="C77">
        <v>115091</v>
      </c>
      <c r="D77" t="s">
        <v>121</v>
      </c>
      <c r="E77" t="s">
        <v>75</v>
      </c>
      <c r="G77">
        <v>31</v>
      </c>
    </row>
    <row r="78" spans="1:7" x14ac:dyDescent="0.25">
      <c r="A78">
        <v>30</v>
      </c>
      <c r="B78" t="s">
        <v>95</v>
      </c>
      <c r="C78">
        <v>111574</v>
      </c>
      <c r="D78" t="s">
        <v>121</v>
      </c>
      <c r="E78" t="s">
        <v>76</v>
      </c>
      <c r="G78">
        <v>31</v>
      </c>
    </row>
    <row r="79" spans="1:7" x14ac:dyDescent="0.25">
      <c r="A79">
        <v>30</v>
      </c>
      <c r="B79" t="s">
        <v>1237</v>
      </c>
      <c r="C79">
        <v>120020</v>
      </c>
      <c r="D79" t="s">
        <v>121</v>
      </c>
      <c r="E79" t="s">
        <v>81</v>
      </c>
      <c r="G79">
        <v>31</v>
      </c>
    </row>
    <row r="80" spans="1:7" x14ac:dyDescent="0.25">
      <c r="A80">
        <v>36</v>
      </c>
      <c r="B80" t="s">
        <v>95</v>
      </c>
      <c r="C80">
        <v>112569</v>
      </c>
      <c r="D80" t="s">
        <v>94</v>
      </c>
      <c r="E80" t="s">
        <v>76</v>
      </c>
      <c r="G80" t="s">
        <v>1253</v>
      </c>
    </row>
    <row r="81" spans="1:9" x14ac:dyDescent="0.25">
      <c r="A81">
        <v>36</v>
      </c>
      <c r="B81" t="s">
        <v>1239</v>
      </c>
      <c r="C81">
        <v>110532</v>
      </c>
      <c r="D81" t="s">
        <v>94</v>
      </c>
      <c r="E81" t="s">
        <v>86</v>
      </c>
      <c r="G81" t="s">
        <v>1253</v>
      </c>
    </row>
    <row r="82" spans="1:9" x14ac:dyDescent="0.25">
      <c r="A82">
        <v>36</v>
      </c>
      <c r="B82" t="s">
        <v>1239</v>
      </c>
      <c r="C82" t="s">
        <v>1254</v>
      </c>
      <c r="D82" t="s">
        <v>94</v>
      </c>
      <c r="E82" t="s">
        <v>86</v>
      </c>
      <c r="I82" t="s">
        <v>1255</v>
      </c>
    </row>
    <row r="83" spans="1:9" x14ac:dyDescent="0.25">
      <c r="A83">
        <v>42</v>
      </c>
      <c r="B83" t="s">
        <v>1239</v>
      </c>
      <c r="C83" t="s">
        <v>1175</v>
      </c>
      <c r="D83" t="s">
        <v>94</v>
      </c>
      <c r="E83" t="s">
        <v>86</v>
      </c>
    </row>
    <row r="84" spans="1:9" x14ac:dyDescent="0.25">
      <c r="A84">
        <v>42</v>
      </c>
      <c r="B84" t="s">
        <v>95</v>
      </c>
      <c r="C84">
        <v>105988</v>
      </c>
      <c r="D84" t="s">
        <v>94</v>
      </c>
      <c r="E84" t="s">
        <v>76</v>
      </c>
    </row>
    <row r="85" spans="1:9" x14ac:dyDescent="0.25">
      <c r="A85">
        <v>48</v>
      </c>
      <c r="B85" t="s">
        <v>95</v>
      </c>
      <c r="C85">
        <v>107460</v>
      </c>
      <c r="D85" t="s">
        <v>94</v>
      </c>
      <c r="E85" t="s">
        <v>76</v>
      </c>
      <c r="G85" t="s">
        <v>1256</v>
      </c>
    </row>
  </sheetData>
  <protectedRanges>
    <protectedRange algorithmName="SHA-512" hashValue="TfitahiZAXZFoLslzUgaKycPY32dEbwP/mjsRAICtY1x/DcIcrtE/Pfgc1fmxTge6INZ3K6tDFkGF3bwFAhwNQ==" saltValue="27/JYAfcMYYfeMpDyRVq+Q==" spinCount="100000" sqref="C41" name="T12in Tools"/>
  </protectedRange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CDCC-442B-4C01-86CA-5BB465FF8024}">
  <sheetPr codeName="Sheet1"/>
  <dimension ref="A1:AH499"/>
  <sheetViews>
    <sheetView topLeftCell="A330" workbookViewId="0">
      <selection activeCell="A343" sqref="A343"/>
    </sheetView>
  </sheetViews>
  <sheetFormatPr defaultRowHeight="15" x14ac:dyDescent="0.25"/>
  <cols>
    <col min="2" max="2" width="31.42578125" customWidth="1"/>
    <col min="3" max="3" width="20" customWidth="1"/>
    <col min="4" max="4" width="9.140625" hidden="1" customWidth="1"/>
    <col min="5" max="5" width="8.7109375" hidden="1" customWidth="1"/>
    <col min="6" max="12" width="9.140625" hidden="1" customWidth="1"/>
    <col min="13" max="13" width="18.140625" style="29" bestFit="1" customWidth="1"/>
    <col min="14" max="14" width="50.85546875" bestFit="1" customWidth="1"/>
    <col min="19" max="19" width="50.85546875" bestFit="1" customWidth="1"/>
    <col min="20" max="20" width="19.28515625" style="25" bestFit="1" customWidth="1"/>
  </cols>
  <sheetData>
    <row r="1" spans="1:20" ht="60" x14ac:dyDescent="0.25">
      <c r="A1" s="17" t="s">
        <v>1257</v>
      </c>
      <c r="B1" s="17" t="s">
        <v>1258</v>
      </c>
      <c r="C1" s="17" t="s">
        <v>1259</v>
      </c>
      <c r="D1" s="17" t="s">
        <v>1260</v>
      </c>
      <c r="E1" s="17" t="s">
        <v>1261</v>
      </c>
      <c r="F1" s="17" t="s">
        <v>1262</v>
      </c>
      <c r="G1" s="17" t="s">
        <v>1263</v>
      </c>
      <c r="H1" s="17" t="s">
        <v>1264</v>
      </c>
      <c r="I1" s="17" t="s">
        <v>1265</v>
      </c>
      <c r="J1" s="17" t="s">
        <v>1266</v>
      </c>
      <c r="K1" s="17" t="s">
        <v>1267</v>
      </c>
      <c r="L1" s="17" t="s">
        <v>1268</v>
      </c>
      <c r="M1" s="26" t="s">
        <v>1269</v>
      </c>
      <c r="N1" s="17" t="s">
        <v>1270</v>
      </c>
      <c r="O1" s="17" t="s">
        <v>1271</v>
      </c>
      <c r="P1" s="17" t="s">
        <v>1229</v>
      </c>
      <c r="S1" t="s">
        <v>1270</v>
      </c>
      <c r="T1" s="25" t="s">
        <v>1269</v>
      </c>
    </row>
    <row r="2" spans="1:20" ht="45" x14ac:dyDescent="0.25">
      <c r="A2" s="16" t="s">
        <v>1272</v>
      </c>
      <c r="B2" s="16" t="s">
        <v>1273</v>
      </c>
      <c r="C2" s="16" t="s">
        <v>130</v>
      </c>
      <c r="D2" s="16" t="s">
        <v>1274</v>
      </c>
      <c r="E2" s="16" t="s">
        <v>1275</v>
      </c>
      <c r="F2" s="16" t="s">
        <v>1276</v>
      </c>
      <c r="G2" s="16" t="s">
        <v>1277</v>
      </c>
      <c r="H2" s="16" t="s">
        <v>1276</v>
      </c>
      <c r="I2" s="16" t="s">
        <v>1278</v>
      </c>
      <c r="J2" s="16" t="s">
        <v>1279</v>
      </c>
      <c r="K2" s="16" t="s">
        <v>1276</v>
      </c>
      <c r="L2" s="16" t="s">
        <v>1280</v>
      </c>
      <c r="M2" s="25" t="str">
        <f>_xlfn.TEXTBEFORE(B2, ",")</f>
        <v>115190</v>
      </c>
      <c r="N2" t="str">
        <f>_xlfn.TEXTAFTER(B2, ",")</f>
        <v xml:space="preserve"> 4" MFL (NH3) </v>
      </c>
      <c r="O2" t="b">
        <f>ISNUMBER(SEARCH("xyz", B2))</f>
        <v>0</v>
      </c>
      <c r="S2" t="s">
        <v>129</v>
      </c>
      <c r="T2">
        <v>115190</v>
      </c>
    </row>
    <row r="3" spans="1:20" ht="45" x14ac:dyDescent="0.25">
      <c r="A3" s="16" t="s">
        <v>1272</v>
      </c>
      <c r="B3" s="16" t="s">
        <v>1281</v>
      </c>
      <c r="C3" s="16" t="s">
        <v>130</v>
      </c>
      <c r="D3" s="16" t="s">
        <v>1274</v>
      </c>
      <c r="E3" s="16" t="s">
        <v>1282</v>
      </c>
      <c r="F3" s="16" t="s">
        <v>1276</v>
      </c>
      <c r="G3" s="16" t="s">
        <v>1277</v>
      </c>
      <c r="H3" s="16" t="s">
        <v>1276</v>
      </c>
      <c r="I3" s="16" t="s">
        <v>1283</v>
      </c>
      <c r="J3" s="16" t="s">
        <v>1279</v>
      </c>
      <c r="K3" s="16" t="s">
        <v>1276</v>
      </c>
      <c r="L3" s="16" t="s">
        <v>1280</v>
      </c>
      <c r="M3" s="25" t="str">
        <f t="shared" ref="M3:M67" si="0">_xlfn.TEXTBEFORE(B3, ",")</f>
        <v>04_001</v>
      </c>
      <c r="N3" t="str">
        <f t="shared" ref="N3:N67" si="1">_xlfn.TEXTAFTER(B3, ",")</f>
        <v xml:space="preserve"> 4" MFL </v>
      </c>
      <c r="O3" t="b">
        <f t="shared" ref="O3:O67" si="2">ISNUMBER(SEARCH("xyz", B3))</f>
        <v>0</v>
      </c>
      <c r="S3" t="s">
        <v>135</v>
      </c>
      <c r="T3" s="25" t="s">
        <v>133</v>
      </c>
    </row>
    <row r="4" spans="1:20" ht="45" x14ac:dyDescent="0.25">
      <c r="A4" s="16" t="s">
        <v>1272</v>
      </c>
      <c r="B4" s="16" t="s">
        <v>1284</v>
      </c>
      <c r="C4" s="16" t="s">
        <v>97</v>
      </c>
      <c r="D4" s="16" t="s">
        <v>1274</v>
      </c>
      <c r="E4" s="16" t="s">
        <v>1285</v>
      </c>
      <c r="F4" s="16" t="s">
        <v>1276</v>
      </c>
      <c r="G4" s="16" t="s">
        <v>1277</v>
      </c>
      <c r="H4" s="16" t="s">
        <v>1276</v>
      </c>
      <c r="I4" s="16" t="s">
        <v>1286</v>
      </c>
      <c r="J4" s="16" t="s">
        <v>1279</v>
      </c>
      <c r="K4" s="16" t="s">
        <v>1276</v>
      </c>
      <c r="L4" s="16" t="s">
        <v>1280</v>
      </c>
      <c r="M4" s="25" t="str">
        <f t="shared" si="0"/>
        <v>04_600</v>
      </c>
      <c r="N4" t="str">
        <f t="shared" si="1"/>
        <v xml:space="preserve"> 4" DEF </v>
      </c>
      <c r="O4" t="b">
        <f t="shared" si="2"/>
        <v>0</v>
      </c>
      <c r="S4" t="s">
        <v>109</v>
      </c>
      <c r="T4" s="25" t="s">
        <v>107</v>
      </c>
    </row>
    <row r="5" spans="1:20" ht="45" x14ac:dyDescent="0.25">
      <c r="A5" s="16" t="s">
        <v>1272</v>
      </c>
      <c r="B5" s="16" t="s">
        <v>1287</v>
      </c>
      <c r="C5" s="16" t="s">
        <v>97</v>
      </c>
      <c r="D5" s="16" t="s">
        <v>1274</v>
      </c>
      <c r="E5" s="16" t="s">
        <v>1288</v>
      </c>
      <c r="F5" s="16" t="s">
        <v>1276</v>
      </c>
      <c r="G5" s="16" t="s">
        <v>1277</v>
      </c>
      <c r="H5" s="16" t="s">
        <v>1276</v>
      </c>
      <c r="I5" s="16" t="s">
        <v>1289</v>
      </c>
      <c r="J5" s="16" t="s">
        <v>1279</v>
      </c>
      <c r="K5" s="16" t="s">
        <v>1276</v>
      </c>
      <c r="L5" s="16" t="s">
        <v>1280</v>
      </c>
      <c r="M5" s="25" t="str">
        <f t="shared" si="0"/>
        <v>115675</v>
      </c>
      <c r="N5" t="str">
        <f>_xlfn.TEXTAFTER(B5, ",")</f>
        <v xml:space="preserve"> 4" DEF (NH3) </v>
      </c>
      <c r="O5" t="b">
        <f t="shared" si="2"/>
        <v>0</v>
      </c>
      <c r="S5" t="s">
        <v>96</v>
      </c>
      <c r="T5">
        <v>115675</v>
      </c>
    </row>
    <row r="6" spans="1:20" ht="45" x14ac:dyDescent="0.25">
      <c r="A6" s="16" t="s">
        <v>1272</v>
      </c>
      <c r="B6" s="16" t="s">
        <v>1290</v>
      </c>
      <c r="C6" s="16" t="s">
        <v>97</v>
      </c>
      <c r="D6" s="16" t="s">
        <v>1274</v>
      </c>
      <c r="E6" s="16" t="s">
        <v>1291</v>
      </c>
      <c r="F6" s="16" t="s">
        <v>1276</v>
      </c>
      <c r="G6" s="16" t="s">
        <v>1277</v>
      </c>
      <c r="H6" s="16" t="s">
        <v>1276</v>
      </c>
      <c r="I6" s="16" t="s">
        <v>1292</v>
      </c>
      <c r="J6" s="16" t="s">
        <v>1279</v>
      </c>
      <c r="K6" s="16" t="s">
        <v>1276</v>
      </c>
      <c r="L6" s="16" t="s">
        <v>1280</v>
      </c>
      <c r="M6" s="25" t="str">
        <f t="shared" si="0"/>
        <v>121771</v>
      </c>
      <c r="N6" t="str">
        <f t="shared" si="1"/>
        <v xml:space="preserve"> 4" DEF2 + IDOD </v>
      </c>
      <c r="O6" t="b">
        <f t="shared" si="2"/>
        <v>0</v>
      </c>
      <c r="S6" t="s">
        <v>113</v>
      </c>
      <c r="T6">
        <v>121771</v>
      </c>
    </row>
    <row r="7" spans="1:20" ht="45" x14ac:dyDescent="0.25">
      <c r="A7" s="16" t="s">
        <v>1272</v>
      </c>
      <c r="B7" s="16" t="s">
        <v>1293</v>
      </c>
      <c r="C7" s="16" t="s">
        <v>124</v>
      </c>
      <c r="D7" s="16" t="s">
        <v>1274</v>
      </c>
      <c r="E7" s="16" t="s">
        <v>1294</v>
      </c>
      <c r="F7" s="16" t="s">
        <v>1276</v>
      </c>
      <c r="G7" s="16" t="s">
        <v>1277</v>
      </c>
      <c r="H7" s="16" t="s">
        <v>1276</v>
      </c>
      <c r="I7" s="16" t="s">
        <v>1295</v>
      </c>
      <c r="J7" s="16" t="s">
        <v>1279</v>
      </c>
      <c r="K7" s="16" t="s">
        <v>1276</v>
      </c>
      <c r="L7" s="16" t="s">
        <v>1280</v>
      </c>
      <c r="M7" s="25" t="str">
        <f t="shared" si="0"/>
        <v>121770</v>
      </c>
      <c r="N7" t="str">
        <f>_xlfn.TEXTAFTER(B7, ",")</f>
        <v xml:space="preserve"> 4" MDS FLEX MFL2+DEF2+IDOD </v>
      </c>
      <c r="O7" t="b">
        <f t="shared" si="2"/>
        <v>0</v>
      </c>
      <c r="S7" t="s">
        <v>123</v>
      </c>
      <c r="T7">
        <v>121770</v>
      </c>
    </row>
    <row r="8" spans="1:20" ht="45" x14ac:dyDescent="0.25">
      <c r="A8" s="16" t="s">
        <v>1272</v>
      </c>
      <c r="B8" s="18" t="s">
        <v>1296</v>
      </c>
      <c r="C8" s="18" t="s">
        <v>159</v>
      </c>
      <c r="D8" s="18" t="s">
        <v>1274</v>
      </c>
      <c r="E8" s="18" t="s">
        <v>1297</v>
      </c>
      <c r="F8" s="18" t="s">
        <v>1276</v>
      </c>
      <c r="G8" s="18" t="s">
        <v>1277</v>
      </c>
      <c r="H8" s="18" t="s">
        <v>1276</v>
      </c>
      <c r="I8" s="18" t="s">
        <v>1298</v>
      </c>
      <c r="J8" s="18" t="s">
        <v>1279</v>
      </c>
      <c r="K8" s="18" t="s">
        <v>1276</v>
      </c>
      <c r="L8" s="18" t="s">
        <v>1280</v>
      </c>
      <c r="M8" s="31" t="str">
        <f t="shared" si="0"/>
        <v>102783</v>
      </c>
      <c r="N8" s="19" t="str">
        <f>_xlfn.TEXTAFTER(B8, ",")</f>
        <v xml:space="preserve"> 6" DEF (NH3) </v>
      </c>
      <c r="O8" s="19" t="b">
        <f t="shared" si="2"/>
        <v>0</v>
      </c>
      <c r="S8" t="s">
        <v>185</v>
      </c>
      <c r="T8">
        <v>102783</v>
      </c>
    </row>
    <row r="9" spans="1:20" ht="45" x14ac:dyDescent="0.25">
      <c r="A9" s="16" t="s">
        <v>1272</v>
      </c>
      <c r="B9" s="18" t="s">
        <v>1299</v>
      </c>
      <c r="C9" s="18" t="s">
        <v>201</v>
      </c>
      <c r="D9" s="18" t="s">
        <v>1274</v>
      </c>
      <c r="E9" s="18" t="s">
        <v>1300</v>
      </c>
      <c r="F9" s="18" t="s">
        <v>1276</v>
      </c>
      <c r="G9" s="18" t="s">
        <v>1277</v>
      </c>
      <c r="H9" s="18" t="s">
        <v>1276</v>
      </c>
      <c r="I9" s="18" t="s">
        <v>1301</v>
      </c>
      <c r="J9" s="18" t="s">
        <v>1279</v>
      </c>
      <c r="K9" s="18" t="s">
        <v>1276</v>
      </c>
      <c r="L9" s="18" t="s">
        <v>1280</v>
      </c>
      <c r="M9" s="31" t="str">
        <f t="shared" si="0"/>
        <v>106496</v>
      </c>
      <c r="N9" s="19" t="str">
        <f t="shared" si="1"/>
        <v xml:space="preserve"> 6" MFL3 (Hybrid)+XYZ </v>
      </c>
      <c r="O9" s="19" t="b">
        <f t="shared" si="2"/>
        <v>1</v>
      </c>
      <c r="S9" t="s">
        <v>200</v>
      </c>
      <c r="T9">
        <v>106496</v>
      </c>
    </row>
    <row r="10" spans="1:20" ht="45" x14ac:dyDescent="0.25">
      <c r="A10" s="16" t="s">
        <v>1272</v>
      </c>
      <c r="B10" s="18" t="s">
        <v>1302</v>
      </c>
      <c r="C10" s="18" t="s">
        <v>191</v>
      </c>
      <c r="D10" s="18" t="s">
        <v>1274</v>
      </c>
      <c r="E10" s="18" t="s">
        <v>1303</v>
      </c>
      <c r="F10" s="18" t="s">
        <v>1276</v>
      </c>
      <c r="G10" s="18" t="s">
        <v>1277</v>
      </c>
      <c r="H10" s="18" t="s">
        <v>1276</v>
      </c>
      <c r="I10" s="18" t="s">
        <v>1304</v>
      </c>
      <c r="J10" s="18" t="s">
        <v>1279</v>
      </c>
      <c r="K10" s="18" t="s">
        <v>1276</v>
      </c>
      <c r="L10" s="18" t="s">
        <v>1280</v>
      </c>
      <c r="M10" s="31" t="str">
        <f t="shared" si="0"/>
        <v>112200-02-01-01-01</v>
      </c>
      <c r="N10" s="19" t="str">
        <f t="shared" si="1"/>
        <v xml:space="preserve"> 6" MFL4+DEF2+SpirALL® MFL Dual Drive </v>
      </c>
      <c r="O10" s="19" t="b">
        <f t="shared" si="2"/>
        <v>0</v>
      </c>
      <c r="S10" t="s">
        <v>222</v>
      </c>
      <c r="T10" s="25" t="s">
        <v>220</v>
      </c>
    </row>
    <row r="11" spans="1:20" ht="45" x14ac:dyDescent="0.25">
      <c r="A11" s="16" t="s">
        <v>1272</v>
      </c>
      <c r="B11" s="18" t="s">
        <v>1305</v>
      </c>
      <c r="C11" s="18" t="s">
        <v>147</v>
      </c>
      <c r="D11" s="18" t="s">
        <v>1274</v>
      </c>
      <c r="E11" s="18" t="s">
        <v>1306</v>
      </c>
      <c r="F11" s="18" t="s">
        <v>1276</v>
      </c>
      <c r="G11" s="18" t="s">
        <v>1277</v>
      </c>
      <c r="H11" s="18" t="s">
        <v>1276</v>
      </c>
      <c r="I11" s="18" t="s">
        <v>1307</v>
      </c>
      <c r="J11" s="18" t="s">
        <v>1279</v>
      </c>
      <c r="K11" s="18" t="s">
        <v>1276</v>
      </c>
      <c r="L11" s="18" t="s">
        <v>1280</v>
      </c>
      <c r="M11" s="31" t="str">
        <f t="shared" si="0"/>
        <v>113403</v>
      </c>
      <c r="N11" s="19" t="str">
        <f t="shared" si="1"/>
        <v xml:space="preserve"> 6" MFL+DEF (NH3) </v>
      </c>
      <c r="O11" s="19" t="b">
        <f t="shared" si="2"/>
        <v>0</v>
      </c>
      <c r="S11" t="s">
        <v>225</v>
      </c>
      <c r="T11">
        <v>113403</v>
      </c>
    </row>
    <row r="12" spans="1:20" ht="45" x14ac:dyDescent="0.25">
      <c r="A12" s="16" t="s">
        <v>1272</v>
      </c>
      <c r="B12" s="18" t="s">
        <v>1308</v>
      </c>
      <c r="C12" s="18" t="s">
        <v>171</v>
      </c>
      <c r="D12" s="18" t="s">
        <v>1274</v>
      </c>
      <c r="E12" s="18" t="s">
        <v>1309</v>
      </c>
      <c r="F12" s="18" t="s">
        <v>1276</v>
      </c>
      <c r="G12" s="18" t="s">
        <v>1277</v>
      </c>
      <c r="H12" s="18" t="s">
        <v>1276</v>
      </c>
      <c r="I12" s="18" t="s">
        <v>1310</v>
      </c>
      <c r="J12" s="18" t="s">
        <v>1279</v>
      </c>
      <c r="K12" s="18" t="s">
        <v>1276</v>
      </c>
      <c r="L12" s="18" t="s">
        <v>1280</v>
      </c>
      <c r="M12" s="31" t="str">
        <f t="shared" si="0"/>
        <v>113411</v>
      </c>
      <c r="N12" s="19" t="str">
        <f t="shared" si="1"/>
        <v xml:space="preserve"> 6" MFL2 </v>
      </c>
      <c r="O12" s="19" t="b">
        <f t="shared" si="2"/>
        <v>0</v>
      </c>
      <c r="S12" t="s">
        <v>1311</v>
      </c>
      <c r="T12">
        <v>113411</v>
      </c>
    </row>
    <row r="13" spans="1:20" ht="45" x14ac:dyDescent="0.25">
      <c r="A13" s="16" t="s">
        <v>1272</v>
      </c>
      <c r="B13" s="18" t="s">
        <v>1312</v>
      </c>
      <c r="C13" s="18" t="s">
        <v>171</v>
      </c>
      <c r="D13" s="18" t="s">
        <v>1274</v>
      </c>
      <c r="E13" s="18" t="s">
        <v>1313</v>
      </c>
      <c r="F13" s="18" t="s">
        <v>1276</v>
      </c>
      <c r="G13" s="18" t="s">
        <v>1277</v>
      </c>
      <c r="H13" s="18" t="s">
        <v>1276</v>
      </c>
      <c r="I13" s="18" t="s">
        <v>1314</v>
      </c>
      <c r="J13" s="18" t="s">
        <v>1279</v>
      </c>
      <c r="K13" s="18" t="s">
        <v>1276</v>
      </c>
      <c r="L13" s="18" t="s">
        <v>1280</v>
      </c>
      <c r="M13" s="31" t="str">
        <f t="shared" si="0"/>
        <v>116459</v>
      </c>
      <c r="N13" s="19" t="str">
        <f t="shared" si="1"/>
        <v xml:space="preserve"> 6" MFL3 ATEX </v>
      </c>
      <c r="O13" s="19" t="b">
        <f t="shared" si="2"/>
        <v>0</v>
      </c>
      <c r="S13" t="s">
        <v>1315</v>
      </c>
      <c r="T13">
        <v>116459</v>
      </c>
    </row>
    <row r="14" spans="1:20" ht="45" x14ac:dyDescent="0.25">
      <c r="A14" s="16" t="s">
        <v>1272</v>
      </c>
      <c r="B14" s="18" t="s">
        <v>1316</v>
      </c>
      <c r="C14" s="18" t="s">
        <v>159</v>
      </c>
      <c r="D14" s="18" t="s">
        <v>1274</v>
      </c>
      <c r="E14" s="18" t="s">
        <v>1317</v>
      </c>
      <c r="F14" s="18" t="s">
        <v>1276</v>
      </c>
      <c r="G14" s="18" t="s">
        <v>1277</v>
      </c>
      <c r="H14" s="18" t="s">
        <v>1276</v>
      </c>
      <c r="I14" s="18" t="s">
        <v>1318</v>
      </c>
      <c r="J14" s="18" t="s">
        <v>1279</v>
      </c>
      <c r="K14" s="18" t="s">
        <v>1276</v>
      </c>
      <c r="L14" s="18" t="s">
        <v>1280</v>
      </c>
      <c r="M14" s="31" t="str">
        <f t="shared" si="0"/>
        <v>116738</v>
      </c>
      <c r="N14" s="19" t="str">
        <f t="shared" si="1"/>
        <v xml:space="preserve"> 6" DEF ATEX </v>
      </c>
      <c r="O14" s="19" t="b">
        <f t="shared" si="2"/>
        <v>0</v>
      </c>
      <c r="S14" t="s">
        <v>1319</v>
      </c>
      <c r="T14">
        <v>116738</v>
      </c>
    </row>
    <row r="15" spans="1:20" ht="60" x14ac:dyDescent="0.25">
      <c r="A15" s="16" t="s">
        <v>1272</v>
      </c>
      <c r="B15" s="18" t="s">
        <v>1320</v>
      </c>
      <c r="C15" s="18" t="s">
        <v>171</v>
      </c>
      <c r="D15" s="18" t="s">
        <v>1274</v>
      </c>
      <c r="E15" s="18" t="s">
        <v>1321</v>
      </c>
      <c r="F15" s="18" t="s">
        <v>1276</v>
      </c>
      <c r="G15" s="18" t="s">
        <v>1277</v>
      </c>
      <c r="H15" s="18" t="s">
        <v>1276</v>
      </c>
      <c r="I15" s="18" t="s">
        <v>1322</v>
      </c>
      <c r="J15" s="18" t="s">
        <v>1279</v>
      </c>
      <c r="K15" s="18" t="s">
        <v>1276</v>
      </c>
      <c r="L15" s="18" t="s">
        <v>1280</v>
      </c>
      <c r="M15" s="31" t="str">
        <f t="shared" si="0"/>
        <v>116837</v>
      </c>
      <c r="N15" s="19" t="str">
        <f t="shared" si="1"/>
        <v xml:space="preserve"> 6" MFL (xHD) </v>
      </c>
      <c r="O15" s="19" t="b">
        <f t="shared" si="2"/>
        <v>0</v>
      </c>
      <c r="S15" t="s">
        <v>209</v>
      </c>
      <c r="T15">
        <v>116837</v>
      </c>
    </row>
    <row r="16" spans="1:20" ht="45" x14ac:dyDescent="0.25">
      <c r="A16" s="16" t="s">
        <v>1272</v>
      </c>
      <c r="B16" s="18" t="s">
        <v>1323</v>
      </c>
      <c r="C16" s="18" t="s">
        <v>171</v>
      </c>
      <c r="D16" s="18" t="s">
        <v>1274</v>
      </c>
      <c r="E16" s="18" t="s">
        <v>1324</v>
      </c>
      <c r="F16" s="18" t="s">
        <v>1276</v>
      </c>
      <c r="G16" s="18" t="s">
        <v>1277</v>
      </c>
      <c r="H16" s="18" t="s">
        <v>1276</v>
      </c>
      <c r="I16" s="18" t="s">
        <v>1325</v>
      </c>
      <c r="J16" s="18" t="s">
        <v>1279</v>
      </c>
      <c r="K16" s="18" t="s">
        <v>1276</v>
      </c>
      <c r="L16" s="18" t="s">
        <v>1280</v>
      </c>
      <c r="M16" s="31" t="str">
        <f t="shared" si="0"/>
        <v>06_002</v>
      </c>
      <c r="N16" s="19" t="str">
        <f t="shared" si="1"/>
        <v xml:space="preserve"> 6" MFL (NH3) </v>
      </c>
      <c r="O16" s="19" t="b">
        <f t="shared" si="2"/>
        <v>0</v>
      </c>
      <c r="S16" t="s">
        <v>181</v>
      </c>
      <c r="T16" s="25" t="s">
        <v>179</v>
      </c>
    </row>
    <row r="17" spans="1:20" ht="45" x14ac:dyDescent="0.25">
      <c r="A17" s="16" t="s">
        <v>1272</v>
      </c>
      <c r="B17" s="18" t="s">
        <v>1326</v>
      </c>
      <c r="C17" s="18" t="s">
        <v>159</v>
      </c>
      <c r="D17" s="18" t="s">
        <v>1274</v>
      </c>
      <c r="E17" s="18" t="s">
        <v>1327</v>
      </c>
      <c r="F17" s="18" t="s">
        <v>1276</v>
      </c>
      <c r="G17" s="18" t="s">
        <v>1277</v>
      </c>
      <c r="H17" s="18" t="s">
        <v>1276</v>
      </c>
      <c r="I17" s="18" t="s">
        <v>1328</v>
      </c>
      <c r="J17" s="18" t="s">
        <v>1279</v>
      </c>
      <c r="K17" s="18" t="s">
        <v>1276</v>
      </c>
      <c r="L17" s="18" t="s">
        <v>1280</v>
      </c>
      <c r="M17" s="31" t="str">
        <f t="shared" si="0"/>
        <v>06_6000</v>
      </c>
      <c r="N17" s="19" t="str">
        <f>_xlfn.TEXTAFTER(B17, ",")</f>
        <v xml:space="preserve"> 6" DEF (1.5D) </v>
      </c>
      <c r="O17" s="19" t="b">
        <f t="shared" si="2"/>
        <v>0</v>
      </c>
      <c r="S17" t="s">
        <v>158</v>
      </c>
      <c r="T17" s="25" t="s">
        <v>156</v>
      </c>
    </row>
    <row r="18" spans="1:20" ht="45" x14ac:dyDescent="0.25">
      <c r="A18" s="16" t="s">
        <v>1272</v>
      </c>
      <c r="B18" s="18" t="s">
        <v>1329</v>
      </c>
      <c r="C18" s="18" t="s">
        <v>191</v>
      </c>
      <c r="D18" s="18" t="s">
        <v>1274</v>
      </c>
      <c r="E18" s="18" t="s">
        <v>1330</v>
      </c>
      <c r="F18" s="18" t="s">
        <v>1276</v>
      </c>
      <c r="G18" s="18" t="s">
        <v>1277</v>
      </c>
      <c r="H18" s="18" t="s">
        <v>1276</v>
      </c>
      <c r="I18" s="18" t="s">
        <v>1331</v>
      </c>
      <c r="J18" s="18" t="s">
        <v>1279</v>
      </c>
      <c r="K18" s="18" t="s">
        <v>1276</v>
      </c>
      <c r="L18" s="18" t="s">
        <v>1280</v>
      </c>
      <c r="M18" s="31" t="str">
        <f t="shared" si="0"/>
        <v>112200-01-01-02-01</v>
      </c>
      <c r="N18" s="19" t="str">
        <f t="shared" si="1"/>
        <v xml:space="preserve"> 6" MFL4+Brush DEF2+SpirALL® MFL </v>
      </c>
      <c r="O18" s="19" t="b">
        <f t="shared" si="2"/>
        <v>0</v>
      </c>
      <c r="S18" t="s">
        <v>232</v>
      </c>
      <c r="T18" s="25" t="s">
        <v>230</v>
      </c>
    </row>
    <row r="19" spans="1:20" ht="45" x14ac:dyDescent="0.25">
      <c r="A19" s="16" t="s">
        <v>1272</v>
      </c>
      <c r="B19" s="18" t="s">
        <v>1332</v>
      </c>
      <c r="C19" s="18" t="s">
        <v>191</v>
      </c>
      <c r="D19" s="18" t="s">
        <v>1274</v>
      </c>
      <c r="E19" s="18" t="s">
        <v>1333</v>
      </c>
      <c r="F19" s="18" t="s">
        <v>1276</v>
      </c>
      <c r="G19" s="18" t="s">
        <v>1277</v>
      </c>
      <c r="H19" s="18" t="s">
        <v>1276</v>
      </c>
      <c r="I19" s="18" t="s">
        <v>1334</v>
      </c>
      <c r="J19" s="18" t="s">
        <v>1279</v>
      </c>
      <c r="K19" s="18" t="s">
        <v>1276</v>
      </c>
      <c r="L19" s="18" t="s">
        <v>1280</v>
      </c>
      <c r="M19" s="31" t="str">
        <f t="shared" si="0"/>
        <v>112200-01-01-01-01</v>
      </c>
      <c r="N19" s="19" t="str">
        <f>_xlfn.TEXTAFTER(B19, ",")</f>
        <v xml:space="preserve"> 6" MFL4+DEF2+SMFL </v>
      </c>
      <c r="O19" s="19" t="b">
        <f t="shared" si="2"/>
        <v>0</v>
      </c>
      <c r="S19" t="s">
        <v>190</v>
      </c>
      <c r="T19" s="25" t="s">
        <v>187</v>
      </c>
    </row>
    <row r="20" spans="1:20" ht="45" x14ac:dyDescent="0.25">
      <c r="A20" s="16" t="s">
        <v>1272</v>
      </c>
      <c r="B20" s="18" t="s">
        <v>1335</v>
      </c>
      <c r="C20" s="18" t="s">
        <v>201</v>
      </c>
      <c r="D20" s="18" t="s">
        <v>1274</v>
      </c>
      <c r="E20" s="18" t="s">
        <v>1336</v>
      </c>
      <c r="F20" s="18" t="s">
        <v>1276</v>
      </c>
      <c r="G20" s="18" t="s">
        <v>1277</v>
      </c>
      <c r="H20" s="18" t="s">
        <v>1276</v>
      </c>
      <c r="I20" s="18" t="s">
        <v>1337</v>
      </c>
      <c r="J20" s="18" t="s">
        <v>1279</v>
      </c>
      <c r="K20" s="18" t="s">
        <v>1276</v>
      </c>
      <c r="L20" s="18" t="s">
        <v>1280</v>
      </c>
      <c r="M20" s="31" t="str">
        <f t="shared" si="0"/>
        <v>119403</v>
      </c>
      <c r="N20" s="19" t="str">
        <f>_xlfn.TEXTAFTER(B20, ",")</f>
        <v xml:space="preserve"> 6" MFL5+XYZ </v>
      </c>
      <c r="O20" s="19" t="b">
        <f t="shared" si="2"/>
        <v>1</v>
      </c>
      <c r="S20" t="s">
        <v>218</v>
      </c>
      <c r="T20">
        <v>119403</v>
      </c>
    </row>
    <row r="21" spans="1:20" ht="45" x14ac:dyDescent="0.25">
      <c r="A21" s="16" t="s">
        <v>1272</v>
      </c>
      <c r="B21" s="18" t="s">
        <v>1338</v>
      </c>
      <c r="C21" s="18" t="s">
        <v>166</v>
      </c>
      <c r="D21" s="18" t="s">
        <v>1274</v>
      </c>
      <c r="E21" s="18" t="s">
        <v>1339</v>
      </c>
      <c r="F21" s="18" t="s">
        <v>1276</v>
      </c>
      <c r="G21" s="18" t="s">
        <v>1277</v>
      </c>
      <c r="H21" s="18" t="s">
        <v>1276</v>
      </c>
      <c r="I21" s="18" t="s">
        <v>1340</v>
      </c>
      <c r="J21" s="18" t="s">
        <v>1279</v>
      </c>
      <c r="K21" s="18" t="s">
        <v>1276</v>
      </c>
      <c r="L21" s="18" t="s">
        <v>1280</v>
      </c>
      <c r="M21" s="31" t="str">
        <f t="shared" si="0"/>
        <v>105681</v>
      </c>
      <c r="N21" s="19" t="str">
        <f t="shared" si="1"/>
        <v xml:space="preserve"> 6" LGT </v>
      </c>
      <c r="O21" s="19" t="b">
        <f t="shared" si="2"/>
        <v>0</v>
      </c>
      <c r="S21" t="s">
        <v>228</v>
      </c>
      <c r="T21">
        <v>105681</v>
      </c>
    </row>
    <row r="22" spans="1:20" ht="45" x14ac:dyDescent="0.25">
      <c r="A22" s="16" t="s">
        <v>1272</v>
      </c>
      <c r="B22" s="18" t="s">
        <v>1341</v>
      </c>
      <c r="C22" s="18" t="s">
        <v>166</v>
      </c>
      <c r="D22" s="18" t="s">
        <v>1274</v>
      </c>
      <c r="E22" s="18" t="s">
        <v>1342</v>
      </c>
      <c r="F22" s="18" t="s">
        <v>1276</v>
      </c>
      <c r="G22" s="18" t="s">
        <v>1277</v>
      </c>
      <c r="H22" s="18" t="s">
        <v>1276</v>
      </c>
      <c r="I22" s="18" t="s">
        <v>1343</v>
      </c>
      <c r="J22" s="18" t="s">
        <v>1279</v>
      </c>
      <c r="K22" s="18" t="s">
        <v>1276</v>
      </c>
      <c r="L22" s="18" t="s">
        <v>1280</v>
      </c>
      <c r="M22" s="31" t="str">
        <f t="shared" si="0"/>
        <v>103829</v>
      </c>
      <c r="N22" s="19" t="str">
        <f t="shared" si="1"/>
        <v xml:space="preserve"> 6" LGT Ammonia </v>
      </c>
      <c r="O22" s="19" t="b">
        <f t="shared" si="2"/>
        <v>0</v>
      </c>
      <c r="S22" t="s">
        <v>165</v>
      </c>
      <c r="T22">
        <v>103829</v>
      </c>
    </row>
    <row r="23" spans="1:20" ht="45" x14ac:dyDescent="0.25">
      <c r="A23" s="16" t="s">
        <v>1272</v>
      </c>
      <c r="B23" s="18" t="s">
        <v>1344</v>
      </c>
      <c r="C23" s="18" t="s">
        <v>147</v>
      </c>
      <c r="D23" s="18" t="s">
        <v>1274</v>
      </c>
      <c r="E23" s="18" t="s">
        <v>1345</v>
      </c>
      <c r="F23" s="18" t="s">
        <v>1276</v>
      </c>
      <c r="G23" s="18" t="s">
        <v>1277</v>
      </c>
      <c r="H23" s="18" t="s">
        <v>1276</v>
      </c>
      <c r="I23" s="18" t="s">
        <v>1346</v>
      </c>
      <c r="J23" s="18" t="s">
        <v>1279</v>
      </c>
      <c r="K23" s="18" t="s">
        <v>1276</v>
      </c>
      <c r="L23" s="18" t="s">
        <v>1280</v>
      </c>
      <c r="M23" s="31" t="str">
        <f t="shared" si="0"/>
        <v>119785</v>
      </c>
      <c r="N23" s="19" t="str">
        <f t="shared" si="1"/>
        <v xml:space="preserve"> 6" MFL+DEF </v>
      </c>
      <c r="O23" s="19" t="b">
        <f t="shared" si="2"/>
        <v>0</v>
      </c>
      <c r="S23" t="s">
        <v>204</v>
      </c>
      <c r="T23">
        <v>119785</v>
      </c>
    </row>
    <row r="24" spans="1:20" ht="45" x14ac:dyDescent="0.25">
      <c r="A24" s="16" t="s">
        <v>1272</v>
      </c>
      <c r="B24" s="18" t="s">
        <v>1347</v>
      </c>
      <c r="C24" s="18" t="s">
        <v>171</v>
      </c>
      <c r="D24" s="18" t="s">
        <v>1274</v>
      </c>
      <c r="E24" s="18" t="s">
        <v>1348</v>
      </c>
      <c r="F24" s="18" t="s">
        <v>1276</v>
      </c>
      <c r="G24" s="18" t="s">
        <v>1277</v>
      </c>
      <c r="H24" s="18" t="s">
        <v>1276</v>
      </c>
      <c r="I24" s="18" t="s">
        <v>1349</v>
      </c>
      <c r="J24" s="18" t="s">
        <v>1279</v>
      </c>
      <c r="K24" s="18" t="s">
        <v>1276</v>
      </c>
      <c r="L24" s="18" t="s">
        <v>1280</v>
      </c>
      <c r="M24" s="31" t="str">
        <f t="shared" si="0"/>
        <v>122434</v>
      </c>
      <c r="N24" s="19" t="str">
        <f t="shared" si="1"/>
        <v xml:space="preserve"> 6" MFL5 </v>
      </c>
      <c r="O24" s="19" t="b">
        <f t="shared" si="2"/>
        <v>0</v>
      </c>
      <c r="S24" t="s">
        <v>170</v>
      </c>
      <c r="T24">
        <v>122434</v>
      </c>
    </row>
    <row r="25" spans="1:20" ht="60" x14ac:dyDescent="0.25">
      <c r="A25" s="16" t="s">
        <v>1272</v>
      </c>
      <c r="B25" s="18" t="s">
        <v>1350</v>
      </c>
      <c r="C25" s="18" t="s">
        <v>196</v>
      </c>
      <c r="D25" s="18" t="s">
        <v>1274</v>
      </c>
      <c r="E25" s="18" t="s">
        <v>1351</v>
      </c>
      <c r="F25" s="18" t="s">
        <v>1276</v>
      </c>
      <c r="G25" s="18" t="s">
        <v>1277</v>
      </c>
      <c r="H25" s="18" t="s">
        <v>1276</v>
      </c>
      <c r="I25" s="18" t="s">
        <v>1352</v>
      </c>
      <c r="J25" s="18" t="s">
        <v>1279</v>
      </c>
      <c r="K25" s="18" t="s">
        <v>1276</v>
      </c>
      <c r="L25" s="18" t="s">
        <v>1280</v>
      </c>
      <c r="M25" s="31" t="str">
        <f t="shared" si="0"/>
        <v>122975</v>
      </c>
      <c r="N25" s="19" t="str">
        <f t="shared" si="1"/>
        <v xml:space="preserve"> 6" DEF+XYZ </v>
      </c>
      <c r="O25" s="19" t="b">
        <f t="shared" si="2"/>
        <v>1</v>
      </c>
      <c r="S25" t="s">
        <v>195</v>
      </c>
      <c r="T25">
        <v>122975</v>
      </c>
    </row>
    <row r="26" spans="1:20" ht="45" x14ac:dyDescent="0.25">
      <c r="A26" s="16" t="s">
        <v>1272</v>
      </c>
      <c r="B26" s="18" t="s">
        <v>1353</v>
      </c>
      <c r="C26" s="18" t="s">
        <v>147</v>
      </c>
      <c r="D26" s="18" t="s">
        <v>1274</v>
      </c>
      <c r="E26" s="18" t="s">
        <v>1354</v>
      </c>
      <c r="F26" s="18" t="s">
        <v>1276</v>
      </c>
      <c r="G26" s="18" t="s">
        <v>1277</v>
      </c>
      <c r="H26" s="18" t="s">
        <v>1276</v>
      </c>
      <c r="I26" s="18" t="s">
        <v>1355</v>
      </c>
      <c r="J26" s="18" t="s">
        <v>1279</v>
      </c>
      <c r="K26" s="18" t="s">
        <v>1276</v>
      </c>
      <c r="L26" s="18" t="s">
        <v>1280</v>
      </c>
      <c r="M26" s="31" t="str">
        <f t="shared" si="0"/>
        <v>124750</v>
      </c>
      <c r="N26" s="19" t="str">
        <f>_xlfn.TEXTAFTER(B26, ",")</f>
        <v xml:space="preserve"> 6" MFL+DEF (xHD) </v>
      </c>
      <c r="O26" s="19" t="b">
        <f t="shared" si="2"/>
        <v>0</v>
      </c>
      <c r="S26" t="s">
        <v>146</v>
      </c>
      <c r="T26">
        <v>124750</v>
      </c>
    </row>
    <row r="27" spans="1:20" ht="45" x14ac:dyDescent="0.25">
      <c r="A27" s="16" t="s">
        <v>1272</v>
      </c>
      <c r="B27" s="18" t="s">
        <v>1356</v>
      </c>
      <c r="C27" s="18" t="s">
        <v>214</v>
      </c>
      <c r="D27" s="18" t="s">
        <v>1274</v>
      </c>
      <c r="E27" s="18" t="s">
        <v>1357</v>
      </c>
      <c r="F27" s="18" t="s">
        <v>1276</v>
      </c>
      <c r="G27" s="18" t="s">
        <v>1277</v>
      </c>
      <c r="H27" s="18" t="s">
        <v>1276</v>
      </c>
      <c r="I27" s="18" t="s">
        <v>1358</v>
      </c>
      <c r="J27" s="18" t="s">
        <v>1279</v>
      </c>
      <c r="K27" s="18" t="s">
        <v>1276</v>
      </c>
      <c r="L27" s="18" t="s">
        <v>1280</v>
      </c>
      <c r="M27" s="31" t="str">
        <f>_xlfn.TEXTBEFORE(B27, ",")</f>
        <v>127231</v>
      </c>
      <c r="N27" s="19" t="str">
        <f t="shared" si="1"/>
        <v xml:space="preserve"> 6" MFL+DEF+XYZ (xHD) </v>
      </c>
      <c r="O27" s="19" t="b">
        <f t="shared" si="2"/>
        <v>1</v>
      </c>
      <c r="S27" t="s">
        <v>213</v>
      </c>
      <c r="T27">
        <v>127231</v>
      </c>
    </row>
    <row r="28" spans="1:20" ht="45" x14ac:dyDescent="0.25">
      <c r="A28" s="16" t="s">
        <v>1272</v>
      </c>
      <c r="B28" s="18" t="s">
        <v>1359</v>
      </c>
      <c r="C28" s="18" t="s">
        <v>159</v>
      </c>
      <c r="D28" s="18" t="s">
        <v>1274</v>
      </c>
      <c r="E28" s="18" t="s">
        <v>1360</v>
      </c>
      <c r="F28" s="18" t="s">
        <v>1276</v>
      </c>
      <c r="G28" s="18" t="s">
        <v>1277</v>
      </c>
      <c r="H28" s="18" t="s">
        <v>1276</v>
      </c>
      <c r="I28" s="18" t="s">
        <v>1361</v>
      </c>
      <c r="J28" s="18" t="s">
        <v>1279</v>
      </c>
      <c r="K28" s="18" t="s">
        <v>1276</v>
      </c>
      <c r="L28" s="18" t="s">
        <v>1280</v>
      </c>
      <c r="M28" s="31" t="str">
        <f t="shared" si="0"/>
        <v>126981</v>
      </c>
      <c r="N28" s="19" t="str">
        <f t="shared" si="1"/>
        <v xml:space="preserve"> 6" DEF (xHD) </v>
      </c>
      <c r="O28" s="19" t="b">
        <f t="shared" si="2"/>
        <v>0</v>
      </c>
      <c r="S28" t="s">
        <v>234</v>
      </c>
      <c r="T28">
        <v>126981</v>
      </c>
    </row>
    <row r="29" spans="1:20" ht="45" x14ac:dyDescent="0.25">
      <c r="A29" s="16" t="s">
        <v>1272</v>
      </c>
      <c r="B29" s="18" t="s">
        <v>1362</v>
      </c>
      <c r="C29" s="18" t="s">
        <v>177</v>
      </c>
      <c r="D29" s="18" t="s">
        <v>1274</v>
      </c>
      <c r="E29" s="18" t="s">
        <v>1363</v>
      </c>
      <c r="F29" s="18" t="s">
        <v>1276</v>
      </c>
      <c r="G29" s="18" t="s">
        <v>1277</v>
      </c>
      <c r="H29" s="18" t="s">
        <v>1276</v>
      </c>
      <c r="I29" s="18" t="s">
        <v>1364</v>
      </c>
      <c r="J29" s="18" t="s">
        <v>1279</v>
      </c>
      <c r="K29" s="18" t="s">
        <v>1276</v>
      </c>
      <c r="L29" s="18" t="s">
        <v>1280</v>
      </c>
      <c r="M29" s="31" t="str">
        <f t="shared" si="0"/>
        <v>112200-01-00-01-01</v>
      </c>
      <c r="N29" s="19" t="str">
        <f>_xlfn.TEXTAFTER(B29, ",")</f>
        <v xml:space="preserve"> 6" MDS FLEX MFL4+DEF2 </v>
      </c>
      <c r="O29" s="19" t="b">
        <f t="shared" si="2"/>
        <v>0</v>
      </c>
      <c r="S29" t="s">
        <v>176</v>
      </c>
      <c r="T29" s="25" t="s">
        <v>174</v>
      </c>
    </row>
    <row r="30" spans="1:20" ht="45" x14ac:dyDescent="0.25">
      <c r="A30" s="16" t="s">
        <v>1272</v>
      </c>
      <c r="B30" s="18" t="s">
        <v>1365</v>
      </c>
      <c r="C30" s="18" t="s">
        <v>141</v>
      </c>
      <c r="D30" s="18" t="s">
        <v>1274</v>
      </c>
      <c r="E30" s="18" t="s">
        <v>1366</v>
      </c>
      <c r="F30" s="18" t="s">
        <v>1276</v>
      </c>
      <c r="G30" s="18" t="s">
        <v>1277</v>
      </c>
      <c r="H30" s="18" t="s">
        <v>1276</v>
      </c>
      <c r="I30" s="18" t="s">
        <v>1367</v>
      </c>
      <c r="J30" s="18" t="s">
        <v>1279</v>
      </c>
      <c r="K30" s="18" t="s">
        <v>1276</v>
      </c>
      <c r="L30" s="18" t="s">
        <v>1280</v>
      </c>
      <c r="M30" s="31" t="str">
        <f t="shared" si="0"/>
        <v>130095</v>
      </c>
      <c r="N30" s="19" t="str">
        <f>_xlfn.TEXTAFTER(B30, ",")</f>
        <v xml:space="preserve"> 6" MFL4+DEF2+SMFL+XYZ </v>
      </c>
      <c r="O30" s="19" t="b">
        <f t="shared" si="2"/>
        <v>1</v>
      </c>
      <c r="S30" t="s">
        <v>140</v>
      </c>
      <c r="T30">
        <v>130095</v>
      </c>
    </row>
    <row r="31" spans="1:20" ht="60" x14ac:dyDescent="0.25">
      <c r="A31" s="16" t="s">
        <v>1272</v>
      </c>
      <c r="B31" s="18" t="s">
        <v>1368</v>
      </c>
      <c r="C31" s="18" t="s">
        <v>154</v>
      </c>
      <c r="D31" s="18" t="s">
        <v>1274</v>
      </c>
      <c r="E31" s="18" t="s">
        <v>1369</v>
      </c>
      <c r="F31" s="18" t="s">
        <v>1276</v>
      </c>
      <c r="G31" s="18" t="s">
        <v>1277</v>
      </c>
      <c r="H31" s="18" t="s">
        <v>1276</v>
      </c>
      <c r="I31" s="18" t="s">
        <v>1370</v>
      </c>
      <c r="J31" s="18" t="s">
        <v>1279</v>
      </c>
      <c r="K31" s="18" t="s">
        <v>1276</v>
      </c>
      <c r="L31" s="18" t="s">
        <v>1280</v>
      </c>
      <c r="M31" s="31" t="str">
        <f t="shared" si="0"/>
        <v>129713</v>
      </c>
      <c r="N31" s="19" t="str">
        <f t="shared" si="1"/>
        <v xml:space="preserve"> 6" MDS FLEX MFL4+DEF2+XYZ </v>
      </c>
      <c r="O31" s="19" t="b">
        <f t="shared" si="2"/>
        <v>1</v>
      </c>
      <c r="S31" t="s">
        <v>153</v>
      </c>
      <c r="T31">
        <v>129713</v>
      </c>
    </row>
    <row r="32" spans="1:20" ht="60" x14ac:dyDescent="0.25">
      <c r="A32" s="16" t="s">
        <v>1272</v>
      </c>
      <c r="B32" s="18" t="s">
        <v>1371</v>
      </c>
      <c r="C32" s="18" t="s">
        <v>201</v>
      </c>
      <c r="D32" s="18" t="s">
        <v>1274</v>
      </c>
      <c r="E32" s="18" t="s">
        <v>1372</v>
      </c>
      <c r="F32" s="18" t="s">
        <v>1276</v>
      </c>
      <c r="G32" s="18" t="s">
        <v>1277</v>
      </c>
      <c r="H32" s="18" t="s">
        <v>1276</v>
      </c>
      <c r="I32" s="18" t="s">
        <v>1373</v>
      </c>
      <c r="J32" s="18" t="s">
        <v>1279</v>
      </c>
      <c r="K32" s="18" t="s">
        <v>1276</v>
      </c>
      <c r="L32" s="18" t="s">
        <v>1280</v>
      </c>
      <c r="M32" s="31" t="str">
        <f t="shared" si="0"/>
        <v>129654</v>
      </c>
      <c r="N32" s="19" t="str">
        <f t="shared" si="1"/>
        <v xml:space="preserve"> 6" MFL+XYZ </v>
      </c>
      <c r="O32" s="19" t="b">
        <f t="shared" si="2"/>
        <v>1</v>
      </c>
      <c r="S32" t="s">
        <v>1374</v>
      </c>
      <c r="T32">
        <v>129654</v>
      </c>
    </row>
    <row r="33" spans="1:20" ht="60" x14ac:dyDescent="0.25">
      <c r="A33" s="16" t="s">
        <v>1272</v>
      </c>
      <c r="B33" s="18" t="s">
        <v>1375</v>
      </c>
      <c r="C33" s="18" t="s">
        <v>196</v>
      </c>
      <c r="D33" s="18" t="s">
        <v>1274</v>
      </c>
      <c r="E33" s="18" t="s">
        <v>1376</v>
      </c>
      <c r="F33" s="18" t="s">
        <v>1276</v>
      </c>
      <c r="G33" s="18" t="s">
        <v>1277</v>
      </c>
      <c r="H33" s="18" t="s">
        <v>1276</v>
      </c>
      <c r="I33" s="18" t="s">
        <v>1377</v>
      </c>
      <c r="J33" s="18" t="s">
        <v>1279</v>
      </c>
      <c r="K33" s="18" t="s">
        <v>1276</v>
      </c>
      <c r="L33" s="18" t="s">
        <v>1280</v>
      </c>
      <c r="M33" s="31" t="str">
        <f t="shared" si="0"/>
        <v>129655</v>
      </c>
      <c r="N33" s="19" t="str">
        <f t="shared" si="1"/>
        <v xml:space="preserve"> 6" DEF+XYZ </v>
      </c>
      <c r="O33" s="19" t="b">
        <f t="shared" si="2"/>
        <v>1</v>
      </c>
      <c r="S33" t="s">
        <v>195</v>
      </c>
      <c r="T33">
        <v>129655</v>
      </c>
    </row>
    <row r="34" spans="1:20" ht="45" x14ac:dyDescent="0.25">
      <c r="A34" s="16" t="s">
        <v>1272</v>
      </c>
      <c r="B34" s="18" t="s">
        <v>1378</v>
      </c>
      <c r="C34" s="18" t="s">
        <v>171</v>
      </c>
      <c r="D34" s="18" t="s">
        <v>1274</v>
      </c>
      <c r="E34" s="18" t="s">
        <v>1379</v>
      </c>
      <c r="F34" s="18" t="s">
        <v>1276</v>
      </c>
      <c r="G34" s="18" t="s">
        <v>1277</v>
      </c>
      <c r="H34" s="18" t="s">
        <v>1276</v>
      </c>
      <c r="I34" s="18" t="s">
        <v>1380</v>
      </c>
      <c r="J34" s="18" t="s">
        <v>1279</v>
      </c>
      <c r="K34" s="18" t="s">
        <v>1276</v>
      </c>
      <c r="L34" s="18" t="s">
        <v>1280</v>
      </c>
      <c r="M34" s="31" t="str">
        <f t="shared" si="0"/>
        <v>129658</v>
      </c>
      <c r="N34" s="19" t="str">
        <f t="shared" si="1"/>
        <v xml:space="preserve"> 6" MFL (xHD) </v>
      </c>
      <c r="O34" s="19" t="b">
        <f t="shared" si="2"/>
        <v>0</v>
      </c>
      <c r="S34" t="s">
        <v>209</v>
      </c>
      <c r="T34">
        <v>129658</v>
      </c>
    </row>
    <row r="35" spans="1:20" ht="45" x14ac:dyDescent="0.25">
      <c r="A35" s="16" t="s">
        <v>1272</v>
      </c>
      <c r="B35" s="16" t="s">
        <v>1381</v>
      </c>
      <c r="C35" s="16" t="s">
        <v>249</v>
      </c>
      <c r="D35" s="16" t="s">
        <v>1274</v>
      </c>
      <c r="E35" s="16" t="s">
        <v>1382</v>
      </c>
      <c r="F35" s="16" t="s">
        <v>1276</v>
      </c>
      <c r="G35" s="16" t="s">
        <v>1277</v>
      </c>
      <c r="H35" s="16" t="s">
        <v>1276</v>
      </c>
      <c r="I35" s="16" t="s">
        <v>1383</v>
      </c>
      <c r="J35" s="16" t="s">
        <v>1279</v>
      </c>
      <c r="K35" s="16" t="s">
        <v>1276</v>
      </c>
      <c r="L35" s="16" t="s">
        <v>1280</v>
      </c>
      <c r="M35" s="25" t="str">
        <f t="shared" si="0"/>
        <v>104863</v>
      </c>
      <c r="N35" t="str">
        <f t="shared" si="1"/>
        <v xml:space="preserve"> 8" DEF3 </v>
      </c>
      <c r="O35" t="b">
        <f t="shared" si="2"/>
        <v>0</v>
      </c>
      <c r="S35" t="s">
        <v>364</v>
      </c>
      <c r="T35">
        <v>104863</v>
      </c>
    </row>
    <row r="36" spans="1:20" ht="45" x14ac:dyDescent="0.25">
      <c r="A36" s="16" t="s">
        <v>1272</v>
      </c>
      <c r="B36" s="16" t="s">
        <v>1384</v>
      </c>
      <c r="C36" s="16" t="s">
        <v>249</v>
      </c>
      <c r="D36" s="16" t="s">
        <v>1274</v>
      </c>
      <c r="E36" s="16" t="s">
        <v>1385</v>
      </c>
      <c r="F36" s="16" t="s">
        <v>1276</v>
      </c>
      <c r="G36" s="16" t="s">
        <v>1277</v>
      </c>
      <c r="H36" s="16" t="s">
        <v>1276</v>
      </c>
      <c r="I36" s="16" t="s">
        <v>1386</v>
      </c>
      <c r="J36" s="16" t="s">
        <v>1279</v>
      </c>
      <c r="K36" s="16" t="s">
        <v>1276</v>
      </c>
      <c r="L36" s="16" t="s">
        <v>1280</v>
      </c>
      <c r="M36" s="25" t="str">
        <f t="shared" si="0"/>
        <v>106626</v>
      </c>
      <c r="N36" t="str">
        <f t="shared" si="1"/>
        <v xml:space="preserve"> 8" DEF (NH3) </v>
      </c>
      <c r="O36" t="b">
        <f t="shared" si="2"/>
        <v>0</v>
      </c>
      <c r="S36" t="s">
        <v>335</v>
      </c>
      <c r="T36">
        <v>106626</v>
      </c>
    </row>
    <row r="37" spans="1:20" ht="45" x14ac:dyDescent="0.25">
      <c r="A37" s="16" t="s">
        <v>1272</v>
      </c>
      <c r="B37" s="16" t="s">
        <v>1387</v>
      </c>
      <c r="C37" s="16" t="s">
        <v>249</v>
      </c>
      <c r="D37" s="16" t="s">
        <v>1274</v>
      </c>
      <c r="E37" s="16" t="s">
        <v>1388</v>
      </c>
      <c r="F37" s="16" t="s">
        <v>1276</v>
      </c>
      <c r="G37" s="16" t="s">
        <v>1277</v>
      </c>
      <c r="H37" s="16" t="s">
        <v>1276</v>
      </c>
      <c r="I37" s="16" t="s">
        <v>1389</v>
      </c>
      <c r="J37" s="16" t="s">
        <v>1279</v>
      </c>
      <c r="K37" s="16" t="s">
        <v>1276</v>
      </c>
      <c r="L37" s="16" t="s">
        <v>1280</v>
      </c>
      <c r="M37" s="25" t="str">
        <f t="shared" si="0"/>
        <v>108323</v>
      </c>
      <c r="N37" t="str">
        <f t="shared" si="1"/>
        <v xml:space="preserve"> 8" DEF3 (Short) </v>
      </c>
      <c r="O37" t="b">
        <f t="shared" si="2"/>
        <v>0</v>
      </c>
      <c r="S37" t="s">
        <v>1390</v>
      </c>
      <c r="T37">
        <v>108323</v>
      </c>
    </row>
    <row r="38" spans="1:20" ht="45" x14ac:dyDescent="0.25">
      <c r="A38" s="16" t="s">
        <v>1272</v>
      </c>
      <c r="B38" s="16" t="s">
        <v>1391</v>
      </c>
      <c r="C38" s="16" t="s">
        <v>249</v>
      </c>
      <c r="D38" s="16" t="s">
        <v>1274</v>
      </c>
      <c r="E38" s="16" t="s">
        <v>1392</v>
      </c>
      <c r="F38" s="16" t="s">
        <v>1276</v>
      </c>
      <c r="G38" s="16" t="s">
        <v>1277</v>
      </c>
      <c r="H38" s="16" t="s">
        <v>1276</v>
      </c>
      <c r="I38" s="16" t="s">
        <v>1393</v>
      </c>
      <c r="J38" s="16" t="s">
        <v>1279</v>
      </c>
      <c r="K38" s="16" t="s">
        <v>1276</v>
      </c>
      <c r="L38" s="16" t="s">
        <v>1280</v>
      </c>
      <c r="M38" s="25" t="str">
        <f t="shared" si="0"/>
        <v>108563</v>
      </c>
      <c r="N38" t="str">
        <f t="shared" si="1"/>
        <v xml:space="preserve"> 8" DEF (xHD) </v>
      </c>
      <c r="O38" t="b">
        <f t="shared" si="2"/>
        <v>0</v>
      </c>
      <c r="S38" t="s">
        <v>248</v>
      </c>
      <c r="T38">
        <v>108563</v>
      </c>
    </row>
    <row r="39" spans="1:20" ht="45" x14ac:dyDescent="0.25">
      <c r="A39" s="16" t="s">
        <v>1272</v>
      </c>
      <c r="B39" s="16" t="s">
        <v>1394</v>
      </c>
      <c r="C39" s="16" t="s">
        <v>283</v>
      </c>
      <c r="D39" s="16" t="s">
        <v>1274</v>
      </c>
      <c r="E39" s="16" t="s">
        <v>1395</v>
      </c>
      <c r="F39" s="16" t="s">
        <v>1276</v>
      </c>
      <c r="G39" s="16" t="s">
        <v>1277</v>
      </c>
      <c r="H39" s="16" t="s">
        <v>1276</v>
      </c>
      <c r="I39" s="16" t="s">
        <v>1396</v>
      </c>
      <c r="J39" s="16" t="s">
        <v>1279</v>
      </c>
      <c r="K39" s="16" t="s">
        <v>1276</v>
      </c>
      <c r="L39" s="16" t="s">
        <v>1280</v>
      </c>
      <c r="M39" s="25" t="str">
        <f t="shared" si="0"/>
        <v>106625</v>
      </c>
      <c r="N39" t="str">
        <f t="shared" si="1"/>
        <v xml:space="preserve"> 8" MFL (3D, NH3) </v>
      </c>
      <c r="O39" t="b">
        <f t="shared" si="2"/>
        <v>0</v>
      </c>
      <c r="S39" t="s">
        <v>319</v>
      </c>
      <c r="T39">
        <v>106625</v>
      </c>
    </row>
    <row r="40" spans="1:20" ht="45" x14ac:dyDescent="0.25">
      <c r="A40" s="16" t="s">
        <v>1272</v>
      </c>
      <c r="B40" s="16" t="s">
        <v>1397</v>
      </c>
      <c r="C40" s="16" t="s">
        <v>283</v>
      </c>
      <c r="D40" s="16" t="s">
        <v>1274</v>
      </c>
      <c r="E40" s="16" t="s">
        <v>1398</v>
      </c>
      <c r="F40" s="16" t="s">
        <v>1276</v>
      </c>
      <c r="G40" s="16" t="s">
        <v>1277</v>
      </c>
      <c r="H40" s="16" t="s">
        <v>1276</v>
      </c>
      <c r="I40" s="16" t="s">
        <v>1399</v>
      </c>
      <c r="J40" s="16" t="s">
        <v>1279</v>
      </c>
      <c r="K40" s="16" t="s">
        <v>1276</v>
      </c>
      <c r="L40" s="16" t="s">
        <v>1280</v>
      </c>
      <c r="M40" s="25" t="str">
        <f t="shared" si="0"/>
        <v>108561</v>
      </c>
      <c r="N40" t="str">
        <f t="shared" si="1"/>
        <v xml:space="preserve"> 8" MFL (xHD) </v>
      </c>
      <c r="O40" t="b">
        <f t="shared" si="2"/>
        <v>0</v>
      </c>
      <c r="S40" t="s">
        <v>306</v>
      </c>
      <c r="T40">
        <v>108561</v>
      </c>
    </row>
    <row r="41" spans="1:20" ht="45" x14ac:dyDescent="0.25">
      <c r="A41" s="16" t="s">
        <v>1272</v>
      </c>
      <c r="B41" s="16" t="s">
        <v>1400</v>
      </c>
      <c r="C41" s="16" t="s">
        <v>269</v>
      </c>
      <c r="D41" s="16" t="s">
        <v>1274</v>
      </c>
      <c r="E41" s="16" t="s">
        <v>1401</v>
      </c>
      <c r="F41" s="16" t="s">
        <v>1276</v>
      </c>
      <c r="G41" s="16" t="s">
        <v>1277</v>
      </c>
      <c r="H41" s="16" t="s">
        <v>1276</v>
      </c>
      <c r="I41" s="16" t="s">
        <v>1402</v>
      </c>
      <c r="J41" s="16" t="s">
        <v>1279</v>
      </c>
      <c r="K41" s="16" t="s">
        <v>1276</v>
      </c>
      <c r="L41" s="16" t="s">
        <v>1280</v>
      </c>
      <c r="M41" s="25" t="str">
        <f t="shared" si="0"/>
        <v>106998</v>
      </c>
      <c r="N41" t="str">
        <f t="shared" si="1"/>
        <v xml:space="preserve"> 8" LGT+XYZ </v>
      </c>
      <c r="O41" t="b">
        <f t="shared" si="2"/>
        <v>1</v>
      </c>
      <c r="S41" t="s">
        <v>268</v>
      </c>
      <c r="T41">
        <v>106998</v>
      </c>
    </row>
    <row r="42" spans="1:20" ht="45" x14ac:dyDescent="0.25">
      <c r="A42" s="16" t="s">
        <v>1272</v>
      </c>
      <c r="B42" s="16" t="s">
        <v>1403</v>
      </c>
      <c r="C42" s="16" t="s">
        <v>311</v>
      </c>
      <c r="D42" s="16" t="s">
        <v>1274</v>
      </c>
      <c r="E42" s="16" t="s">
        <v>1404</v>
      </c>
      <c r="F42" s="16" t="s">
        <v>1276</v>
      </c>
      <c r="G42" s="16" t="s">
        <v>1277</v>
      </c>
      <c r="H42" s="16" t="s">
        <v>1276</v>
      </c>
      <c r="I42" s="16" t="s">
        <v>1405</v>
      </c>
      <c r="J42" s="16" t="s">
        <v>1279</v>
      </c>
      <c r="K42" s="16" t="s">
        <v>1276</v>
      </c>
      <c r="L42" s="16" t="s">
        <v>1280</v>
      </c>
      <c r="M42" s="25" t="str">
        <f t="shared" si="0"/>
        <v>108206</v>
      </c>
      <c r="N42" t="str">
        <f t="shared" si="1"/>
        <v xml:space="preserve"> 8" MFL+DEF (NH3, 3D) </v>
      </c>
      <c r="O42" t="b">
        <f t="shared" si="2"/>
        <v>0</v>
      </c>
      <c r="S42" t="s">
        <v>324</v>
      </c>
      <c r="T42">
        <v>108206</v>
      </c>
    </row>
    <row r="43" spans="1:20" ht="60" x14ac:dyDescent="0.25">
      <c r="A43" s="16" t="s">
        <v>1272</v>
      </c>
      <c r="B43" s="16" t="s">
        <v>1406</v>
      </c>
      <c r="C43" s="16" t="s">
        <v>260</v>
      </c>
      <c r="D43" s="16" t="s">
        <v>1274</v>
      </c>
      <c r="E43" s="16" t="s">
        <v>1407</v>
      </c>
      <c r="F43" s="16" t="s">
        <v>1276</v>
      </c>
      <c r="G43" s="16" t="s">
        <v>1277</v>
      </c>
      <c r="H43" s="16" t="s">
        <v>1276</v>
      </c>
      <c r="I43" s="16" t="s">
        <v>1408</v>
      </c>
      <c r="J43" s="16" t="s">
        <v>1279</v>
      </c>
      <c r="K43" s="16" t="s">
        <v>1276</v>
      </c>
      <c r="L43" s="16" t="s">
        <v>1280</v>
      </c>
      <c r="M43" s="25" t="str">
        <f t="shared" si="0"/>
        <v>108472</v>
      </c>
      <c r="N43" t="str">
        <f t="shared" si="1"/>
        <v xml:space="preserve"> 8" GMFL (Short)- EH </v>
      </c>
      <c r="O43" t="b">
        <f t="shared" si="2"/>
        <v>0</v>
      </c>
      <c r="S43" t="s">
        <v>1409</v>
      </c>
      <c r="T43">
        <v>108472</v>
      </c>
    </row>
    <row r="44" spans="1:20" ht="45" x14ac:dyDescent="0.25">
      <c r="A44" s="16" t="s">
        <v>1272</v>
      </c>
      <c r="B44" s="16" t="s">
        <v>1410</v>
      </c>
      <c r="C44" s="16" t="s">
        <v>283</v>
      </c>
      <c r="D44" s="16" t="s">
        <v>1274</v>
      </c>
      <c r="E44" s="16" t="s">
        <v>1411</v>
      </c>
      <c r="F44" s="16" t="s">
        <v>1276</v>
      </c>
      <c r="G44" s="16" t="s">
        <v>1277</v>
      </c>
      <c r="H44" s="16" t="s">
        <v>1276</v>
      </c>
      <c r="I44" s="16" t="s">
        <v>1412</v>
      </c>
      <c r="J44" s="16" t="s">
        <v>1279</v>
      </c>
      <c r="K44" s="16" t="s">
        <v>1276</v>
      </c>
      <c r="L44" s="16" t="s">
        <v>1280</v>
      </c>
      <c r="M44" s="25" t="str">
        <f t="shared" si="0"/>
        <v>110250</v>
      </c>
      <c r="N44" t="str">
        <f t="shared" si="1"/>
        <v xml:space="preserve"> 8" MFL2 (Hybrid) xHD </v>
      </c>
      <c r="O44" t="b">
        <f t="shared" si="2"/>
        <v>0</v>
      </c>
      <c r="S44" t="s">
        <v>342</v>
      </c>
      <c r="T44">
        <v>110250</v>
      </c>
    </row>
    <row r="45" spans="1:20" ht="45" x14ac:dyDescent="0.25">
      <c r="A45" s="16" t="s">
        <v>1272</v>
      </c>
      <c r="B45" s="16" t="s">
        <v>1413</v>
      </c>
      <c r="C45" s="16" t="s">
        <v>283</v>
      </c>
      <c r="D45" s="16" t="s">
        <v>1274</v>
      </c>
      <c r="E45" s="16" t="s">
        <v>1414</v>
      </c>
      <c r="F45" s="16" t="s">
        <v>1276</v>
      </c>
      <c r="G45" s="16" t="s">
        <v>1277</v>
      </c>
      <c r="H45" s="16" t="s">
        <v>1276</v>
      </c>
      <c r="I45" s="16" t="s">
        <v>1415</v>
      </c>
      <c r="J45" s="16" t="s">
        <v>1279</v>
      </c>
      <c r="K45" s="16" t="s">
        <v>1276</v>
      </c>
      <c r="L45" s="16" t="s">
        <v>1280</v>
      </c>
      <c r="M45" s="25" t="str">
        <f t="shared" si="0"/>
        <v>110300</v>
      </c>
      <c r="N45" t="str">
        <f t="shared" si="1"/>
        <v xml:space="preserve"> 8" MFL BI-DI xHD </v>
      </c>
      <c r="O45" t="b">
        <f t="shared" si="2"/>
        <v>0</v>
      </c>
      <c r="S45" t="s">
        <v>1416</v>
      </c>
      <c r="T45">
        <v>110300</v>
      </c>
    </row>
    <row r="46" spans="1:20" ht="45" x14ac:dyDescent="0.25">
      <c r="A46" s="16" t="s">
        <v>1272</v>
      </c>
      <c r="B46" s="16" t="s">
        <v>1417</v>
      </c>
      <c r="C46" s="16" t="s">
        <v>260</v>
      </c>
      <c r="D46" s="16" t="s">
        <v>1274</v>
      </c>
      <c r="E46" s="16" t="s">
        <v>1418</v>
      </c>
      <c r="F46" s="16" t="s">
        <v>1276</v>
      </c>
      <c r="G46" s="16" t="s">
        <v>1277</v>
      </c>
      <c r="H46" s="16" t="s">
        <v>1276</v>
      </c>
      <c r="I46" s="16" t="s">
        <v>1419</v>
      </c>
      <c r="J46" s="16" t="s">
        <v>1279</v>
      </c>
      <c r="K46" s="16" t="s">
        <v>1276</v>
      </c>
      <c r="L46" s="16" t="s">
        <v>1280</v>
      </c>
      <c r="M46" s="25" t="str">
        <f t="shared" si="0"/>
        <v>112056</v>
      </c>
      <c r="N46" t="str">
        <f t="shared" si="1"/>
        <v xml:space="preserve"> 8" GMFL ATEX </v>
      </c>
      <c r="O46" t="b">
        <f t="shared" si="2"/>
        <v>0</v>
      </c>
      <c r="S46" t="s">
        <v>259</v>
      </c>
      <c r="T46">
        <v>112056</v>
      </c>
    </row>
    <row r="47" spans="1:20" ht="45" x14ac:dyDescent="0.25">
      <c r="A47" s="16" t="s">
        <v>1272</v>
      </c>
      <c r="B47" s="16" t="s">
        <v>1420</v>
      </c>
      <c r="C47" s="16" t="s">
        <v>328</v>
      </c>
      <c r="D47" s="16" t="s">
        <v>1274</v>
      </c>
      <c r="E47" s="16" t="s">
        <v>1421</v>
      </c>
      <c r="F47" s="16" t="s">
        <v>1276</v>
      </c>
      <c r="G47" s="16" t="s">
        <v>1277</v>
      </c>
      <c r="H47" s="16" t="s">
        <v>1276</v>
      </c>
      <c r="I47" s="16" t="s">
        <v>1422</v>
      </c>
      <c r="J47" s="16" t="s">
        <v>1279</v>
      </c>
      <c r="K47" s="16" t="s">
        <v>1276</v>
      </c>
      <c r="L47" s="16" t="s">
        <v>1280</v>
      </c>
      <c r="M47" s="25" t="str">
        <f t="shared" si="0"/>
        <v>113594</v>
      </c>
      <c r="N47" t="str">
        <f t="shared" si="1"/>
        <v xml:space="preserve"> 8" MFL2 (Hybrid)+XYZ (xHD) </v>
      </c>
      <c r="O47" t="b">
        <f t="shared" si="2"/>
        <v>1</v>
      </c>
      <c r="S47" t="s">
        <v>354</v>
      </c>
      <c r="T47">
        <v>113594</v>
      </c>
    </row>
    <row r="48" spans="1:20" ht="45" x14ac:dyDescent="0.25">
      <c r="A48" s="16" t="s">
        <v>1272</v>
      </c>
      <c r="B48" s="16" t="s">
        <v>1423</v>
      </c>
      <c r="C48" s="16" t="s">
        <v>328</v>
      </c>
      <c r="D48" s="16" t="s">
        <v>1274</v>
      </c>
      <c r="E48" s="16" t="s">
        <v>1424</v>
      </c>
      <c r="F48" s="16" t="s">
        <v>1276</v>
      </c>
      <c r="G48" s="16" t="s">
        <v>1277</v>
      </c>
      <c r="H48" s="16" t="s">
        <v>1276</v>
      </c>
      <c r="I48" s="16" t="s">
        <v>1425</v>
      </c>
      <c r="J48" s="16" t="s">
        <v>1279</v>
      </c>
      <c r="K48" s="16" t="s">
        <v>1276</v>
      </c>
      <c r="L48" s="16" t="s">
        <v>1280</v>
      </c>
      <c r="M48" s="25" t="str">
        <f t="shared" si="0"/>
        <v>113610</v>
      </c>
      <c r="N48" t="str">
        <f t="shared" si="1"/>
        <v xml:space="preserve"> 8" MFL+XYZ (xHD) </v>
      </c>
      <c r="O48" t="b">
        <f t="shared" si="2"/>
        <v>1</v>
      </c>
      <c r="S48" t="s">
        <v>327</v>
      </c>
      <c r="T48">
        <v>113610</v>
      </c>
    </row>
    <row r="49" spans="1:20" ht="45" x14ac:dyDescent="0.25">
      <c r="A49" s="16" t="s">
        <v>1272</v>
      </c>
      <c r="B49" s="16" t="s">
        <v>1426</v>
      </c>
      <c r="C49" s="16" t="s">
        <v>298</v>
      </c>
      <c r="D49" s="16" t="s">
        <v>1274</v>
      </c>
      <c r="E49" s="16" t="s">
        <v>1427</v>
      </c>
      <c r="F49" s="16" t="s">
        <v>1276</v>
      </c>
      <c r="G49" s="16" t="s">
        <v>1277</v>
      </c>
      <c r="H49" s="16" t="s">
        <v>1276</v>
      </c>
      <c r="I49" s="16" t="s">
        <v>1428</v>
      </c>
      <c r="J49" s="16" t="s">
        <v>1279</v>
      </c>
      <c r="K49" s="16" t="s">
        <v>1276</v>
      </c>
      <c r="L49" s="16" t="s">
        <v>1280</v>
      </c>
      <c r="M49" s="25" t="str">
        <f t="shared" si="0"/>
        <v>113622</v>
      </c>
      <c r="N49" t="str">
        <f t="shared" si="1"/>
        <v xml:space="preserve"> 8" GMFL+XYZ (xHD) </v>
      </c>
      <c r="O49" t="b">
        <f t="shared" si="2"/>
        <v>1</v>
      </c>
      <c r="S49" t="s">
        <v>297</v>
      </c>
      <c r="T49">
        <v>113622</v>
      </c>
    </row>
    <row r="50" spans="1:20" ht="45" x14ac:dyDescent="0.25">
      <c r="A50" s="16" t="s">
        <v>1272</v>
      </c>
      <c r="B50" s="16" t="s">
        <v>1429</v>
      </c>
      <c r="C50" s="16" t="s">
        <v>376</v>
      </c>
      <c r="D50" s="16" t="s">
        <v>1274</v>
      </c>
      <c r="E50" s="16" t="s">
        <v>1430</v>
      </c>
      <c r="F50" s="16" t="s">
        <v>1276</v>
      </c>
      <c r="G50" s="16" t="s">
        <v>1277</v>
      </c>
      <c r="H50" s="16" t="s">
        <v>1276</v>
      </c>
      <c r="I50" s="16" t="s">
        <v>1431</v>
      </c>
      <c r="J50" s="16" t="s">
        <v>1279</v>
      </c>
      <c r="K50" s="16" t="s">
        <v>1276</v>
      </c>
      <c r="L50" s="16" t="s">
        <v>1280</v>
      </c>
      <c r="M50" s="25" t="str">
        <f t="shared" si="0"/>
        <v>113623</v>
      </c>
      <c r="N50" t="str">
        <f t="shared" si="1"/>
        <v xml:space="preserve"> 8" MFL+DEF+XYZ (xHD) </v>
      </c>
      <c r="O50" t="b">
        <f t="shared" si="2"/>
        <v>1</v>
      </c>
      <c r="S50" t="s">
        <v>375</v>
      </c>
      <c r="T50">
        <v>113623</v>
      </c>
    </row>
    <row r="51" spans="1:20" ht="45" x14ac:dyDescent="0.25">
      <c r="A51" s="16" t="s">
        <v>1272</v>
      </c>
      <c r="B51" s="16" t="s">
        <v>1432</v>
      </c>
      <c r="C51" s="16" t="s">
        <v>264</v>
      </c>
      <c r="D51" s="16" t="s">
        <v>1274</v>
      </c>
      <c r="E51" s="16" t="s">
        <v>1433</v>
      </c>
      <c r="F51" s="16" t="s">
        <v>1276</v>
      </c>
      <c r="G51" s="16" t="s">
        <v>1277</v>
      </c>
      <c r="H51" s="16" t="s">
        <v>1276</v>
      </c>
      <c r="I51" s="16" t="s">
        <v>1434</v>
      </c>
      <c r="J51" s="16" t="s">
        <v>1279</v>
      </c>
      <c r="K51" s="16" t="s">
        <v>1276</v>
      </c>
      <c r="L51" s="16" t="s">
        <v>1280</v>
      </c>
      <c r="M51" s="25" t="str">
        <f t="shared" si="0"/>
        <v>114353</v>
      </c>
      <c r="N51" t="str">
        <f>_xlfn.TEXTAFTER(B51, ",")</f>
        <v xml:space="preserve"> 8" DEF+XYZ (xHD) </v>
      </c>
      <c r="O51" t="b">
        <f t="shared" si="2"/>
        <v>1</v>
      </c>
      <c r="S51" t="s">
        <v>263</v>
      </c>
      <c r="T51">
        <v>114353</v>
      </c>
    </row>
    <row r="52" spans="1:20" ht="45" x14ac:dyDescent="0.25">
      <c r="A52" s="16" t="s">
        <v>1272</v>
      </c>
      <c r="B52" s="16" t="s">
        <v>1435</v>
      </c>
      <c r="C52" s="16" t="s">
        <v>283</v>
      </c>
      <c r="D52" s="16" t="s">
        <v>1274</v>
      </c>
      <c r="E52" s="16" t="s">
        <v>1436</v>
      </c>
      <c r="F52" s="16" t="s">
        <v>1276</v>
      </c>
      <c r="G52" s="16" t="s">
        <v>1277</v>
      </c>
      <c r="H52" s="16" t="s">
        <v>1276</v>
      </c>
      <c r="I52" s="16" t="s">
        <v>1437</v>
      </c>
      <c r="J52" s="16" t="s">
        <v>1279</v>
      </c>
      <c r="K52" s="16" t="s">
        <v>1276</v>
      </c>
      <c r="L52" s="16" t="s">
        <v>1280</v>
      </c>
      <c r="M52" s="25" t="str">
        <f t="shared" si="0"/>
        <v>114418</v>
      </c>
      <c r="N52" t="str">
        <f t="shared" si="1"/>
        <v xml:space="preserve"> 8" MFL (1.5D) ATEX </v>
      </c>
      <c r="O52" t="b">
        <f t="shared" si="2"/>
        <v>0</v>
      </c>
      <c r="S52" t="s">
        <v>282</v>
      </c>
      <c r="T52">
        <v>114418</v>
      </c>
    </row>
    <row r="53" spans="1:20" ht="45" x14ac:dyDescent="0.25">
      <c r="A53" s="16" t="s">
        <v>1272</v>
      </c>
      <c r="B53" s="16" t="s">
        <v>1438</v>
      </c>
      <c r="C53" s="16" t="s">
        <v>406</v>
      </c>
      <c r="D53" s="16" t="s">
        <v>1274</v>
      </c>
      <c r="E53" s="16" t="s">
        <v>1439</v>
      </c>
      <c r="F53" s="16" t="s">
        <v>1276</v>
      </c>
      <c r="G53" s="16" t="s">
        <v>1277</v>
      </c>
      <c r="H53" s="16" t="s">
        <v>1276</v>
      </c>
      <c r="I53" s="16" t="s">
        <v>1440</v>
      </c>
      <c r="J53" s="16" t="s">
        <v>1279</v>
      </c>
      <c r="K53" s="16" t="s">
        <v>1276</v>
      </c>
      <c r="L53" s="16" t="s">
        <v>1280</v>
      </c>
      <c r="M53" s="25" t="str">
        <f t="shared" si="0"/>
        <v>08_650</v>
      </c>
      <c r="N53" t="str">
        <f t="shared" si="1"/>
        <v xml:space="preserve"> 8" LGT </v>
      </c>
      <c r="O53" t="b">
        <f t="shared" si="2"/>
        <v>0</v>
      </c>
      <c r="S53" t="s">
        <v>405</v>
      </c>
      <c r="T53" s="25" t="s">
        <v>404</v>
      </c>
    </row>
    <row r="54" spans="1:20" ht="45" x14ac:dyDescent="0.25">
      <c r="A54" s="16" t="s">
        <v>1272</v>
      </c>
      <c r="B54" s="16" t="s">
        <v>1441</v>
      </c>
      <c r="C54" s="16" t="s">
        <v>311</v>
      </c>
      <c r="D54" s="16" t="s">
        <v>1274</v>
      </c>
      <c r="E54" s="16" t="s">
        <v>1442</v>
      </c>
      <c r="F54" s="16" t="s">
        <v>1276</v>
      </c>
      <c r="G54" s="16" t="s">
        <v>1277</v>
      </c>
      <c r="H54" s="16" t="s">
        <v>1276</v>
      </c>
      <c r="I54" s="16" t="s">
        <v>1443</v>
      </c>
      <c r="J54" s="16" t="s">
        <v>1279</v>
      </c>
      <c r="K54" s="16" t="s">
        <v>1276</v>
      </c>
      <c r="L54" s="16" t="s">
        <v>1280</v>
      </c>
      <c r="M54" s="25" t="str">
        <f t="shared" si="0"/>
        <v>08_900</v>
      </c>
      <c r="N54" t="str">
        <f t="shared" si="1"/>
        <v xml:space="preserve"> 8" MFL+DEF (xHD) </v>
      </c>
      <c r="O54" t="b">
        <f t="shared" si="2"/>
        <v>0</v>
      </c>
      <c r="S54" t="s">
        <v>310</v>
      </c>
      <c r="T54" s="25" t="s">
        <v>308</v>
      </c>
    </row>
    <row r="55" spans="1:20" ht="45" x14ac:dyDescent="0.25">
      <c r="A55" s="16" t="s">
        <v>1272</v>
      </c>
      <c r="B55" s="16" t="s">
        <v>1444</v>
      </c>
      <c r="C55" s="16" t="s">
        <v>1445</v>
      </c>
      <c r="D55" s="16" t="s">
        <v>1274</v>
      </c>
      <c r="E55" s="16" t="s">
        <v>1446</v>
      </c>
      <c r="F55" s="16" t="s">
        <v>1276</v>
      </c>
      <c r="G55" s="16" t="s">
        <v>1277</v>
      </c>
      <c r="H55" s="16" t="s">
        <v>1276</v>
      </c>
      <c r="I55" s="16" t="s">
        <v>1447</v>
      </c>
      <c r="J55" s="16" t="s">
        <v>1279</v>
      </c>
      <c r="K55" s="16" t="s">
        <v>1276</v>
      </c>
      <c r="L55" s="16" t="s">
        <v>1280</v>
      </c>
      <c r="M55" s="25" t="str">
        <f t="shared" si="0"/>
        <v>111884-01</v>
      </c>
      <c r="N55" t="str">
        <f t="shared" si="1"/>
        <v xml:space="preserve"> 38" DEF (38-42) (xHD) </v>
      </c>
      <c r="O55" t="b">
        <f t="shared" si="2"/>
        <v>0</v>
      </c>
      <c r="S55" t="s">
        <v>1448</v>
      </c>
      <c r="T55" s="25" t="s">
        <v>1167</v>
      </c>
    </row>
    <row r="56" spans="1:20" ht="45" x14ac:dyDescent="0.25">
      <c r="A56" s="16" t="s">
        <v>1272</v>
      </c>
      <c r="B56" s="16" t="s">
        <v>1449</v>
      </c>
      <c r="C56" s="16" t="s">
        <v>1445</v>
      </c>
      <c r="D56" s="16" t="s">
        <v>1274</v>
      </c>
      <c r="E56" s="16" t="s">
        <v>1450</v>
      </c>
      <c r="F56" s="16" t="s">
        <v>1276</v>
      </c>
      <c r="G56" s="16" t="s">
        <v>1277</v>
      </c>
      <c r="H56" s="16" t="s">
        <v>1276</v>
      </c>
      <c r="I56" s="16" t="s">
        <v>1451</v>
      </c>
      <c r="J56" s="16" t="s">
        <v>1279</v>
      </c>
      <c r="K56" s="16" t="s">
        <v>1276</v>
      </c>
      <c r="L56" s="16" t="s">
        <v>1280</v>
      </c>
      <c r="M56" s="25" t="str">
        <f t="shared" si="0"/>
        <v>116950-01</v>
      </c>
      <c r="N56" t="str">
        <f t="shared" si="1"/>
        <v xml:space="preserve"> 38" DEF ATEX </v>
      </c>
      <c r="O56" t="b">
        <f t="shared" si="2"/>
        <v>0</v>
      </c>
      <c r="S56" t="s">
        <v>1452</v>
      </c>
      <c r="T56" s="25" t="s">
        <v>1165</v>
      </c>
    </row>
    <row r="57" spans="1:20" ht="45" x14ac:dyDescent="0.25">
      <c r="A57" s="16" t="s">
        <v>1272</v>
      </c>
      <c r="B57" s="16" t="s">
        <v>1453</v>
      </c>
      <c r="C57" s="16" t="s">
        <v>752</v>
      </c>
      <c r="D57" s="16" t="s">
        <v>1274</v>
      </c>
      <c r="E57" s="16" t="s">
        <v>1454</v>
      </c>
      <c r="F57" s="16" t="s">
        <v>1276</v>
      </c>
      <c r="G57" s="16" t="s">
        <v>1277</v>
      </c>
      <c r="H57" s="16" t="s">
        <v>1276</v>
      </c>
      <c r="I57" s="16" t="s">
        <v>1455</v>
      </c>
      <c r="J57" s="16" t="s">
        <v>1279</v>
      </c>
      <c r="K57" s="16" t="s">
        <v>1276</v>
      </c>
      <c r="L57" s="16" t="s">
        <v>1280</v>
      </c>
      <c r="M57" s="25" t="str">
        <f t="shared" si="0"/>
        <v>120054</v>
      </c>
      <c r="N57" t="str">
        <f t="shared" si="1"/>
        <v xml:space="preserve"> 14.8" MFL (377 MM) </v>
      </c>
      <c r="O57" t="b">
        <f t="shared" si="2"/>
        <v>0</v>
      </c>
      <c r="S57" t="s">
        <v>751</v>
      </c>
      <c r="T57">
        <v>120054</v>
      </c>
    </row>
    <row r="58" spans="1:20" ht="45" x14ac:dyDescent="0.25">
      <c r="A58" s="16" t="s">
        <v>1272</v>
      </c>
      <c r="B58" s="16" t="s">
        <v>1456</v>
      </c>
      <c r="C58" s="16" t="s">
        <v>372</v>
      </c>
      <c r="D58" s="16" t="s">
        <v>1274</v>
      </c>
      <c r="E58" s="16" t="s">
        <v>1457</v>
      </c>
      <c r="F58" s="16" t="s">
        <v>1276</v>
      </c>
      <c r="G58" s="16" t="s">
        <v>1277</v>
      </c>
      <c r="H58" s="16" t="s">
        <v>1276</v>
      </c>
      <c r="I58" s="16" t="s">
        <v>1458</v>
      </c>
      <c r="J58" s="16" t="s">
        <v>1279</v>
      </c>
      <c r="K58" s="16" t="s">
        <v>1276</v>
      </c>
      <c r="L58" s="16" t="s">
        <v>1280</v>
      </c>
      <c r="M58" s="25" t="str">
        <f t="shared" si="0"/>
        <v>122500</v>
      </c>
      <c r="N58" t="str">
        <f t="shared" si="1"/>
        <v xml:space="preserve"> 8" MFL5+DEF5+SMFL2+XYZ+LFM (V2) </v>
      </c>
      <c r="O58" t="b">
        <f t="shared" si="2"/>
        <v>1</v>
      </c>
      <c r="S58" t="s">
        <v>371</v>
      </c>
      <c r="T58">
        <v>122500</v>
      </c>
    </row>
    <row r="59" spans="1:20" ht="45" x14ac:dyDescent="0.25">
      <c r="A59" s="16" t="s">
        <v>1272</v>
      </c>
      <c r="B59" s="16" t="s">
        <v>1459</v>
      </c>
      <c r="C59" s="16" t="s">
        <v>274</v>
      </c>
      <c r="D59" s="16" t="s">
        <v>1274</v>
      </c>
      <c r="E59" s="16" t="s">
        <v>1460</v>
      </c>
      <c r="F59" s="16" t="s">
        <v>1276</v>
      </c>
      <c r="G59" s="16" t="s">
        <v>1277</v>
      </c>
      <c r="H59" s="16" t="s">
        <v>1276</v>
      </c>
      <c r="I59" s="16" t="s">
        <v>1461</v>
      </c>
      <c r="J59" s="16" t="s">
        <v>1279</v>
      </c>
      <c r="K59" s="16" t="s">
        <v>1276</v>
      </c>
      <c r="L59" s="16" t="s">
        <v>1280</v>
      </c>
      <c r="M59" s="25" t="str">
        <f t="shared" si="0"/>
        <v>122503</v>
      </c>
      <c r="N59" t="str">
        <f t="shared" si="1"/>
        <v xml:space="preserve"> 8" MDS FLEX MFL5+DEF5+LFM (V2) </v>
      </c>
      <c r="O59" t="b">
        <f t="shared" si="2"/>
        <v>0</v>
      </c>
      <c r="S59" t="s">
        <v>273</v>
      </c>
      <c r="T59">
        <v>122503</v>
      </c>
    </row>
    <row r="60" spans="1:20" ht="45" x14ac:dyDescent="0.25">
      <c r="A60" s="16" t="s">
        <v>1272</v>
      </c>
      <c r="B60" s="16" t="s">
        <v>1462</v>
      </c>
      <c r="C60" s="16" t="s">
        <v>412</v>
      </c>
      <c r="D60" s="16" t="s">
        <v>1274</v>
      </c>
      <c r="E60" s="16" t="s">
        <v>1463</v>
      </c>
      <c r="F60" s="16" t="s">
        <v>1276</v>
      </c>
      <c r="G60" s="16" t="s">
        <v>1277</v>
      </c>
      <c r="H60" s="16" t="s">
        <v>1276</v>
      </c>
      <c r="I60" s="16" t="s">
        <v>1464</v>
      </c>
      <c r="J60" s="16" t="s">
        <v>1279</v>
      </c>
      <c r="K60" s="16" t="s">
        <v>1276</v>
      </c>
      <c r="L60" s="16" t="s">
        <v>1280</v>
      </c>
      <c r="M60" s="25" t="str">
        <f t="shared" si="0"/>
        <v>122502</v>
      </c>
      <c r="N60" t="str">
        <f t="shared" si="1"/>
        <v xml:space="preserve"> 8" MDS FLEX MFL5+DEF5+XYZ+LFM (V2) </v>
      </c>
      <c r="O60" t="b">
        <f t="shared" si="2"/>
        <v>1</v>
      </c>
      <c r="S60" t="s">
        <v>411</v>
      </c>
      <c r="T60">
        <v>122502</v>
      </c>
    </row>
    <row r="61" spans="1:20" ht="30" x14ac:dyDescent="0.25">
      <c r="A61" s="16" t="s">
        <v>1272</v>
      </c>
      <c r="B61" s="16" t="s">
        <v>1456</v>
      </c>
      <c r="C61" s="16" t="s">
        <v>372</v>
      </c>
      <c r="D61" s="16"/>
      <c r="E61" s="16"/>
      <c r="F61" s="16"/>
      <c r="G61" s="16"/>
      <c r="H61" s="16"/>
      <c r="I61" s="16"/>
      <c r="J61" s="16"/>
      <c r="K61" s="16"/>
      <c r="L61" s="16"/>
      <c r="M61" s="25" t="str">
        <f t="shared" si="0"/>
        <v>122500</v>
      </c>
      <c r="N61" t="str">
        <f t="shared" si="1"/>
        <v xml:space="preserve"> 8" MFL5+DEF5+SMFL2+XYZ+LFM (V2) </v>
      </c>
      <c r="O61" t="b">
        <f t="shared" si="2"/>
        <v>1</v>
      </c>
      <c r="S61" t="s">
        <v>371</v>
      </c>
      <c r="T61">
        <v>122500</v>
      </c>
    </row>
    <row r="62" spans="1:20" ht="45" x14ac:dyDescent="0.25">
      <c r="A62" s="16" t="s">
        <v>1272</v>
      </c>
      <c r="B62" s="16" t="s">
        <v>1465</v>
      </c>
      <c r="C62" s="16" t="s">
        <v>346</v>
      </c>
      <c r="D62" s="16" t="s">
        <v>1274</v>
      </c>
      <c r="E62" s="16" t="s">
        <v>1466</v>
      </c>
      <c r="F62" s="16" t="s">
        <v>1276</v>
      </c>
      <c r="G62" s="16" t="s">
        <v>1277</v>
      </c>
      <c r="H62" s="16" t="s">
        <v>1276</v>
      </c>
      <c r="I62" s="16" t="s">
        <v>1467</v>
      </c>
      <c r="J62" s="16" t="s">
        <v>1279</v>
      </c>
      <c r="K62" s="16" t="s">
        <v>1276</v>
      </c>
      <c r="L62" s="16" t="s">
        <v>1280</v>
      </c>
      <c r="M62" s="25" t="str">
        <f t="shared" si="0"/>
        <v>122501</v>
      </c>
      <c r="N62" t="str">
        <f t="shared" si="1"/>
        <v xml:space="preserve"> 8" MFL5+DEF5+SMFL2+LFM (V2) </v>
      </c>
      <c r="O62" t="b">
        <f t="shared" si="2"/>
        <v>0</v>
      </c>
      <c r="S62" t="s">
        <v>345</v>
      </c>
      <c r="T62">
        <v>122501</v>
      </c>
    </row>
    <row r="63" spans="1:20" ht="45" x14ac:dyDescent="0.25">
      <c r="A63" s="16" t="s">
        <v>1272</v>
      </c>
      <c r="B63" s="16" t="s">
        <v>1468</v>
      </c>
      <c r="C63" s="16" t="s">
        <v>264</v>
      </c>
      <c r="D63" s="16" t="s">
        <v>1274</v>
      </c>
      <c r="E63" s="16" t="s">
        <v>1469</v>
      </c>
      <c r="F63" s="16" t="s">
        <v>1276</v>
      </c>
      <c r="G63" s="16" t="s">
        <v>1277</v>
      </c>
      <c r="H63" s="16" t="s">
        <v>1276</v>
      </c>
      <c r="I63" s="16" t="s">
        <v>1470</v>
      </c>
      <c r="J63" s="16" t="s">
        <v>1279</v>
      </c>
      <c r="K63" s="16" t="s">
        <v>1276</v>
      </c>
      <c r="L63" s="16" t="s">
        <v>1280</v>
      </c>
      <c r="M63" s="25" t="str">
        <f t="shared" si="0"/>
        <v>122972</v>
      </c>
      <c r="N63" t="str">
        <f t="shared" si="1"/>
        <v xml:space="preserve"> 8" DEF+XYZ (NH3) </v>
      </c>
      <c r="O63" t="b">
        <f t="shared" si="2"/>
        <v>1</v>
      </c>
      <c r="S63" t="s">
        <v>357</v>
      </c>
      <c r="T63">
        <v>122972</v>
      </c>
    </row>
    <row r="64" spans="1:20" ht="60" x14ac:dyDescent="0.25">
      <c r="A64" s="16" t="s">
        <v>1272</v>
      </c>
      <c r="B64" s="16" t="s">
        <v>1471</v>
      </c>
      <c r="C64" s="16" t="s">
        <v>351</v>
      </c>
      <c r="D64" s="16" t="s">
        <v>1274</v>
      </c>
      <c r="E64" s="16" t="s">
        <v>1472</v>
      </c>
      <c r="F64" s="16" t="s">
        <v>1276</v>
      </c>
      <c r="G64" s="16" t="s">
        <v>1277</v>
      </c>
      <c r="H64" s="16" t="s">
        <v>1276</v>
      </c>
      <c r="I64" s="16" t="s">
        <v>1473</v>
      </c>
      <c r="J64" s="16" t="s">
        <v>1279</v>
      </c>
      <c r="K64" s="16" t="s">
        <v>1276</v>
      </c>
      <c r="L64" s="16" t="s">
        <v>1280</v>
      </c>
      <c r="M64" s="25" t="str">
        <f t="shared" si="0"/>
        <v>123291</v>
      </c>
      <c r="N64" t="str">
        <f t="shared" si="1"/>
        <v xml:space="preserve"> 8" GMFL+DEF (xHD) </v>
      </c>
      <c r="O64" t="b">
        <f t="shared" si="2"/>
        <v>0</v>
      </c>
      <c r="S64" t="s">
        <v>350</v>
      </c>
      <c r="T64">
        <v>123291</v>
      </c>
    </row>
    <row r="65" spans="1:20" ht="60" x14ac:dyDescent="0.25">
      <c r="A65" s="16" t="s">
        <v>1272</v>
      </c>
      <c r="B65" s="16" t="s">
        <v>1474</v>
      </c>
      <c r="C65" s="16" t="s">
        <v>239</v>
      </c>
      <c r="D65" s="16" t="s">
        <v>1274</v>
      </c>
      <c r="E65" s="16" t="s">
        <v>1475</v>
      </c>
      <c r="F65" s="16" t="s">
        <v>1276</v>
      </c>
      <c r="G65" s="16" t="s">
        <v>1277</v>
      </c>
      <c r="H65" s="16" t="s">
        <v>1276</v>
      </c>
      <c r="I65" s="16" t="s">
        <v>1476</v>
      </c>
      <c r="J65" s="16" t="s">
        <v>1279</v>
      </c>
      <c r="K65" s="16" t="s">
        <v>1276</v>
      </c>
      <c r="L65" s="16" t="s">
        <v>1280</v>
      </c>
      <c r="M65" s="25" t="str">
        <f>_xlfn.TEXTBEFORE(B65, ",")</f>
        <v>123925</v>
      </c>
      <c r="N65" t="str">
        <f t="shared" si="1"/>
        <v xml:space="preserve"> 8" MDS FLEX MFL4+DEF+RES (V1) </v>
      </c>
      <c r="O65" t="b">
        <f t="shared" si="2"/>
        <v>0</v>
      </c>
      <c r="S65" t="s">
        <v>238</v>
      </c>
      <c r="T65">
        <v>123925</v>
      </c>
    </row>
    <row r="66" spans="1:20" ht="45" x14ac:dyDescent="0.25">
      <c r="A66" s="16" t="s">
        <v>1272</v>
      </c>
      <c r="B66" s="16" t="s">
        <v>1477</v>
      </c>
      <c r="C66" s="16" t="s">
        <v>255</v>
      </c>
      <c r="D66" s="16" t="s">
        <v>1274</v>
      </c>
      <c r="E66" s="16" t="s">
        <v>1478</v>
      </c>
      <c r="F66" s="16" t="s">
        <v>1276</v>
      </c>
      <c r="G66" s="16" t="s">
        <v>1277</v>
      </c>
      <c r="H66" s="16" t="s">
        <v>1276</v>
      </c>
      <c r="I66" s="16" t="s">
        <v>1479</v>
      </c>
      <c r="J66" s="16" t="s">
        <v>1279</v>
      </c>
      <c r="K66" s="16" t="s">
        <v>1276</v>
      </c>
      <c r="L66" s="16" t="s">
        <v>1280</v>
      </c>
      <c r="M66" s="25" t="str">
        <f t="shared" si="0"/>
        <v>123924</v>
      </c>
      <c r="N66" t="str">
        <f t="shared" si="1"/>
        <v xml:space="preserve"> 8" MFL4+DEF+SMFL+RES (V1) </v>
      </c>
      <c r="O66" t="b">
        <f t="shared" si="2"/>
        <v>0</v>
      </c>
      <c r="S66" t="s">
        <v>254</v>
      </c>
      <c r="T66">
        <v>123924</v>
      </c>
    </row>
    <row r="67" spans="1:20" ht="60" x14ac:dyDescent="0.25">
      <c r="A67" s="16" t="s">
        <v>1272</v>
      </c>
      <c r="B67" s="16" t="s">
        <v>1480</v>
      </c>
      <c r="C67" s="16" t="s">
        <v>396</v>
      </c>
      <c r="D67" s="16" t="s">
        <v>1274</v>
      </c>
      <c r="E67" s="16" t="s">
        <v>1481</v>
      </c>
      <c r="F67" s="16" t="s">
        <v>1276</v>
      </c>
      <c r="G67" s="16" t="s">
        <v>1277</v>
      </c>
      <c r="H67" s="16" t="s">
        <v>1276</v>
      </c>
      <c r="I67" s="16" t="s">
        <v>1482</v>
      </c>
      <c r="J67" s="16" t="s">
        <v>1279</v>
      </c>
      <c r="K67" s="16" t="s">
        <v>1276</v>
      </c>
      <c r="L67" s="16" t="s">
        <v>1280</v>
      </c>
      <c r="M67" s="25" t="str">
        <f t="shared" si="0"/>
        <v>123926</v>
      </c>
      <c r="N67" t="str">
        <f t="shared" si="1"/>
        <v xml:space="preserve"> 8" MFL4+DEF+SMFL+RES+XYZ (V1) </v>
      </c>
      <c r="O67" t="b">
        <f t="shared" si="2"/>
        <v>1</v>
      </c>
      <c r="S67" t="s">
        <v>395</v>
      </c>
      <c r="T67">
        <v>123926</v>
      </c>
    </row>
    <row r="68" spans="1:20" ht="45" x14ac:dyDescent="0.25">
      <c r="A68" s="16" t="s">
        <v>1272</v>
      </c>
      <c r="B68" s="16" t="s">
        <v>1483</v>
      </c>
      <c r="C68" s="16" t="s">
        <v>255</v>
      </c>
      <c r="D68" s="16" t="s">
        <v>1274</v>
      </c>
      <c r="E68" s="16" t="s">
        <v>1484</v>
      </c>
      <c r="F68" s="16" t="s">
        <v>1276</v>
      </c>
      <c r="G68" s="16" t="s">
        <v>1277</v>
      </c>
      <c r="H68" s="16" t="s">
        <v>1276</v>
      </c>
      <c r="I68" s="16" t="s">
        <v>1485</v>
      </c>
      <c r="J68" s="16" t="s">
        <v>1279</v>
      </c>
      <c r="K68" s="16" t="s">
        <v>1276</v>
      </c>
      <c r="L68" s="16" t="s">
        <v>1280</v>
      </c>
      <c r="M68" s="25" t="str">
        <f t="shared" ref="M68:M134" si="3">_xlfn.TEXTBEFORE(B68, ",")</f>
        <v>124907</v>
      </c>
      <c r="N68" t="str">
        <f t="shared" ref="N68:N134" si="4">_xlfn.TEXTAFTER(B68, ",")</f>
        <v xml:space="preserve"> 8" Dual Drive SpirALL MFL+DEF+MFL4+RES </v>
      </c>
      <c r="O68" t="b">
        <f t="shared" ref="O68:O134" si="5">ISNUMBER(SEARCH("xyz", B68))</f>
        <v>0</v>
      </c>
      <c r="S68" t="s">
        <v>1486</v>
      </c>
      <c r="T68">
        <v>124907</v>
      </c>
    </row>
    <row r="69" spans="1:20" ht="60" x14ac:dyDescent="0.25">
      <c r="A69" s="16" t="s">
        <v>1272</v>
      </c>
      <c r="B69" s="16" t="s">
        <v>1487</v>
      </c>
      <c r="C69" s="16" t="s">
        <v>423</v>
      </c>
      <c r="D69" s="16" t="s">
        <v>1274</v>
      </c>
      <c r="E69" s="16" t="s">
        <v>1488</v>
      </c>
      <c r="F69" s="16" t="s">
        <v>1276</v>
      </c>
      <c r="G69" s="16" t="s">
        <v>1277</v>
      </c>
      <c r="H69" s="16" t="s">
        <v>1276</v>
      </c>
      <c r="I69" s="16" t="s">
        <v>1489</v>
      </c>
      <c r="J69" s="16" t="s">
        <v>1279</v>
      </c>
      <c r="K69" s="16" t="s">
        <v>1276</v>
      </c>
      <c r="L69" s="16" t="s">
        <v>1280</v>
      </c>
      <c r="M69" s="25" t="str">
        <f t="shared" si="3"/>
        <v>127126</v>
      </c>
      <c r="N69" t="str">
        <f t="shared" si="4"/>
        <v xml:space="preserve"> 8" DEF+GMFL+XYZ (xHD) </v>
      </c>
      <c r="O69" t="b">
        <f t="shared" si="5"/>
        <v>1</v>
      </c>
      <c r="S69" t="s">
        <v>422</v>
      </c>
      <c r="T69">
        <v>127126</v>
      </c>
    </row>
    <row r="70" spans="1:20" ht="45" x14ac:dyDescent="0.25">
      <c r="A70" s="16" t="s">
        <v>1272</v>
      </c>
      <c r="B70" s="16" t="s">
        <v>1490</v>
      </c>
      <c r="C70" s="16" t="s">
        <v>368</v>
      </c>
      <c r="D70" s="16" t="s">
        <v>1274</v>
      </c>
      <c r="E70" s="16" t="s">
        <v>1491</v>
      </c>
      <c r="F70" s="16" t="s">
        <v>1276</v>
      </c>
      <c r="G70" s="16" t="s">
        <v>1277</v>
      </c>
      <c r="H70" s="16" t="s">
        <v>1276</v>
      </c>
      <c r="I70" s="16" t="s">
        <v>1492</v>
      </c>
      <c r="J70" s="16" t="s">
        <v>1279</v>
      </c>
      <c r="K70" s="16" t="s">
        <v>1276</v>
      </c>
      <c r="L70" s="16" t="s">
        <v>1280</v>
      </c>
      <c r="M70" s="25" t="str">
        <f t="shared" si="3"/>
        <v>129296</v>
      </c>
      <c r="N70" t="str">
        <f t="shared" si="4"/>
        <v xml:space="preserve"> 8" MDS FLEX MFL4+DEF (V1) </v>
      </c>
      <c r="O70" t="b">
        <f t="shared" si="5"/>
        <v>0</v>
      </c>
      <c r="S70" t="s">
        <v>367</v>
      </c>
      <c r="T70">
        <v>129296</v>
      </c>
    </row>
    <row r="71" spans="1:20" ht="45" x14ac:dyDescent="0.25">
      <c r="A71" s="16" t="s">
        <v>1272</v>
      </c>
      <c r="B71" s="16" t="s">
        <v>1493</v>
      </c>
      <c r="C71" s="16" t="s">
        <v>361</v>
      </c>
      <c r="D71" s="16" t="s">
        <v>1274</v>
      </c>
      <c r="E71" s="16" t="s">
        <v>1494</v>
      </c>
      <c r="F71" s="16" t="s">
        <v>1276</v>
      </c>
      <c r="G71" s="16" t="s">
        <v>1277</v>
      </c>
      <c r="H71" s="16" t="s">
        <v>1276</v>
      </c>
      <c r="I71" s="16" t="s">
        <v>1495</v>
      </c>
      <c r="J71" s="16" t="s">
        <v>1279</v>
      </c>
      <c r="K71" s="16" t="s">
        <v>1276</v>
      </c>
      <c r="L71" s="16" t="s">
        <v>1280</v>
      </c>
      <c r="M71" s="25" t="str">
        <f t="shared" si="3"/>
        <v>129297</v>
      </c>
      <c r="N71" t="str">
        <f t="shared" si="4"/>
        <v xml:space="preserve"> 8" MDS FLEX MFL4+DEF+XYZ (V1) </v>
      </c>
      <c r="O71" t="b">
        <f t="shared" si="5"/>
        <v>1</v>
      </c>
      <c r="S71" t="s">
        <v>360</v>
      </c>
      <c r="T71">
        <v>129297</v>
      </c>
    </row>
    <row r="72" spans="1:20" ht="45" x14ac:dyDescent="0.25">
      <c r="A72" s="16" t="s">
        <v>1272</v>
      </c>
      <c r="B72" s="16" t="s">
        <v>1496</v>
      </c>
      <c r="C72" s="16" t="s">
        <v>401</v>
      </c>
      <c r="D72" s="16" t="s">
        <v>1274</v>
      </c>
      <c r="E72" s="16" t="s">
        <v>1497</v>
      </c>
      <c r="F72" s="16" t="s">
        <v>1276</v>
      </c>
      <c r="G72" s="16" t="s">
        <v>1277</v>
      </c>
      <c r="H72" s="16" t="s">
        <v>1276</v>
      </c>
      <c r="I72" s="16" t="s">
        <v>1498</v>
      </c>
      <c r="J72" s="16" t="s">
        <v>1279</v>
      </c>
      <c r="K72" s="16" t="s">
        <v>1276</v>
      </c>
      <c r="L72" s="16" t="s">
        <v>1280</v>
      </c>
      <c r="M72" s="25" t="str">
        <f t="shared" si="3"/>
        <v>129312</v>
      </c>
      <c r="N72" t="str">
        <f t="shared" si="4"/>
        <v xml:space="preserve"> 8" MDS FLEX MFL5+DEF5 </v>
      </c>
      <c r="O72" t="b">
        <f t="shared" si="5"/>
        <v>0</v>
      </c>
      <c r="S72" t="s">
        <v>400</v>
      </c>
      <c r="T72">
        <v>129312</v>
      </c>
    </row>
    <row r="73" spans="1:20" ht="45" x14ac:dyDescent="0.25">
      <c r="A73" s="16" t="s">
        <v>1272</v>
      </c>
      <c r="B73" s="16" t="s">
        <v>1499</v>
      </c>
      <c r="C73" s="16" t="s">
        <v>381</v>
      </c>
      <c r="D73" s="16" t="s">
        <v>1274</v>
      </c>
      <c r="E73" s="16" t="s">
        <v>1500</v>
      </c>
      <c r="F73" s="16" t="s">
        <v>1276</v>
      </c>
      <c r="G73" s="16" t="s">
        <v>1277</v>
      </c>
      <c r="H73" s="16" t="s">
        <v>1276</v>
      </c>
      <c r="I73" s="16" t="s">
        <v>1501</v>
      </c>
      <c r="J73" s="16" t="s">
        <v>1279</v>
      </c>
      <c r="K73" s="16" t="s">
        <v>1276</v>
      </c>
      <c r="L73" s="16" t="s">
        <v>1280</v>
      </c>
      <c r="M73" s="25" t="str">
        <f t="shared" si="3"/>
        <v>129313</v>
      </c>
      <c r="N73" t="str">
        <f t="shared" si="4"/>
        <v xml:space="preserve"> 8" MDS FLEX MFL5+DEF5+XYZ (V2) </v>
      </c>
      <c r="O73" t="b">
        <f t="shared" si="5"/>
        <v>1</v>
      </c>
      <c r="S73" t="s">
        <v>380</v>
      </c>
      <c r="T73">
        <v>129313</v>
      </c>
    </row>
    <row r="74" spans="1:20" ht="45" x14ac:dyDescent="0.25">
      <c r="A74" s="16" t="s">
        <v>1272</v>
      </c>
      <c r="B74" s="16" t="s">
        <v>1502</v>
      </c>
      <c r="C74" s="16" t="s">
        <v>1503</v>
      </c>
      <c r="D74" s="16" t="s">
        <v>1274</v>
      </c>
      <c r="E74" s="16" t="s">
        <v>1504</v>
      </c>
      <c r="F74" s="16" t="s">
        <v>1276</v>
      </c>
      <c r="G74" s="16" t="s">
        <v>1277</v>
      </c>
      <c r="H74" s="16" t="s">
        <v>1276</v>
      </c>
      <c r="I74" s="16" t="s">
        <v>1505</v>
      </c>
      <c r="J74" s="16" t="s">
        <v>1279</v>
      </c>
      <c r="K74" s="16" t="s">
        <v>1276</v>
      </c>
      <c r="L74" s="16" t="s">
        <v>1280</v>
      </c>
      <c r="M74" s="25" t="str">
        <f t="shared" si="3"/>
        <v>130598</v>
      </c>
      <c r="N74" t="str">
        <f t="shared" si="4"/>
        <v xml:space="preserve"> 8" FLEX DEF+ULTRA RES MFL </v>
      </c>
      <c r="O74" t="b">
        <f t="shared" si="5"/>
        <v>0</v>
      </c>
      <c r="S74" t="s">
        <v>428</v>
      </c>
      <c r="T74">
        <v>130598</v>
      </c>
    </row>
    <row r="75" spans="1:20" ht="45" x14ac:dyDescent="0.25">
      <c r="A75" s="16" t="s">
        <v>1272</v>
      </c>
      <c r="B75" s="16" t="s">
        <v>1506</v>
      </c>
      <c r="C75" s="16" t="s">
        <v>332</v>
      </c>
      <c r="D75" s="16" t="s">
        <v>1274</v>
      </c>
      <c r="E75" s="16"/>
      <c r="F75" s="16"/>
      <c r="G75" s="16"/>
      <c r="H75" s="16"/>
      <c r="I75" s="16"/>
      <c r="J75" s="16"/>
      <c r="K75" s="16"/>
      <c r="L75" s="16"/>
      <c r="M75" s="25" t="str">
        <f t="shared" si="3"/>
        <v>130600</v>
      </c>
      <c r="N75" t="str">
        <f t="shared" si="4"/>
        <v xml:space="preserve"> DEF+LFM+SMFL+ULTRA RES MFL+XYZ </v>
      </c>
      <c r="O75" t="b">
        <f t="shared" si="5"/>
        <v>1</v>
      </c>
      <c r="S75" t="s">
        <v>1507</v>
      </c>
      <c r="T75">
        <v>130600</v>
      </c>
    </row>
    <row r="76" spans="1:20" ht="60" x14ac:dyDescent="0.25">
      <c r="A76" s="16" t="s">
        <v>1272</v>
      </c>
      <c r="B76" s="16" t="s">
        <v>1508</v>
      </c>
      <c r="C76" s="16" t="s">
        <v>303</v>
      </c>
      <c r="D76" s="16" t="s">
        <v>1274</v>
      </c>
      <c r="E76" s="16" t="s">
        <v>1509</v>
      </c>
      <c r="F76" s="16" t="s">
        <v>1276</v>
      </c>
      <c r="G76" s="16" t="s">
        <v>1277</v>
      </c>
      <c r="H76" s="16" t="s">
        <v>1276</v>
      </c>
      <c r="I76" s="16" t="s">
        <v>1510</v>
      </c>
      <c r="J76" s="16" t="s">
        <v>1279</v>
      </c>
      <c r="K76" s="16" t="s">
        <v>1276</v>
      </c>
      <c r="L76" s="16" t="s">
        <v>1280</v>
      </c>
      <c r="M76" s="25" t="str">
        <f t="shared" si="3"/>
        <v>130601</v>
      </c>
      <c r="N76" t="str">
        <f t="shared" si="4"/>
        <v xml:space="preserve"> 8" MDS™ PRO DEF7+LFM+ULTRA RES MFL+SMFL2 </v>
      </c>
      <c r="O76" t="b">
        <f t="shared" si="5"/>
        <v>0</v>
      </c>
      <c r="S76" t="s">
        <v>302</v>
      </c>
      <c r="T76">
        <v>130601</v>
      </c>
    </row>
    <row r="77" spans="1:20" ht="60" x14ac:dyDescent="0.25">
      <c r="A77" s="16" t="s">
        <v>1272</v>
      </c>
      <c r="B77" s="16" t="s">
        <v>1511</v>
      </c>
      <c r="C77" s="16" t="s">
        <v>288</v>
      </c>
      <c r="D77" s="16" t="s">
        <v>1274</v>
      </c>
      <c r="E77" s="16" t="s">
        <v>1512</v>
      </c>
      <c r="F77" s="16" t="s">
        <v>1276</v>
      </c>
      <c r="G77" s="16" t="s">
        <v>1277</v>
      </c>
      <c r="H77" s="16" t="s">
        <v>1276</v>
      </c>
      <c r="I77" s="16" t="s">
        <v>1513</v>
      </c>
      <c r="J77" s="16" t="s">
        <v>1279</v>
      </c>
      <c r="K77" s="16" t="s">
        <v>1276</v>
      </c>
      <c r="L77" s="16" t="s">
        <v>1280</v>
      </c>
      <c r="M77" s="25" t="str">
        <f t="shared" si="3"/>
        <v>130602</v>
      </c>
      <c r="N77" t="str">
        <f t="shared" si="4"/>
        <v xml:space="preserve"> MDS™ Flex DEF+LFM+Ultra Res MFL+XYZ 08" </v>
      </c>
      <c r="O77" t="b">
        <f t="shared" si="5"/>
        <v>1</v>
      </c>
      <c r="S77" t="s">
        <v>287</v>
      </c>
      <c r="T77">
        <v>130602</v>
      </c>
    </row>
    <row r="78" spans="1:20" ht="60" x14ac:dyDescent="0.25">
      <c r="A78" s="16" t="s">
        <v>1272</v>
      </c>
      <c r="B78" s="16" t="s">
        <v>1514</v>
      </c>
      <c r="C78" s="16" t="s">
        <v>391</v>
      </c>
      <c r="D78" s="16" t="s">
        <v>1274</v>
      </c>
      <c r="E78" s="16" t="s">
        <v>1515</v>
      </c>
      <c r="F78" s="16" t="s">
        <v>1276</v>
      </c>
      <c r="G78" s="16" t="s">
        <v>1277</v>
      </c>
      <c r="H78" s="16" t="s">
        <v>1276</v>
      </c>
      <c r="I78" s="16" t="s">
        <v>1516</v>
      </c>
      <c r="J78" s="16" t="s">
        <v>1279</v>
      </c>
      <c r="K78" s="16" t="s">
        <v>1276</v>
      </c>
      <c r="L78" s="16" t="s">
        <v>1280</v>
      </c>
      <c r="M78" s="25" t="str">
        <f t="shared" si="3"/>
        <v>130603</v>
      </c>
      <c r="N78" t="str">
        <f t="shared" si="4"/>
        <v xml:space="preserve"> Flex DEF+LFM+Ultra Res MFL 08" </v>
      </c>
      <c r="O78" t="b">
        <f t="shared" si="5"/>
        <v>0</v>
      </c>
      <c r="S78" t="s">
        <v>1517</v>
      </c>
      <c r="T78">
        <v>130603</v>
      </c>
    </row>
    <row r="79" spans="1:20" ht="60" x14ac:dyDescent="0.25">
      <c r="A79" s="16" t="s">
        <v>1272</v>
      </c>
      <c r="B79" s="16" t="s">
        <v>1518</v>
      </c>
      <c r="C79" s="16" t="s">
        <v>244</v>
      </c>
      <c r="D79" s="16" t="s">
        <v>1274</v>
      </c>
      <c r="E79" s="16" t="s">
        <v>1519</v>
      </c>
      <c r="F79" s="16" t="s">
        <v>1276</v>
      </c>
      <c r="G79" s="16" t="s">
        <v>1277</v>
      </c>
      <c r="H79" s="16" t="s">
        <v>1276</v>
      </c>
      <c r="I79" s="16" t="s">
        <v>1520</v>
      </c>
      <c r="J79" s="16" t="s">
        <v>1279</v>
      </c>
      <c r="K79" s="16" t="s">
        <v>1276</v>
      </c>
      <c r="L79" s="16" t="s">
        <v>1280</v>
      </c>
      <c r="M79" s="25" t="str">
        <f t="shared" si="3"/>
        <v>130593</v>
      </c>
      <c r="N79" t="str">
        <f>_xlfn.TEXTAFTER(B79, ",")</f>
        <v xml:space="preserve"> Pro 8" DEF+RES+SMFL+Ultra Res MFL+XYZ </v>
      </c>
      <c r="O79" t="b">
        <f t="shared" si="5"/>
        <v>1</v>
      </c>
      <c r="S79" t="s">
        <v>243</v>
      </c>
      <c r="T79">
        <v>130593</v>
      </c>
    </row>
    <row r="80" spans="1:20" ht="60" x14ac:dyDescent="0.25">
      <c r="A80" s="16" t="s">
        <v>1272</v>
      </c>
      <c r="B80" s="16" t="s">
        <v>1521</v>
      </c>
      <c r="C80" s="16" t="s">
        <v>279</v>
      </c>
      <c r="D80" s="16" t="s">
        <v>1274</v>
      </c>
      <c r="E80" s="16" t="s">
        <v>1522</v>
      </c>
      <c r="F80" s="16" t="s">
        <v>1276</v>
      </c>
      <c r="G80" s="16" t="s">
        <v>1277</v>
      </c>
      <c r="H80" s="16" t="s">
        <v>1276</v>
      </c>
      <c r="I80" s="16" t="s">
        <v>1523</v>
      </c>
      <c r="J80" s="16" t="s">
        <v>1279</v>
      </c>
      <c r="K80" s="16" t="s">
        <v>1276</v>
      </c>
      <c r="L80" s="16" t="s">
        <v>1280</v>
      </c>
      <c r="M80" s="25" t="str">
        <f t="shared" si="3"/>
        <v>130595</v>
      </c>
      <c r="N80" t="str">
        <f t="shared" si="4"/>
        <v xml:space="preserve"> 8" DEF+RES+Ultra Res MFL+XYZ 08" </v>
      </c>
      <c r="O80" t="b">
        <f t="shared" si="5"/>
        <v>1</v>
      </c>
      <c r="S80" t="s">
        <v>278</v>
      </c>
      <c r="T80">
        <v>130595</v>
      </c>
    </row>
    <row r="81" spans="1:20" ht="60" x14ac:dyDescent="0.25">
      <c r="A81" s="16" t="s">
        <v>1272</v>
      </c>
      <c r="B81" s="16" t="s">
        <v>1524</v>
      </c>
      <c r="C81" s="16" t="s">
        <v>316</v>
      </c>
      <c r="D81" s="16" t="s">
        <v>1274</v>
      </c>
      <c r="E81" s="16" t="s">
        <v>1525</v>
      </c>
      <c r="F81" s="16" t="s">
        <v>1276</v>
      </c>
      <c r="G81" s="16" t="s">
        <v>1277</v>
      </c>
      <c r="H81" s="16" t="s">
        <v>1276</v>
      </c>
      <c r="I81" s="16" t="s">
        <v>1526</v>
      </c>
      <c r="J81" s="16" t="s">
        <v>1279</v>
      </c>
      <c r="K81" s="16" t="s">
        <v>1276</v>
      </c>
      <c r="L81" s="16" t="s">
        <v>1280</v>
      </c>
      <c r="M81" s="25" t="str">
        <f t="shared" si="3"/>
        <v>130596</v>
      </c>
      <c r="N81" t="str">
        <f t="shared" si="4"/>
        <v xml:space="preserve"> 8" DEF+RES+Ultra Res MFL 08" </v>
      </c>
      <c r="O81" t="b">
        <f t="shared" si="5"/>
        <v>0</v>
      </c>
      <c r="S81" t="s">
        <v>315</v>
      </c>
      <c r="T81">
        <v>130596</v>
      </c>
    </row>
    <row r="82" spans="1:20" ht="60" x14ac:dyDescent="0.25">
      <c r="A82" s="16" t="s">
        <v>1272</v>
      </c>
      <c r="B82" s="16" t="s">
        <v>1527</v>
      </c>
      <c r="C82" s="16" t="s">
        <v>293</v>
      </c>
      <c r="D82" s="16" t="s">
        <v>1274</v>
      </c>
      <c r="E82" s="16" t="s">
        <v>1528</v>
      </c>
      <c r="F82" s="16" t="s">
        <v>1276</v>
      </c>
      <c r="G82" s="16" t="s">
        <v>1277</v>
      </c>
      <c r="H82" s="16" t="s">
        <v>1276</v>
      </c>
      <c r="I82" s="16" t="s">
        <v>1529</v>
      </c>
      <c r="J82" s="16" t="s">
        <v>1279</v>
      </c>
      <c r="K82" s="16" t="s">
        <v>1276</v>
      </c>
      <c r="L82" s="16" t="s">
        <v>1280</v>
      </c>
      <c r="M82" s="25" t="str">
        <f t="shared" si="3"/>
        <v>130597</v>
      </c>
      <c r="N82" t="str">
        <f t="shared" si="4"/>
        <v xml:space="preserve"> 8" MDS FLEX DEF+Ultra Res MFL+XYZ, V2 </v>
      </c>
      <c r="O82" t="b">
        <f t="shared" si="5"/>
        <v>1</v>
      </c>
      <c r="S82" t="s">
        <v>292</v>
      </c>
      <c r="T82">
        <v>130597</v>
      </c>
    </row>
    <row r="83" spans="1:20" ht="60" x14ac:dyDescent="0.25">
      <c r="A83" s="16" t="s">
        <v>1272</v>
      </c>
      <c r="B83" s="16" t="s">
        <v>1530</v>
      </c>
      <c r="C83" s="16" t="s">
        <v>417</v>
      </c>
      <c r="D83" s="16" t="s">
        <v>1274</v>
      </c>
      <c r="E83" s="16" t="s">
        <v>1531</v>
      </c>
      <c r="F83" s="16" t="s">
        <v>1276</v>
      </c>
      <c r="G83" s="16" t="s">
        <v>1277</v>
      </c>
      <c r="H83" s="16" t="s">
        <v>1276</v>
      </c>
      <c r="I83" s="16" t="s">
        <v>1532</v>
      </c>
      <c r="J83" s="16" t="s">
        <v>1279</v>
      </c>
      <c r="K83" s="16" t="s">
        <v>1276</v>
      </c>
      <c r="L83" s="16" t="s">
        <v>1280</v>
      </c>
      <c r="M83" s="25" t="str">
        <f t="shared" si="3"/>
        <v>130604</v>
      </c>
      <c r="N83" t="str">
        <f t="shared" si="4"/>
        <v xml:space="preserve"> 8" DEF+Ultra Res MFL+XYZ </v>
      </c>
      <c r="O83" t="b">
        <f t="shared" si="5"/>
        <v>1</v>
      </c>
      <c r="S83" t="s">
        <v>416</v>
      </c>
      <c r="T83">
        <v>130604</v>
      </c>
    </row>
    <row r="84" spans="1:20" ht="45" x14ac:dyDescent="0.25">
      <c r="A84" s="16" t="s">
        <v>1272</v>
      </c>
      <c r="B84" s="16" t="s">
        <v>1533</v>
      </c>
      <c r="C84" s="16" t="s">
        <v>386</v>
      </c>
      <c r="D84" s="16" t="s">
        <v>1274</v>
      </c>
      <c r="E84" s="16" t="s">
        <v>1534</v>
      </c>
      <c r="F84" s="16" t="s">
        <v>1276</v>
      </c>
      <c r="G84" s="16" t="s">
        <v>1277</v>
      </c>
      <c r="H84" s="16" t="s">
        <v>1276</v>
      </c>
      <c r="I84" s="16" t="s">
        <v>1535</v>
      </c>
      <c r="J84" s="16" t="s">
        <v>1279</v>
      </c>
      <c r="K84" s="16" t="s">
        <v>1276</v>
      </c>
      <c r="L84" s="16" t="s">
        <v>1280</v>
      </c>
      <c r="M84" s="25" t="str">
        <f t="shared" si="3"/>
        <v>130605</v>
      </c>
      <c r="N84" t="str">
        <f t="shared" si="4"/>
        <v xml:space="preserve"> 8" DEF+Ultra Res MFL </v>
      </c>
      <c r="O84" t="b">
        <f t="shared" si="5"/>
        <v>0</v>
      </c>
      <c r="S84" t="s">
        <v>385</v>
      </c>
      <c r="T84">
        <v>130605</v>
      </c>
    </row>
    <row r="85" spans="1:20" ht="60" x14ac:dyDescent="0.25">
      <c r="A85" s="16" t="s">
        <v>1272</v>
      </c>
      <c r="B85" s="16" t="s">
        <v>1536</v>
      </c>
      <c r="C85" s="16" t="s">
        <v>339</v>
      </c>
      <c r="D85" s="16" t="s">
        <v>1274</v>
      </c>
      <c r="E85" s="16" t="s">
        <v>1537</v>
      </c>
      <c r="F85" s="16" t="s">
        <v>1276</v>
      </c>
      <c r="G85" s="16" t="s">
        <v>1277</v>
      </c>
      <c r="H85" s="16" t="s">
        <v>1276</v>
      </c>
      <c r="I85" s="16" t="s">
        <v>1538</v>
      </c>
      <c r="J85" s="16" t="s">
        <v>1279</v>
      </c>
      <c r="K85" s="16" t="s">
        <v>1276</v>
      </c>
      <c r="L85" s="16" t="s">
        <v>1280</v>
      </c>
      <c r="M85" s="25" t="str">
        <f t="shared" si="3"/>
        <v>130594</v>
      </c>
      <c r="N85" t="str">
        <f t="shared" si="4"/>
        <v xml:space="preserve"> 8" DEF+RES+SMFL+ULTRA RES MFL, V1 </v>
      </c>
      <c r="O85" t="b">
        <f t="shared" si="5"/>
        <v>0</v>
      </c>
      <c r="S85" t="s">
        <v>338</v>
      </c>
      <c r="T85">
        <v>130594</v>
      </c>
    </row>
    <row r="86" spans="1:20" ht="60" x14ac:dyDescent="0.25">
      <c r="A86" s="16" t="s">
        <v>1272</v>
      </c>
      <c r="B86" s="16" t="s">
        <v>1539</v>
      </c>
      <c r="C86" s="16" t="s">
        <v>477</v>
      </c>
      <c r="D86" s="16" t="s">
        <v>1274</v>
      </c>
      <c r="E86" s="16" t="s">
        <v>1540</v>
      </c>
      <c r="F86" s="16" t="s">
        <v>1276</v>
      </c>
      <c r="G86" s="16" t="s">
        <v>1277</v>
      </c>
      <c r="H86" s="16" t="s">
        <v>1276</v>
      </c>
      <c r="I86" s="16" t="s">
        <v>1541</v>
      </c>
      <c r="J86" s="16" t="s">
        <v>1279</v>
      </c>
      <c r="K86" s="16" t="s">
        <v>1276</v>
      </c>
      <c r="L86" s="16" t="s">
        <v>1280</v>
      </c>
      <c r="M86" s="25" t="str">
        <f t="shared" si="3"/>
        <v>101050</v>
      </c>
      <c r="N86" t="str">
        <f t="shared" si="4"/>
        <v xml:space="preserve"> 10" MFL (8" Batt, NH3) </v>
      </c>
      <c r="O86" t="b">
        <f t="shared" si="5"/>
        <v>0</v>
      </c>
      <c r="S86" t="s">
        <v>476</v>
      </c>
      <c r="T86">
        <v>101050</v>
      </c>
    </row>
    <row r="87" spans="1:20" ht="45" x14ac:dyDescent="0.25">
      <c r="A87" s="16" t="s">
        <v>1272</v>
      </c>
      <c r="B87" s="16" t="s">
        <v>1542</v>
      </c>
      <c r="C87" s="16" t="s">
        <v>510</v>
      </c>
      <c r="D87" s="16" t="s">
        <v>1274</v>
      </c>
      <c r="E87" s="16" t="s">
        <v>1543</v>
      </c>
      <c r="F87" s="16" t="s">
        <v>1276</v>
      </c>
      <c r="G87" s="16" t="s">
        <v>1277</v>
      </c>
      <c r="H87" s="16" t="s">
        <v>1276</v>
      </c>
      <c r="I87" s="16" t="s">
        <v>1544</v>
      </c>
      <c r="J87" s="16" t="s">
        <v>1279</v>
      </c>
      <c r="K87" s="16" t="s">
        <v>1276</v>
      </c>
      <c r="L87" s="16" t="s">
        <v>1280</v>
      </c>
      <c r="M87" s="25" t="str">
        <f t="shared" si="3"/>
        <v>103200</v>
      </c>
      <c r="N87" t="str">
        <f t="shared" si="4"/>
        <v xml:space="preserve"> 12x10" GMFL </v>
      </c>
      <c r="O87" t="b">
        <f t="shared" si="5"/>
        <v>0</v>
      </c>
      <c r="S87" t="s">
        <v>509</v>
      </c>
      <c r="T87">
        <v>103200</v>
      </c>
    </row>
    <row r="88" spans="1:20" ht="60" x14ac:dyDescent="0.25">
      <c r="A88" s="16" t="s">
        <v>1272</v>
      </c>
      <c r="B88" s="16" t="s">
        <v>1545</v>
      </c>
      <c r="C88" s="16" t="s">
        <v>438</v>
      </c>
      <c r="D88" s="16" t="s">
        <v>1274</v>
      </c>
      <c r="E88" s="16" t="s">
        <v>1546</v>
      </c>
      <c r="F88" s="16" t="s">
        <v>1276</v>
      </c>
      <c r="G88" s="16" t="s">
        <v>1277</v>
      </c>
      <c r="H88" s="16" t="s">
        <v>1276</v>
      </c>
      <c r="I88" s="16" t="s">
        <v>1547</v>
      </c>
      <c r="J88" s="16" t="s">
        <v>1279</v>
      </c>
      <c r="K88" s="16" t="s">
        <v>1276</v>
      </c>
      <c r="L88" s="16" t="s">
        <v>1280</v>
      </c>
      <c r="M88" s="25" t="str">
        <f t="shared" si="3"/>
        <v>106627</v>
      </c>
      <c r="N88" t="str">
        <f t="shared" si="4"/>
        <v xml:space="preserve"> 10" DEF (NH3) </v>
      </c>
      <c r="O88" t="b">
        <f t="shared" si="5"/>
        <v>0</v>
      </c>
      <c r="S88" t="s">
        <v>437</v>
      </c>
      <c r="T88">
        <v>106627</v>
      </c>
    </row>
    <row r="89" spans="1:20" ht="60" x14ac:dyDescent="0.25">
      <c r="A89" s="16" t="s">
        <v>1272</v>
      </c>
      <c r="B89" s="16" t="s">
        <v>1548</v>
      </c>
      <c r="C89" s="16" t="s">
        <v>517</v>
      </c>
      <c r="D89" s="16" t="s">
        <v>1274</v>
      </c>
      <c r="E89" s="16" t="s">
        <v>1549</v>
      </c>
      <c r="F89" s="16" t="s">
        <v>1276</v>
      </c>
      <c r="G89" s="16" t="s">
        <v>1277</v>
      </c>
      <c r="H89" s="16" t="s">
        <v>1276</v>
      </c>
      <c r="I89" s="16" t="s">
        <v>1550</v>
      </c>
      <c r="J89" s="16" t="s">
        <v>1279</v>
      </c>
      <c r="K89" s="16" t="s">
        <v>1276</v>
      </c>
      <c r="L89" s="16" t="s">
        <v>1280</v>
      </c>
      <c r="M89" s="25" t="str">
        <f t="shared" si="3"/>
        <v>108300</v>
      </c>
      <c r="N89" t="str">
        <f t="shared" si="4"/>
        <v xml:space="preserve"> 10" MDS FLEX MFL3+DEF+RES </v>
      </c>
      <c r="O89" t="b">
        <f t="shared" si="5"/>
        <v>0</v>
      </c>
      <c r="S89" t="s">
        <v>516</v>
      </c>
      <c r="T89">
        <v>108300</v>
      </c>
    </row>
    <row r="90" spans="1:20" ht="60" x14ac:dyDescent="0.25">
      <c r="A90" s="16" t="s">
        <v>1272</v>
      </c>
      <c r="B90" s="16" t="s">
        <v>1551</v>
      </c>
      <c r="C90" s="16" t="s">
        <v>504</v>
      </c>
      <c r="D90" s="16" t="s">
        <v>1274</v>
      </c>
      <c r="E90" s="16" t="s">
        <v>1552</v>
      </c>
      <c r="F90" s="16" t="s">
        <v>1276</v>
      </c>
      <c r="G90" s="16" t="s">
        <v>1277</v>
      </c>
      <c r="H90" s="16" t="s">
        <v>1276</v>
      </c>
      <c r="I90" s="16" t="s">
        <v>1553</v>
      </c>
      <c r="J90" s="16" t="s">
        <v>1279</v>
      </c>
      <c r="K90" s="16" t="s">
        <v>1276</v>
      </c>
      <c r="L90" s="16" t="s">
        <v>1280</v>
      </c>
      <c r="M90" s="25" t="str">
        <f t="shared" si="3"/>
        <v>108556</v>
      </c>
      <c r="N90" t="str">
        <f t="shared" si="4"/>
        <v xml:space="preserve"> 10" GMFL (xHD) </v>
      </c>
      <c r="O90" t="b">
        <f t="shared" si="5"/>
        <v>0</v>
      </c>
      <c r="S90" t="s">
        <v>503</v>
      </c>
      <c r="T90">
        <v>108556</v>
      </c>
    </row>
    <row r="91" spans="1:20" ht="60" x14ac:dyDescent="0.25">
      <c r="A91" s="16" t="s">
        <v>1272</v>
      </c>
      <c r="B91" s="16" t="s">
        <v>1554</v>
      </c>
      <c r="C91" s="16" t="s">
        <v>488</v>
      </c>
      <c r="D91" s="16" t="s">
        <v>1274</v>
      </c>
      <c r="E91" s="16" t="s">
        <v>1555</v>
      </c>
      <c r="F91" s="16" t="s">
        <v>1276</v>
      </c>
      <c r="G91" s="16" t="s">
        <v>1277</v>
      </c>
      <c r="H91" s="16" t="s">
        <v>1276</v>
      </c>
      <c r="I91" s="16" t="s">
        <v>1556</v>
      </c>
      <c r="J91" s="16" t="s">
        <v>1279</v>
      </c>
      <c r="K91" s="16" t="s">
        <v>1276</v>
      </c>
      <c r="L91" s="16" t="s">
        <v>1280</v>
      </c>
      <c r="M91" s="25" t="str">
        <f t="shared" si="3"/>
        <v>108558</v>
      </c>
      <c r="N91" t="str">
        <f t="shared" si="4"/>
        <v xml:space="preserve"> 10" GMFL+DEF (xHD) </v>
      </c>
      <c r="O91" t="b">
        <f t="shared" si="5"/>
        <v>0</v>
      </c>
      <c r="S91" t="s">
        <v>487</v>
      </c>
      <c r="T91">
        <v>108558</v>
      </c>
    </row>
    <row r="92" spans="1:20" ht="45" x14ac:dyDescent="0.25">
      <c r="A92" s="16" t="s">
        <v>1272</v>
      </c>
      <c r="B92" s="16" t="s">
        <v>1557</v>
      </c>
      <c r="C92" s="16" t="s">
        <v>438</v>
      </c>
      <c r="D92" s="16" t="s">
        <v>1274</v>
      </c>
      <c r="E92" s="16" t="s">
        <v>1558</v>
      </c>
      <c r="F92" s="16" t="s">
        <v>1276</v>
      </c>
      <c r="G92" s="16" t="s">
        <v>1277</v>
      </c>
      <c r="H92" s="16" t="s">
        <v>1276</v>
      </c>
      <c r="I92" s="16" t="s">
        <v>1559</v>
      </c>
      <c r="J92" s="16" t="s">
        <v>1279</v>
      </c>
      <c r="K92" s="16" t="s">
        <v>1276</v>
      </c>
      <c r="L92" s="16" t="s">
        <v>1280</v>
      </c>
      <c r="M92" s="25" t="str">
        <f t="shared" si="3"/>
        <v>108571</v>
      </c>
      <c r="N92" t="str">
        <f t="shared" si="4"/>
        <v xml:space="preserve"> 10" DEF (8" Batt) xHD </v>
      </c>
      <c r="O92" t="b">
        <f t="shared" si="5"/>
        <v>0</v>
      </c>
      <c r="S92" t="s">
        <v>1560</v>
      </c>
      <c r="T92">
        <v>108571</v>
      </c>
    </row>
    <row r="93" spans="1:20" ht="60" x14ac:dyDescent="0.25">
      <c r="A93" s="16" t="s">
        <v>1272</v>
      </c>
      <c r="B93" s="16" t="s">
        <v>1561</v>
      </c>
      <c r="C93" s="16" t="s">
        <v>527</v>
      </c>
      <c r="D93" s="16" t="s">
        <v>1274</v>
      </c>
      <c r="E93" s="16" t="s">
        <v>1562</v>
      </c>
      <c r="F93" s="16" t="s">
        <v>1276</v>
      </c>
      <c r="G93" s="16" t="s">
        <v>1277</v>
      </c>
      <c r="H93" s="16" t="s">
        <v>1276</v>
      </c>
      <c r="I93" s="16" t="s">
        <v>1563</v>
      </c>
      <c r="J93" s="16" t="s">
        <v>1279</v>
      </c>
      <c r="K93" s="16" t="s">
        <v>1276</v>
      </c>
      <c r="L93" s="16" t="s">
        <v>1280</v>
      </c>
      <c r="M93" s="25" t="str">
        <f t="shared" si="3"/>
        <v>108577</v>
      </c>
      <c r="N93" t="str">
        <f t="shared" si="4"/>
        <v xml:space="preserve"> 10" MFL+DEF (8" Batt, xHD) </v>
      </c>
      <c r="O93" t="b">
        <f t="shared" si="5"/>
        <v>0</v>
      </c>
      <c r="S93" t="s">
        <v>560</v>
      </c>
      <c r="T93">
        <v>108577</v>
      </c>
    </row>
    <row r="94" spans="1:20" ht="45" x14ac:dyDescent="0.25">
      <c r="A94" s="16" t="s">
        <v>1272</v>
      </c>
      <c r="B94" s="16" t="s">
        <v>1564</v>
      </c>
      <c r="C94" s="16" t="s">
        <v>438</v>
      </c>
      <c r="D94" s="16" t="s">
        <v>1274</v>
      </c>
      <c r="E94" s="16" t="s">
        <v>1565</v>
      </c>
      <c r="F94" s="16" t="s">
        <v>1276</v>
      </c>
      <c r="G94" s="16" t="s">
        <v>1277</v>
      </c>
      <c r="H94" s="16" t="s">
        <v>1276</v>
      </c>
      <c r="I94" s="16" t="s">
        <v>1566</v>
      </c>
      <c r="J94" s="16" t="s">
        <v>1279</v>
      </c>
      <c r="K94" s="16" t="s">
        <v>1276</v>
      </c>
      <c r="L94" s="16" t="s">
        <v>1280</v>
      </c>
      <c r="M94" s="25" t="str">
        <f t="shared" si="3"/>
        <v>110403</v>
      </c>
      <c r="N94" t="str">
        <f t="shared" si="4"/>
        <v xml:space="preserve"> 10" DEF ATEX </v>
      </c>
      <c r="O94" t="b">
        <f t="shared" si="5"/>
        <v>0</v>
      </c>
      <c r="S94" t="s">
        <v>458</v>
      </c>
      <c r="T94">
        <v>110403</v>
      </c>
    </row>
    <row r="95" spans="1:20" ht="60" x14ac:dyDescent="0.25">
      <c r="A95" s="16" t="s">
        <v>1272</v>
      </c>
      <c r="B95" s="16" t="s">
        <v>1567</v>
      </c>
      <c r="C95" s="16" t="s">
        <v>556</v>
      </c>
      <c r="D95" s="16" t="s">
        <v>1274</v>
      </c>
      <c r="E95" s="16" t="s">
        <v>1568</v>
      </c>
      <c r="F95" s="16" t="s">
        <v>1276</v>
      </c>
      <c r="G95" s="16" t="s">
        <v>1277</v>
      </c>
      <c r="H95" s="16" t="s">
        <v>1276</v>
      </c>
      <c r="I95" s="16" t="s">
        <v>1569</v>
      </c>
      <c r="J95" s="16" t="s">
        <v>1279</v>
      </c>
      <c r="K95" s="16" t="s">
        <v>1276</v>
      </c>
      <c r="L95" s="16" t="s">
        <v>1280</v>
      </c>
      <c r="M95" s="25" t="str">
        <f t="shared" si="3"/>
        <v>110548</v>
      </c>
      <c r="N95" t="str">
        <f t="shared" si="4"/>
        <v xml:space="preserve"> 10" DEF+XYZ (xHD) </v>
      </c>
      <c r="O95" t="b">
        <f t="shared" si="5"/>
        <v>1</v>
      </c>
      <c r="S95" t="s">
        <v>555</v>
      </c>
      <c r="T95">
        <v>110548</v>
      </c>
    </row>
    <row r="96" spans="1:20" ht="60" x14ac:dyDescent="0.25">
      <c r="A96" s="16" t="s">
        <v>1272</v>
      </c>
      <c r="B96" s="16" t="s">
        <v>1570</v>
      </c>
      <c r="C96" s="16" t="s">
        <v>477</v>
      </c>
      <c r="D96" s="16" t="s">
        <v>1274</v>
      </c>
      <c r="E96" s="16" t="s">
        <v>1571</v>
      </c>
      <c r="F96" s="16" t="s">
        <v>1276</v>
      </c>
      <c r="G96" s="16" t="s">
        <v>1277</v>
      </c>
      <c r="H96" s="16" t="s">
        <v>1276</v>
      </c>
      <c r="I96" s="16" t="s">
        <v>1572</v>
      </c>
      <c r="J96" s="16" t="s">
        <v>1279</v>
      </c>
      <c r="K96" s="16" t="s">
        <v>1276</v>
      </c>
      <c r="L96" s="16" t="s">
        <v>1280</v>
      </c>
      <c r="M96" s="25" t="str">
        <f t="shared" si="3"/>
        <v>110864</v>
      </c>
      <c r="N96" t="str">
        <f t="shared" si="4"/>
        <v xml:space="preserve"> 10" MFL ATEX </v>
      </c>
      <c r="O96" t="b">
        <f t="shared" si="5"/>
        <v>0</v>
      </c>
      <c r="S96" t="s">
        <v>542</v>
      </c>
      <c r="T96">
        <v>110864</v>
      </c>
    </row>
    <row r="97" spans="1:20" ht="60" x14ac:dyDescent="0.25">
      <c r="A97" s="16" t="s">
        <v>1272</v>
      </c>
      <c r="B97" s="16" t="s">
        <v>1573</v>
      </c>
      <c r="C97" s="16" t="s">
        <v>527</v>
      </c>
      <c r="D97" s="16" t="s">
        <v>1274</v>
      </c>
      <c r="E97" s="16" t="s">
        <v>1574</v>
      </c>
      <c r="F97" s="16" t="s">
        <v>1276</v>
      </c>
      <c r="G97" s="16" t="s">
        <v>1277</v>
      </c>
      <c r="H97" s="16" t="s">
        <v>1276</v>
      </c>
      <c r="I97" s="16" t="s">
        <v>1575</v>
      </c>
      <c r="J97" s="16" t="s">
        <v>1279</v>
      </c>
      <c r="K97" s="16" t="s">
        <v>1276</v>
      </c>
      <c r="L97" s="16" t="s">
        <v>1280</v>
      </c>
      <c r="M97" s="25" t="str">
        <f t="shared" si="3"/>
        <v>113240</v>
      </c>
      <c r="N97" t="str">
        <f t="shared" si="4"/>
        <v xml:space="preserve"> 10" MFL+DEF (NH3) </v>
      </c>
      <c r="O97" t="b">
        <f t="shared" si="5"/>
        <v>0</v>
      </c>
      <c r="S97" t="s">
        <v>526</v>
      </c>
      <c r="T97">
        <v>113240</v>
      </c>
    </row>
    <row r="98" spans="1:20" ht="60" x14ac:dyDescent="0.25">
      <c r="A98" s="16" t="s">
        <v>1272</v>
      </c>
      <c r="B98" s="16" t="s">
        <v>1576</v>
      </c>
      <c r="C98" s="16" t="s">
        <v>546</v>
      </c>
      <c r="D98" s="16" t="s">
        <v>1274</v>
      </c>
      <c r="E98" s="16" t="s">
        <v>1577</v>
      </c>
      <c r="F98" s="16" t="s">
        <v>1276</v>
      </c>
      <c r="G98" s="16" t="s">
        <v>1277</v>
      </c>
      <c r="H98" s="16" t="s">
        <v>1276</v>
      </c>
      <c r="I98" s="16" t="s">
        <v>1578</v>
      </c>
      <c r="J98" s="16" t="s">
        <v>1279</v>
      </c>
      <c r="K98" s="16" t="s">
        <v>1276</v>
      </c>
      <c r="L98" s="16" t="s">
        <v>1280</v>
      </c>
      <c r="M98" s="25" t="str">
        <f t="shared" si="3"/>
        <v>113407</v>
      </c>
      <c r="N98" t="str">
        <f t="shared" si="4"/>
        <v xml:space="preserve"> 10" GMFL+XYZ (xHD) </v>
      </c>
      <c r="O98" t="b">
        <f t="shared" si="5"/>
        <v>1</v>
      </c>
      <c r="S98" t="s">
        <v>545</v>
      </c>
      <c r="T98">
        <v>113407</v>
      </c>
    </row>
    <row r="99" spans="1:20" ht="60" x14ac:dyDescent="0.25">
      <c r="A99" s="16" t="s">
        <v>1272</v>
      </c>
      <c r="B99" s="16" t="s">
        <v>1579</v>
      </c>
      <c r="C99" s="16" t="s">
        <v>521</v>
      </c>
      <c r="D99" s="16" t="s">
        <v>1274</v>
      </c>
      <c r="E99" s="16" t="s">
        <v>1580</v>
      </c>
      <c r="F99" s="16" t="s">
        <v>1276</v>
      </c>
      <c r="G99" s="16" t="s">
        <v>1277</v>
      </c>
      <c r="H99" s="16" t="s">
        <v>1276</v>
      </c>
      <c r="I99" s="16" t="s">
        <v>1581</v>
      </c>
      <c r="J99" s="16" t="s">
        <v>1279</v>
      </c>
      <c r="K99" s="16" t="s">
        <v>1276</v>
      </c>
      <c r="L99" s="16" t="s">
        <v>1280</v>
      </c>
      <c r="M99" s="25" t="str">
        <f t="shared" si="3"/>
        <v>113580</v>
      </c>
      <c r="N99" t="str">
        <f t="shared" si="4"/>
        <v xml:space="preserve"> 10" MFL+DEF+XYZ ATEX </v>
      </c>
      <c r="O99" t="b">
        <f t="shared" si="5"/>
        <v>1</v>
      </c>
      <c r="S99" t="s">
        <v>520</v>
      </c>
      <c r="T99">
        <v>113580</v>
      </c>
    </row>
    <row r="100" spans="1:20" ht="45" x14ac:dyDescent="0.25">
      <c r="A100" s="16" t="s">
        <v>1272</v>
      </c>
      <c r="B100" s="16" t="s">
        <v>1582</v>
      </c>
      <c r="C100" s="16" t="s">
        <v>453</v>
      </c>
      <c r="D100" s="16" t="s">
        <v>1274</v>
      </c>
      <c r="E100" s="16" t="s">
        <v>1583</v>
      </c>
      <c r="F100" s="16" t="s">
        <v>1276</v>
      </c>
      <c r="G100" s="16" t="s">
        <v>1277</v>
      </c>
      <c r="H100" s="16" t="s">
        <v>1276</v>
      </c>
      <c r="I100" s="16" t="s">
        <v>1584</v>
      </c>
      <c r="J100" s="16" t="s">
        <v>1279</v>
      </c>
      <c r="K100" s="16" t="s">
        <v>1276</v>
      </c>
      <c r="L100" s="16" t="s">
        <v>1280</v>
      </c>
      <c r="M100" s="25" t="str">
        <f t="shared" si="3"/>
        <v>114362</v>
      </c>
      <c r="N100" t="str">
        <f t="shared" si="4"/>
        <v xml:space="preserve"> 10" GMFL+DEF+XYZ ATEX </v>
      </c>
      <c r="O100" t="b">
        <f t="shared" si="5"/>
        <v>1</v>
      </c>
      <c r="S100" t="s">
        <v>452</v>
      </c>
      <c r="T100">
        <v>114362</v>
      </c>
    </row>
    <row r="101" spans="1:20" ht="45" x14ac:dyDescent="0.25">
      <c r="A101" s="16" t="s">
        <v>1272</v>
      </c>
      <c r="B101" s="16" t="s">
        <v>1585</v>
      </c>
      <c r="C101" s="16" t="s">
        <v>556</v>
      </c>
      <c r="D101" s="16" t="s">
        <v>1274</v>
      </c>
      <c r="E101" s="16" t="s">
        <v>1586</v>
      </c>
      <c r="F101" s="16" t="s">
        <v>1276</v>
      </c>
      <c r="G101" s="16" t="s">
        <v>1277</v>
      </c>
      <c r="H101" s="16" t="s">
        <v>1276</v>
      </c>
      <c r="I101" s="16" t="s">
        <v>1587</v>
      </c>
      <c r="J101" s="16" t="s">
        <v>1279</v>
      </c>
      <c r="K101" s="16" t="s">
        <v>1276</v>
      </c>
      <c r="L101" s="16" t="s">
        <v>1280</v>
      </c>
      <c r="M101" s="25" t="str">
        <f t="shared" si="3"/>
        <v>115008</v>
      </c>
      <c r="N101" t="str">
        <f t="shared" si="4"/>
        <v xml:space="preserve"> 10" DEF+XYZ ATEX </v>
      </c>
      <c r="O101" t="b">
        <f t="shared" si="5"/>
        <v>1</v>
      </c>
      <c r="S101" t="s">
        <v>1588</v>
      </c>
      <c r="T101">
        <v>115008</v>
      </c>
    </row>
    <row r="102" spans="1:20" ht="45" x14ac:dyDescent="0.25">
      <c r="A102" s="16" t="s">
        <v>1272</v>
      </c>
      <c r="B102" s="16" t="s">
        <v>1589</v>
      </c>
      <c r="C102" s="16" t="s">
        <v>538</v>
      </c>
      <c r="D102" s="16" t="s">
        <v>1274</v>
      </c>
      <c r="E102" s="16" t="s">
        <v>1590</v>
      </c>
      <c r="F102" s="16" t="s">
        <v>1276</v>
      </c>
      <c r="G102" s="16" t="s">
        <v>1277</v>
      </c>
      <c r="H102" s="16" t="s">
        <v>1276</v>
      </c>
      <c r="I102" s="16" t="s">
        <v>1591</v>
      </c>
      <c r="J102" s="16" t="s">
        <v>1279</v>
      </c>
      <c r="K102" s="16" t="s">
        <v>1276</v>
      </c>
      <c r="L102" s="16" t="s">
        <v>1280</v>
      </c>
      <c r="M102" s="25" t="str">
        <f t="shared" si="3"/>
        <v>115144</v>
      </c>
      <c r="N102" t="str">
        <f t="shared" si="4"/>
        <v xml:space="preserve"> 10" MFL+XYZ ATEX </v>
      </c>
      <c r="O102" t="b">
        <f t="shared" si="5"/>
        <v>1</v>
      </c>
      <c r="S102" t="s">
        <v>537</v>
      </c>
      <c r="T102">
        <v>115144</v>
      </c>
    </row>
    <row r="103" spans="1:20" ht="60" x14ac:dyDescent="0.25">
      <c r="A103" s="16" t="s">
        <v>1272</v>
      </c>
      <c r="B103" s="16" t="s">
        <v>1592</v>
      </c>
      <c r="C103" s="16" t="s">
        <v>527</v>
      </c>
      <c r="D103" s="16" t="s">
        <v>1274</v>
      </c>
      <c r="E103" s="16" t="s">
        <v>1593</v>
      </c>
      <c r="F103" s="16" t="s">
        <v>1276</v>
      </c>
      <c r="G103" s="16" t="s">
        <v>1277</v>
      </c>
      <c r="H103" s="16" t="s">
        <v>1276</v>
      </c>
      <c r="I103" s="16" t="s">
        <v>1594</v>
      </c>
      <c r="J103" s="16" t="s">
        <v>1279</v>
      </c>
      <c r="K103" s="16" t="s">
        <v>1276</v>
      </c>
      <c r="L103" s="16" t="s">
        <v>1280</v>
      </c>
      <c r="M103" s="25" t="str">
        <f t="shared" si="3"/>
        <v>117308</v>
      </c>
      <c r="N103" t="str">
        <f t="shared" si="4"/>
        <v xml:space="preserve"> 10" MFL+IDOD+DEF (NH3) </v>
      </c>
      <c r="O103" t="b">
        <f t="shared" si="5"/>
        <v>0</v>
      </c>
      <c r="S103" t="s">
        <v>1595</v>
      </c>
      <c r="T103">
        <v>117308</v>
      </c>
    </row>
    <row r="104" spans="1:20" ht="45" x14ac:dyDescent="0.25">
      <c r="A104" s="16" t="s">
        <v>1272</v>
      </c>
      <c r="B104" s="16" t="s">
        <v>1596</v>
      </c>
      <c r="C104" s="16" t="s">
        <v>533</v>
      </c>
      <c r="D104" s="16" t="s">
        <v>1274</v>
      </c>
      <c r="E104" s="16" t="s">
        <v>1597</v>
      </c>
      <c r="F104" s="16" t="s">
        <v>1276</v>
      </c>
      <c r="G104" s="16" t="s">
        <v>1277</v>
      </c>
      <c r="H104" s="16" t="s">
        <v>1276</v>
      </c>
      <c r="I104" s="16" t="s">
        <v>1598</v>
      </c>
      <c r="J104" s="16" t="s">
        <v>1279</v>
      </c>
      <c r="K104" s="16" t="s">
        <v>1276</v>
      </c>
      <c r="L104" s="16" t="s">
        <v>1280</v>
      </c>
      <c r="M104" s="25" t="str">
        <f t="shared" si="3"/>
        <v>10_650</v>
      </c>
      <c r="N104" t="str">
        <f t="shared" si="4"/>
        <v xml:space="preserve"> 10" LGT </v>
      </c>
      <c r="O104" t="b">
        <f t="shared" si="5"/>
        <v>0</v>
      </c>
      <c r="S104" t="s">
        <v>532</v>
      </c>
      <c r="T104" s="25" t="s">
        <v>530</v>
      </c>
    </row>
    <row r="105" spans="1:20" ht="45" x14ac:dyDescent="0.25">
      <c r="A105" s="16" t="s">
        <v>1272</v>
      </c>
      <c r="B105" s="16" t="s">
        <v>1599</v>
      </c>
      <c r="C105" s="16" t="s">
        <v>471</v>
      </c>
      <c r="D105" s="16" t="s">
        <v>1274</v>
      </c>
      <c r="E105" s="16" t="s">
        <v>1600</v>
      </c>
      <c r="F105" s="16" t="s">
        <v>1276</v>
      </c>
      <c r="G105" s="16" t="s">
        <v>1277</v>
      </c>
      <c r="H105" s="16" t="s">
        <v>1276</v>
      </c>
      <c r="I105" s="16" t="s">
        <v>1601</v>
      </c>
      <c r="J105" s="16" t="s">
        <v>1279</v>
      </c>
      <c r="K105" s="16" t="s">
        <v>1276</v>
      </c>
      <c r="L105" s="16" t="s">
        <v>1280</v>
      </c>
      <c r="M105" s="25" t="str">
        <f t="shared" si="3"/>
        <v>119600</v>
      </c>
      <c r="N105" t="str">
        <f t="shared" si="4"/>
        <v xml:space="preserve"> 10" (254 mm) </v>
      </c>
      <c r="O105" t="b">
        <f t="shared" si="5"/>
        <v>0</v>
      </c>
      <c r="S105" t="s">
        <v>470</v>
      </c>
      <c r="T105">
        <v>119600</v>
      </c>
    </row>
    <row r="106" spans="1:20" ht="45" x14ac:dyDescent="0.25">
      <c r="A106" s="16" t="s">
        <v>1272</v>
      </c>
      <c r="B106" s="16" t="s">
        <v>1602</v>
      </c>
      <c r="C106" s="16" t="s">
        <v>443</v>
      </c>
      <c r="D106" s="16" t="s">
        <v>1274</v>
      </c>
      <c r="E106" s="16" t="s">
        <v>1603</v>
      </c>
      <c r="F106" s="16" t="s">
        <v>1276</v>
      </c>
      <c r="G106" s="16" t="s">
        <v>1277</v>
      </c>
      <c r="H106" s="16" t="s">
        <v>1276</v>
      </c>
      <c r="I106" s="16" t="s">
        <v>1604</v>
      </c>
      <c r="J106" s="16" t="s">
        <v>1279</v>
      </c>
      <c r="K106" s="16" t="s">
        <v>1276</v>
      </c>
      <c r="L106" s="16" t="s">
        <v>1280</v>
      </c>
      <c r="M106" s="25" t="str">
        <f t="shared" si="3"/>
        <v>120561</v>
      </c>
      <c r="N106" t="str">
        <f t="shared" si="4"/>
        <v xml:space="preserve"> 10" MFL3+DEF+SMFL+RES </v>
      </c>
      <c r="O106" t="b">
        <f t="shared" si="5"/>
        <v>0</v>
      </c>
      <c r="S106" t="s">
        <v>442</v>
      </c>
      <c r="T106">
        <v>120561</v>
      </c>
    </row>
    <row r="107" spans="1:20" ht="45" x14ac:dyDescent="0.25">
      <c r="A107" s="16" t="s">
        <v>1272</v>
      </c>
      <c r="B107" s="16" t="s">
        <v>1605</v>
      </c>
      <c r="C107" s="16" t="s">
        <v>433</v>
      </c>
      <c r="D107" s="16" t="s">
        <v>1274</v>
      </c>
      <c r="E107" s="16" t="s">
        <v>1606</v>
      </c>
      <c r="F107" s="16" t="s">
        <v>1276</v>
      </c>
      <c r="G107" s="16" t="s">
        <v>1277</v>
      </c>
      <c r="H107" s="16" t="s">
        <v>1276</v>
      </c>
      <c r="I107" s="16" t="s">
        <v>1607</v>
      </c>
      <c r="J107" s="16" t="s">
        <v>1279</v>
      </c>
      <c r="K107" s="16" t="s">
        <v>1276</v>
      </c>
      <c r="L107" s="16" t="s">
        <v>1280</v>
      </c>
      <c r="M107" s="25" t="str">
        <f t="shared" si="3"/>
        <v>120640</v>
      </c>
      <c r="N107" t="str">
        <f t="shared" si="4"/>
        <v xml:space="preserve"> 10" MFL3+DEF+SMFL+XYZ+RES </v>
      </c>
      <c r="O107" t="b">
        <f t="shared" si="5"/>
        <v>1</v>
      </c>
      <c r="S107" t="s">
        <v>432</v>
      </c>
      <c r="T107">
        <v>120640</v>
      </c>
    </row>
    <row r="108" spans="1:20" ht="45" x14ac:dyDescent="0.25">
      <c r="A108" s="16" t="s">
        <v>1272</v>
      </c>
      <c r="B108" s="16" t="s">
        <v>1608</v>
      </c>
      <c r="C108" s="16" t="s">
        <v>521</v>
      </c>
      <c r="D108" s="16" t="s">
        <v>1274</v>
      </c>
      <c r="E108" s="16" t="s">
        <v>1609</v>
      </c>
      <c r="F108" s="16" t="s">
        <v>1276</v>
      </c>
      <c r="G108" s="16" t="s">
        <v>1277</v>
      </c>
      <c r="H108" s="16" t="s">
        <v>1276</v>
      </c>
      <c r="I108" s="16" t="s">
        <v>1610</v>
      </c>
      <c r="J108" s="16" t="s">
        <v>1279</v>
      </c>
      <c r="K108" s="16" t="s">
        <v>1276</v>
      </c>
      <c r="L108" s="16" t="s">
        <v>1280</v>
      </c>
      <c r="M108" s="25" t="str">
        <f t="shared" si="3"/>
        <v>119024</v>
      </c>
      <c r="N108" t="str">
        <f t="shared" si="4"/>
        <v xml:space="preserve"> 10" MFL+DEF+XYZ (Dual Drive) </v>
      </c>
      <c r="O108" t="b">
        <f t="shared" si="5"/>
        <v>1</v>
      </c>
      <c r="S108" t="s">
        <v>1611</v>
      </c>
      <c r="T108">
        <v>119024</v>
      </c>
    </row>
    <row r="109" spans="1:20" ht="60" x14ac:dyDescent="0.25">
      <c r="A109" s="16" t="s">
        <v>1272</v>
      </c>
      <c r="B109" s="16" t="s">
        <v>1612</v>
      </c>
      <c r="C109" s="16" t="s">
        <v>556</v>
      </c>
      <c r="D109" s="16" t="s">
        <v>1274</v>
      </c>
      <c r="E109" s="16" t="s">
        <v>1613</v>
      </c>
      <c r="F109" s="16" t="s">
        <v>1276</v>
      </c>
      <c r="G109" s="16" t="s">
        <v>1277</v>
      </c>
      <c r="H109" s="16" t="s">
        <v>1276</v>
      </c>
      <c r="I109" s="16" t="s">
        <v>1614</v>
      </c>
      <c r="J109" s="16" t="s">
        <v>1279</v>
      </c>
      <c r="K109" s="16" t="s">
        <v>1276</v>
      </c>
      <c r="L109" s="16" t="s">
        <v>1280</v>
      </c>
      <c r="M109" s="25" t="str">
        <f t="shared" si="3"/>
        <v>122986</v>
      </c>
      <c r="N109" t="str">
        <f t="shared" si="4"/>
        <v xml:space="preserve"> 10" DEF+XYZ NH3 </v>
      </c>
      <c r="O109" t="b">
        <f t="shared" si="5"/>
        <v>1</v>
      </c>
      <c r="S109" t="s">
        <v>573</v>
      </c>
      <c r="T109">
        <v>122986</v>
      </c>
    </row>
    <row r="110" spans="1:20" ht="45" x14ac:dyDescent="0.25">
      <c r="A110" s="16" t="s">
        <v>1272</v>
      </c>
      <c r="B110" s="16" t="s">
        <v>1615</v>
      </c>
      <c r="C110" s="16" t="s">
        <v>564</v>
      </c>
      <c r="D110" s="16" t="s">
        <v>1274</v>
      </c>
      <c r="E110" s="16" t="s">
        <v>1616</v>
      </c>
      <c r="F110" s="16" t="s">
        <v>1276</v>
      </c>
      <c r="G110" s="16" t="s">
        <v>1277</v>
      </c>
      <c r="H110" s="16" t="s">
        <v>1276</v>
      </c>
      <c r="I110" s="16" t="s">
        <v>1617</v>
      </c>
      <c r="J110" s="16" t="s">
        <v>1279</v>
      </c>
      <c r="K110" s="16" t="s">
        <v>1276</v>
      </c>
      <c r="L110" s="16" t="s">
        <v>1280</v>
      </c>
      <c r="M110" s="25" t="str">
        <f t="shared" si="3"/>
        <v>129299</v>
      </c>
      <c r="N110" t="str">
        <f t="shared" si="4"/>
        <v xml:space="preserve"> 10" MDS FLEX MFL3+DEF+XYZ </v>
      </c>
      <c r="O110" t="b">
        <f t="shared" si="5"/>
        <v>1</v>
      </c>
      <c r="S110" t="s">
        <v>563</v>
      </c>
      <c r="T110">
        <v>129299</v>
      </c>
    </row>
    <row r="111" spans="1:20" ht="45" x14ac:dyDescent="0.25">
      <c r="A111" s="16" t="s">
        <v>1272</v>
      </c>
      <c r="B111" s="16" t="s">
        <v>1618</v>
      </c>
      <c r="C111" s="16" t="s">
        <v>551</v>
      </c>
      <c r="D111" s="16" t="s">
        <v>1274</v>
      </c>
      <c r="E111" s="16" t="s">
        <v>1619</v>
      </c>
      <c r="F111" s="16" t="s">
        <v>1276</v>
      </c>
      <c r="G111" s="16" t="s">
        <v>1277</v>
      </c>
      <c r="H111" s="16" t="s">
        <v>1276</v>
      </c>
      <c r="I111" s="16" t="s">
        <v>1620</v>
      </c>
      <c r="J111" s="16" t="s">
        <v>1279</v>
      </c>
      <c r="K111" s="16" t="s">
        <v>1276</v>
      </c>
      <c r="L111" s="16" t="s">
        <v>1280</v>
      </c>
      <c r="M111" s="25" t="str">
        <f t="shared" si="3"/>
        <v>129298</v>
      </c>
      <c r="N111" t="str">
        <f t="shared" si="4"/>
        <v xml:space="preserve"> 10" MDS FLEX MFL3+DEF </v>
      </c>
      <c r="O111" t="b">
        <f t="shared" si="5"/>
        <v>0</v>
      </c>
      <c r="S111" t="s">
        <v>550</v>
      </c>
      <c r="T111">
        <v>129298</v>
      </c>
    </row>
    <row r="112" spans="1:20" ht="45" x14ac:dyDescent="0.25">
      <c r="A112" s="16" t="s">
        <v>1272</v>
      </c>
      <c r="B112" s="16" t="s">
        <v>1621</v>
      </c>
      <c r="C112" s="16" t="s">
        <v>463</v>
      </c>
      <c r="D112" s="16" t="s">
        <v>1274</v>
      </c>
      <c r="E112" s="16" t="s">
        <v>1622</v>
      </c>
      <c r="F112" s="16" t="s">
        <v>1276</v>
      </c>
      <c r="G112" s="16" t="s">
        <v>1277</v>
      </c>
      <c r="H112" s="16" t="s">
        <v>1276</v>
      </c>
      <c r="I112" s="16" t="s">
        <v>1623</v>
      </c>
      <c r="J112" s="16" t="s">
        <v>1279</v>
      </c>
      <c r="K112" s="16" t="s">
        <v>1276</v>
      </c>
      <c r="L112" s="16" t="s">
        <v>1280</v>
      </c>
      <c r="M112" s="25" t="str">
        <f t="shared" si="3"/>
        <v>129152</v>
      </c>
      <c r="N112" t="str">
        <f t="shared" si="4"/>
        <v xml:space="preserve"> 10" MDS FLEX MFL3+DEF+RES+XYZ </v>
      </c>
      <c r="O112" t="b">
        <f t="shared" si="5"/>
        <v>1</v>
      </c>
      <c r="S112" t="s">
        <v>462</v>
      </c>
      <c r="T112">
        <v>129152</v>
      </c>
    </row>
    <row r="113" spans="1:20" ht="45" x14ac:dyDescent="0.25">
      <c r="A113" s="16" t="s">
        <v>1272</v>
      </c>
      <c r="B113" s="16" t="s">
        <v>1624</v>
      </c>
      <c r="C113" s="16" t="s">
        <v>494</v>
      </c>
      <c r="D113" s="16" t="s">
        <v>1274</v>
      </c>
      <c r="E113" s="16" t="s">
        <v>1625</v>
      </c>
      <c r="F113" s="16" t="s">
        <v>1276</v>
      </c>
      <c r="G113" s="16" t="s">
        <v>1277</v>
      </c>
      <c r="H113" s="16" t="s">
        <v>1276</v>
      </c>
      <c r="I113" s="16" t="s">
        <v>1626</v>
      </c>
      <c r="J113" s="16" t="s">
        <v>1279</v>
      </c>
      <c r="K113" s="16" t="s">
        <v>1276</v>
      </c>
      <c r="L113" s="16" t="s">
        <v>1280</v>
      </c>
      <c r="M113" s="25" t="str">
        <f t="shared" si="3"/>
        <v>130611</v>
      </c>
      <c r="N113" t="str">
        <f t="shared" si="4"/>
        <v xml:space="preserve"> 10" MDS FLEX DEF+ULTRA RES MFL </v>
      </c>
      <c r="O113" t="b">
        <f t="shared" si="5"/>
        <v>0</v>
      </c>
      <c r="S113" t="s">
        <v>493</v>
      </c>
      <c r="T113">
        <v>130611</v>
      </c>
    </row>
    <row r="114" spans="1:20" ht="60" x14ac:dyDescent="0.25">
      <c r="A114" s="16" t="s">
        <v>1272</v>
      </c>
      <c r="B114" s="16" t="s">
        <v>1627</v>
      </c>
      <c r="C114" s="16" t="s">
        <v>448</v>
      </c>
      <c r="D114" s="16" t="s">
        <v>1274</v>
      </c>
      <c r="E114" s="16" t="s">
        <v>1628</v>
      </c>
      <c r="F114" s="16" t="s">
        <v>1276</v>
      </c>
      <c r="G114" s="16" t="s">
        <v>1277</v>
      </c>
      <c r="H114" s="16" t="s">
        <v>1276</v>
      </c>
      <c r="I114" s="16" t="s">
        <v>1629</v>
      </c>
      <c r="J114" s="16" t="s">
        <v>1279</v>
      </c>
      <c r="K114" s="16" t="s">
        <v>1276</v>
      </c>
      <c r="L114" s="16" t="s">
        <v>1280</v>
      </c>
      <c r="M114" s="25" t="str">
        <f t="shared" si="3"/>
        <v>130612</v>
      </c>
      <c r="N114" t="str">
        <f t="shared" si="4"/>
        <v xml:space="preserve"> 10" MDS FLEX DEF+ULTRA RES MFL+XYZ </v>
      </c>
      <c r="O114" t="b">
        <f t="shared" si="5"/>
        <v>1</v>
      </c>
      <c r="S114" t="s">
        <v>447</v>
      </c>
      <c r="T114">
        <v>130612</v>
      </c>
    </row>
    <row r="115" spans="1:20" ht="60" x14ac:dyDescent="0.25">
      <c r="A115" s="16" t="s">
        <v>1272</v>
      </c>
      <c r="B115" s="16" t="s">
        <v>1630</v>
      </c>
      <c r="C115" s="16" t="s">
        <v>499</v>
      </c>
      <c r="D115" s="16" t="s">
        <v>1274</v>
      </c>
      <c r="E115" s="16" t="s">
        <v>1631</v>
      </c>
      <c r="F115" s="16" t="s">
        <v>1276</v>
      </c>
      <c r="G115" s="16" t="s">
        <v>1277</v>
      </c>
      <c r="H115" s="16" t="s">
        <v>1276</v>
      </c>
      <c r="I115" s="16" t="s">
        <v>1632</v>
      </c>
      <c r="J115" s="16" t="s">
        <v>1279</v>
      </c>
      <c r="K115" s="16" t="s">
        <v>1276</v>
      </c>
      <c r="L115" s="16" t="s">
        <v>1280</v>
      </c>
      <c r="M115" s="25" t="str">
        <f t="shared" si="3"/>
        <v>130614</v>
      </c>
      <c r="N115" t="str">
        <f t="shared" si="4"/>
        <v xml:space="preserve"> 10" DEF+RES+ULTRA RES MFL+SMFL3+XYZ </v>
      </c>
      <c r="O115" t="b">
        <f t="shared" si="5"/>
        <v>1</v>
      </c>
      <c r="S115" t="s">
        <v>498</v>
      </c>
      <c r="T115">
        <v>130614</v>
      </c>
    </row>
    <row r="116" spans="1:20" ht="60" x14ac:dyDescent="0.25">
      <c r="A116" s="16" t="s">
        <v>1272</v>
      </c>
      <c r="B116" s="16" t="s">
        <v>1633</v>
      </c>
      <c r="C116" s="16" t="s">
        <v>483</v>
      </c>
      <c r="D116" s="16" t="s">
        <v>1274</v>
      </c>
      <c r="E116" s="16" t="s">
        <v>1634</v>
      </c>
      <c r="F116" s="16" t="s">
        <v>1276</v>
      </c>
      <c r="G116" s="16" t="s">
        <v>1277</v>
      </c>
      <c r="H116" s="16" t="s">
        <v>1276</v>
      </c>
      <c r="I116" s="16" t="s">
        <v>1635</v>
      </c>
      <c r="J116" s="16" t="s">
        <v>1279</v>
      </c>
      <c r="K116" s="16" t="s">
        <v>1276</v>
      </c>
      <c r="L116" s="16" t="s">
        <v>1280</v>
      </c>
      <c r="M116" s="25" t="str">
        <f t="shared" si="3"/>
        <v>130613</v>
      </c>
      <c r="N116" t="str">
        <f t="shared" si="4"/>
        <v xml:space="preserve"> 10" MDS DEF+RES+ULTRA RES MFL+SMFL3 </v>
      </c>
      <c r="O116" t="b">
        <f t="shared" si="5"/>
        <v>0</v>
      </c>
      <c r="S116" t="s">
        <v>482</v>
      </c>
      <c r="T116">
        <v>130613</v>
      </c>
    </row>
    <row r="117" spans="1:20" ht="60" x14ac:dyDescent="0.25">
      <c r="A117" s="16" t="s">
        <v>1272</v>
      </c>
      <c r="B117" s="16" t="s">
        <v>1636</v>
      </c>
      <c r="C117" s="16" t="s">
        <v>569</v>
      </c>
      <c r="D117" s="16" t="s">
        <v>1274</v>
      </c>
      <c r="E117" s="16" t="s">
        <v>1637</v>
      </c>
      <c r="F117" s="16" t="s">
        <v>1276</v>
      </c>
      <c r="G117" s="16" t="s">
        <v>1277</v>
      </c>
      <c r="H117" s="16" t="s">
        <v>1276</v>
      </c>
      <c r="I117" s="16" t="s">
        <v>1638</v>
      </c>
      <c r="J117" s="16" t="s">
        <v>1279</v>
      </c>
      <c r="K117" s="16" t="s">
        <v>1276</v>
      </c>
      <c r="L117" s="16" t="s">
        <v>1280</v>
      </c>
      <c r="M117" s="25" t="str">
        <f t="shared" si="3"/>
        <v>130610</v>
      </c>
      <c r="N117" t="str">
        <f t="shared" si="4"/>
        <v xml:space="preserve"> 10" MDS FLEX DEF+RES+ULTRA RES MFL+XYZ </v>
      </c>
      <c r="O117" t="b">
        <f t="shared" si="5"/>
        <v>1</v>
      </c>
      <c r="S117" t="s">
        <v>568</v>
      </c>
      <c r="T117">
        <v>130610</v>
      </c>
    </row>
    <row r="118" spans="1:20" ht="60" x14ac:dyDescent="0.25">
      <c r="A118" s="16" t="s">
        <v>1272</v>
      </c>
      <c r="B118" s="16" t="s">
        <v>1639</v>
      </c>
      <c r="C118" s="16" t="s">
        <v>577</v>
      </c>
      <c r="D118" s="16" t="s">
        <v>1274</v>
      </c>
      <c r="E118" s="16" t="s">
        <v>1640</v>
      </c>
      <c r="F118" s="16" t="s">
        <v>1276</v>
      </c>
      <c r="G118" s="16" t="s">
        <v>1277</v>
      </c>
      <c r="H118" s="16" t="s">
        <v>1276</v>
      </c>
      <c r="I118" s="16" t="s">
        <v>1641</v>
      </c>
      <c r="J118" s="16" t="s">
        <v>1279</v>
      </c>
      <c r="K118" s="16" t="s">
        <v>1276</v>
      </c>
      <c r="L118" s="16" t="s">
        <v>1280</v>
      </c>
      <c r="M118" s="25" t="str">
        <f t="shared" si="3"/>
        <v>130609</v>
      </c>
      <c r="N118" t="str">
        <f t="shared" si="4"/>
        <v xml:space="preserve"> 10" MDS FLEX DEF+RES+ULTRA RES MFL </v>
      </c>
      <c r="O118" t="b">
        <f t="shared" si="5"/>
        <v>0</v>
      </c>
      <c r="S118" t="s">
        <v>576</v>
      </c>
      <c r="T118">
        <v>130609</v>
      </c>
    </row>
    <row r="119" spans="1:20" ht="45" x14ac:dyDescent="0.25">
      <c r="A119" s="16" t="s">
        <v>1272</v>
      </c>
      <c r="B119" s="16" t="s">
        <v>1642</v>
      </c>
      <c r="C119" s="16" t="s">
        <v>1643</v>
      </c>
      <c r="D119" s="16" t="s">
        <v>1274</v>
      </c>
      <c r="E119" s="16" t="s">
        <v>1644</v>
      </c>
      <c r="F119" s="16" t="s">
        <v>1276</v>
      </c>
      <c r="G119" s="16" t="s">
        <v>1277</v>
      </c>
      <c r="H119" s="16" t="s">
        <v>1276</v>
      </c>
      <c r="I119" s="16" t="s">
        <v>1645</v>
      </c>
      <c r="J119" s="16" t="s">
        <v>1279</v>
      </c>
      <c r="K119" s="16" t="s">
        <v>1276</v>
      </c>
      <c r="L119" s="16" t="s">
        <v>1280</v>
      </c>
      <c r="M119" s="25" t="str">
        <f t="shared" si="3"/>
        <v>103541</v>
      </c>
      <c r="N119" t="str">
        <f t="shared" si="4"/>
        <v xml:space="preserve"> 12" GMFL+DEF+XYZ (xHD) </v>
      </c>
      <c r="O119" t="b">
        <f t="shared" si="5"/>
        <v>1</v>
      </c>
      <c r="S119" t="s">
        <v>1646</v>
      </c>
      <c r="T119">
        <v>103541</v>
      </c>
    </row>
    <row r="120" spans="1:20" ht="45" x14ac:dyDescent="0.25">
      <c r="A120" s="16" t="s">
        <v>1272</v>
      </c>
      <c r="B120" s="16" t="s">
        <v>1647</v>
      </c>
      <c r="C120" s="16" t="s">
        <v>591</v>
      </c>
      <c r="D120" s="16" t="s">
        <v>1274</v>
      </c>
      <c r="E120" s="16" t="s">
        <v>1648</v>
      </c>
      <c r="F120" s="16" t="s">
        <v>1276</v>
      </c>
      <c r="G120" s="16" t="s">
        <v>1277</v>
      </c>
      <c r="H120" s="16" t="s">
        <v>1276</v>
      </c>
      <c r="I120" s="16" t="s">
        <v>1649</v>
      </c>
      <c r="J120" s="16" t="s">
        <v>1279</v>
      </c>
      <c r="K120" s="16" t="s">
        <v>1276</v>
      </c>
      <c r="L120" s="16" t="s">
        <v>1280</v>
      </c>
      <c r="M120" s="25" t="str">
        <f t="shared" si="3"/>
        <v>108740</v>
      </c>
      <c r="N120" t="str">
        <f t="shared" si="4"/>
        <v xml:space="preserve"> 12" GMFL ATEX </v>
      </c>
      <c r="O120" t="b">
        <f t="shared" si="5"/>
        <v>0</v>
      </c>
      <c r="S120" t="s">
        <v>590</v>
      </c>
      <c r="T120">
        <v>108740</v>
      </c>
    </row>
    <row r="121" spans="1:20" ht="45" x14ac:dyDescent="0.25">
      <c r="A121" s="16" t="s">
        <v>1272</v>
      </c>
      <c r="B121" s="16" t="s">
        <v>1650</v>
      </c>
      <c r="C121" s="16" t="s">
        <v>633</v>
      </c>
      <c r="D121" s="16" t="s">
        <v>1274</v>
      </c>
      <c r="E121" s="16" t="s">
        <v>1651</v>
      </c>
      <c r="F121" s="16" t="s">
        <v>1276</v>
      </c>
      <c r="G121" s="16" t="s">
        <v>1277</v>
      </c>
      <c r="H121" s="16" t="s">
        <v>1276</v>
      </c>
      <c r="I121" s="16" t="s">
        <v>1652</v>
      </c>
      <c r="J121" s="16" t="s">
        <v>1279</v>
      </c>
      <c r="K121" s="16" t="s">
        <v>1276</v>
      </c>
      <c r="L121" s="16" t="s">
        <v>1280</v>
      </c>
      <c r="M121" s="25" t="str">
        <f t="shared" si="3"/>
        <v>108768</v>
      </c>
      <c r="N121" t="str">
        <f t="shared" si="4"/>
        <v xml:space="preserve"> 12" MFL+DEF ATEX </v>
      </c>
      <c r="O121" t="b">
        <f t="shared" si="5"/>
        <v>0</v>
      </c>
      <c r="S121" t="s">
        <v>632</v>
      </c>
      <c r="T121">
        <v>108768</v>
      </c>
    </row>
    <row r="122" spans="1:20" ht="45" x14ac:dyDescent="0.25">
      <c r="A122" s="16" t="s">
        <v>1272</v>
      </c>
      <c r="B122" s="16" t="s">
        <v>1653</v>
      </c>
      <c r="C122" s="16" t="s">
        <v>598</v>
      </c>
      <c r="D122" s="16" t="s">
        <v>1274</v>
      </c>
      <c r="E122" s="16" t="s">
        <v>1654</v>
      </c>
      <c r="F122" s="16" t="s">
        <v>1276</v>
      </c>
      <c r="G122" s="16" t="s">
        <v>1277</v>
      </c>
      <c r="H122" s="16" t="s">
        <v>1276</v>
      </c>
      <c r="I122" s="16" t="s">
        <v>1655</v>
      </c>
      <c r="J122" s="16" t="s">
        <v>1279</v>
      </c>
      <c r="K122" s="16" t="s">
        <v>1276</v>
      </c>
      <c r="L122" s="16" t="s">
        <v>1280</v>
      </c>
      <c r="M122" s="25" t="str">
        <f t="shared" si="3"/>
        <v>108841</v>
      </c>
      <c r="N122" t="str">
        <f t="shared" si="4"/>
        <v xml:space="preserve"> 12" DEF (12-14) (8BAT Drive) xHD </v>
      </c>
      <c r="O122" t="b">
        <f t="shared" si="5"/>
        <v>0</v>
      </c>
      <c r="S122" t="s">
        <v>621</v>
      </c>
      <c r="T122">
        <v>108841</v>
      </c>
    </row>
    <row r="123" spans="1:20" ht="60" x14ac:dyDescent="0.25">
      <c r="A123" s="16" t="s">
        <v>1272</v>
      </c>
      <c r="B123" s="16" t="s">
        <v>1656</v>
      </c>
      <c r="C123" s="16" t="s">
        <v>616</v>
      </c>
      <c r="D123" s="16" t="s">
        <v>1274</v>
      </c>
      <c r="E123" s="16" t="s">
        <v>1657</v>
      </c>
      <c r="F123" s="16" t="s">
        <v>1276</v>
      </c>
      <c r="G123" s="16" t="s">
        <v>1277</v>
      </c>
      <c r="H123" s="16" t="s">
        <v>1276</v>
      </c>
      <c r="I123" s="16" t="s">
        <v>1658</v>
      </c>
      <c r="J123" s="16" t="s">
        <v>1279</v>
      </c>
      <c r="K123" s="16" t="s">
        <v>1276</v>
      </c>
      <c r="L123" s="16" t="s">
        <v>1280</v>
      </c>
      <c r="M123" s="25" t="str">
        <f t="shared" si="3"/>
        <v>108847</v>
      </c>
      <c r="N123" t="str">
        <f t="shared" si="4"/>
        <v xml:space="preserve"> 12" LGT (12-14) (xHD) </v>
      </c>
      <c r="O123" t="b">
        <f t="shared" si="5"/>
        <v>0</v>
      </c>
      <c r="S123" t="s">
        <v>615</v>
      </c>
      <c r="T123">
        <v>108847</v>
      </c>
    </row>
    <row r="124" spans="1:20" ht="30" x14ac:dyDescent="0.25">
      <c r="A124" s="16" t="s">
        <v>1272</v>
      </c>
      <c r="B124" s="16" t="s">
        <v>1659</v>
      </c>
      <c r="C124" s="16" t="s">
        <v>703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25" t="str">
        <f t="shared" si="3"/>
        <v>108917</v>
      </c>
      <c r="N124" t="str">
        <f t="shared" si="4"/>
        <v xml:space="preserve"> 12” MFL2+DEF2+SMFL2+XYZ+LFM </v>
      </c>
      <c r="O124" t="b">
        <f t="shared" si="5"/>
        <v>1</v>
      </c>
      <c r="S124" t="s">
        <v>723</v>
      </c>
      <c r="T124">
        <v>108917</v>
      </c>
    </row>
    <row r="125" spans="1:20" ht="30" x14ac:dyDescent="0.25">
      <c r="A125" s="16" t="s">
        <v>1272</v>
      </c>
      <c r="B125" s="16" t="s">
        <v>1660</v>
      </c>
      <c r="C125" s="16" t="s">
        <v>609</v>
      </c>
      <c r="D125" s="16"/>
      <c r="E125" s="16"/>
      <c r="F125" s="16"/>
      <c r="G125" s="16"/>
      <c r="H125" s="16"/>
      <c r="I125" s="16"/>
      <c r="J125" s="16"/>
      <c r="K125" s="16"/>
      <c r="L125" s="16"/>
      <c r="M125" s="25" t="str">
        <f t="shared" si="3"/>
        <v>110511</v>
      </c>
      <c r="N125" t="str">
        <f t="shared" si="4"/>
        <v xml:space="preserve"> 12” MFL2+DEF2+SMFL2+LFM </v>
      </c>
      <c r="O125" t="b">
        <f t="shared" si="5"/>
        <v>0</v>
      </c>
      <c r="S125" t="s">
        <v>608</v>
      </c>
      <c r="T125">
        <v>110511</v>
      </c>
    </row>
    <row r="126" spans="1:20" ht="45" x14ac:dyDescent="0.25">
      <c r="A126" s="16" t="s">
        <v>1272</v>
      </c>
      <c r="B126" s="16" t="s">
        <v>1661</v>
      </c>
      <c r="C126" s="16" t="s">
        <v>669</v>
      </c>
      <c r="D126" s="16" t="s">
        <v>1274</v>
      </c>
      <c r="E126" s="16" t="s">
        <v>1662</v>
      </c>
      <c r="F126" s="16" t="s">
        <v>1276</v>
      </c>
      <c r="G126" s="16" t="s">
        <v>1277</v>
      </c>
      <c r="H126" s="16" t="s">
        <v>1276</v>
      </c>
      <c r="I126" s="16" t="s">
        <v>1663</v>
      </c>
      <c r="J126" s="16" t="s">
        <v>1279</v>
      </c>
      <c r="K126" s="16" t="s">
        <v>1276</v>
      </c>
      <c r="L126" s="16" t="s">
        <v>1280</v>
      </c>
      <c r="M126" s="25" t="str">
        <f t="shared" si="3"/>
        <v>108922</v>
      </c>
      <c r="N126" t="str">
        <f t="shared" si="4"/>
        <v xml:space="preserve"> 12" MDS FLEX MFL2+DEF2+XYZ+LFM </v>
      </c>
      <c r="O126" t="b">
        <f t="shared" si="5"/>
        <v>1</v>
      </c>
      <c r="S126" t="s">
        <v>668</v>
      </c>
      <c r="T126">
        <v>108922</v>
      </c>
    </row>
    <row r="127" spans="1:20" ht="60" x14ac:dyDescent="0.25">
      <c r="A127" s="16" t="s">
        <v>1272</v>
      </c>
      <c r="B127" s="16" t="s">
        <v>1664</v>
      </c>
      <c r="C127" s="16" t="s">
        <v>582</v>
      </c>
      <c r="D127" s="16" t="s">
        <v>1274</v>
      </c>
      <c r="E127" s="16" t="s">
        <v>1665</v>
      </c>
      <c r="F127" s="16" t="s">
        <v>1276</v>
      </c>
      <c r="G127" s="16" t="s">
        <v>1277</v>
      </c>
      <c r="H127" s="16" t="s">
        <v>1276</v>
      </c>
      <c r="I127" s="16" t="s">
        <v>1666</v>
      </c>
      <c r="J127" s="16" t="s">
        <v>1279</v>
      </c>
      <c r="K127" s="16" t="s">
        <v>1276</v>
      </c>
      <c r="L127" s="16" t="s">
        <v>1280</v>
      </c>
      <c r="M127" s="25" t="str">
        <f t="shared" si="3"/>
        <v>108923</v>
      </c>
      <c r="N127" t="str">
        <f t="shared" si="4"/>
        <v xml:space="preserve"> 12" MDS FLEX MFL2+DEF2+LFM </v>
      </c>
      <c r="O127" t="b">
        <f t="shared" si="5"/>
        <v>0</v>
      </c>
      <c r="S127" t="s">
        <v>581</v>
      </c>
      <c r="T127">
        <v>108923</v>
      </c>
    </row>
    <row r="128" spans="1:20" ht="45" x14ac:dyDescent="0.25">
      <c r="A128" s="16" t="s">
        <v>1272</v>
      </c>
      <c r="B128" s="16" t="s">
        <v>1667</v>
      </c>
      <c r="C128" s="16" t="s">
        <v>693</v>
      </c>
      <c r="D128" s="16" t="s">
        <v>1274</v>
      </c>
      <c r="E128" s="16" t="s">
        <v>1668</v>
      </c>
      <c r="F128" s="16" t="s">
        <v>1276</v>
      </c>
      <c r="G128" s="16" t="s">
        <v>1277</v>
      </c>
      <c r="H128" s="16" t="s">
        <v>1276</v>
      </c>
      <c r="I128" s="16" t="s">
        <v>1669</v>
      </c>
      <c r="J128" s="16" t="s">
        <v>1279</v>
      </c>
      <c r="K128" s="16" t="s">
        <v>1276</v>
      </c>
      <c r="L128" s="16" t="s">
        <v>1280</v>
      </c>
      <c r="M128" s="25" t="str">
        <f t="shared" si="3"/>
        <v>109090</v>
      </c>
      <c r="N128" t="str">
        <f t="shared" si="4"/>
        <v xml:space="preserve"> 12" GMFL+DEF (xHD) </v>
      </c>
      <c r="O128" t="b">
        <f t="shared" si="5"/>
        <v>0</v>
      </c>
      <c r="S128" t="s">
        <v>692</v>
      </c>
      <c r="T128">
        <v>109090</v>
      </c>
    </row>
    <row r="129" spans="1:20" ht="45" x14ac:dyDescent="0.25">
      <c r="A129" s="16" t="s">
        <v>1272</v>
      </c>
      <c r="B129" s="16" t="s">
        <v>1670</v>
      </c>
      <c r="C129" s="16" t="s">
        <v>598</v>
      </c>
      <c r="D129" s="16" t="s">
        <v>1274</v>
      </c>
      <c r="E129" s="16" t="s">
        <v>1671</v>
      </c>
      <c r="F129" s="16" t="s">
        <v>1276</v>
      </c>
      <c r="G129" s="16" t="s">
        <v>1277</v>
      </c>
      <c r="H129" s="16" t="s">
        <v>1276</v>
      </c>
      <c r="I129" s="16" t="s">
        <v>1672</v>
      </c>
      <c r="J129" s="16" t="s">
        <v>1279</v>
      </c>
      <c r="K129" s="16" t="s">
        <v>1276</v>
      </c>
      <c r="L129" s="16" t="s">
        <v>1280</v>
      </c>
      <c r="M129" s="25" t="str">
        <f t="shared" si="3"/>
        <v>112100</v>
      </c>
      <c r="N129" t="str">
        <f t="shared" si="4"/>
        <v xml:space="preserve"> 12" DEF ATEX </v>
      </c>
      <c r="O129" t="b">
        <f t="shared" si="5"/>
        <v>0</v>
      </c>
      <c r="S129" t="s">
        <v>630</v>
      </c>
      <c r="T129">
        <v>112100</v>
      </c>
    </row>
    <row r="130" spans="1:20" ht="45" x14ac:dyDescent="0.25">
      <c r="A130" s="16" t="s">
        <v>1272</v>
      </c>
      <c r="B130" s="16" t="s">
        <v>1673</v>
      </c>
      <c r="C130" s="16" t="s">
        <v>708</v>
      </c>
      <c r="D130" s="16" t="s">
        <v>1274</v>
      </c>
      <c r="E130" s="16" t="s">
        <v>1674</v>
      </c>
      <c r="F130" s="16" t="s">
        <v>1276</v>
      </c>
      <c r="G130" s="16" t="s">
        <v>1277</v>
      </c>
      <c r="H130" s="16" t="s">
        <v>1276</v>
      </c>
      <c r="I130" s="16" t="s">
        <v>1675</v>
      </c>
      <c r="J130" s="16" t="s">
        <v>1279</v>
      </c>
      <c r="K130" s="16" t="s">
        <v>1276</v>
      </c>
      <c r="L130" s="16" t="s">
        <v>1280</v>
      </c>
      <c r="M130" s="25" t="str">
        <f t="shared" si="3"/>
        <v>113938</v>
      </c>
      <c r="N130" t="str">
        <f t="shared" si="4"/>
        <v xml:space="preserve"> 12" GMFL+DEF+XYZ ATEX </v>
      </c>
      <c r="O130" t="b">
        <f t="shared" si="5"/>
        <v>1</v>
      </c>
      <c r="S130" t="s">
        <v>707</v>
      </c>
      <c r="T130">
        <v>113938</v>
      </c>
    </row>
    <row r="131" spans="1:20" ht="60" x14ac:dyDescent="0.25">
      <c r="A131" s="16" t="s">
        <v>1272</v>
      </c>
      <c r="B131" s="16" t="s">
        <v>1676</v>
      </c>
      <c r="C131" s="16" t="s">
        <v>644</v>
      </c>
      <c r="D131" s="16" t="s">
        <v>1274</v>
      </c>
      <c r="E131" s="16" t="s">
        <v>1677</v>
      </c>
      <c r="F131" s="16" t="s">
        <v>1276</v>
      </c>
      <c r="G131" s="16" t="s">
        <v>1277</v>
      </c>
      <c r="H131" s="16" t="s">
        <v>1276</v>
      </c>
      <c r="I131" s="16" t="s">
        <v>1678</v>
      </c>
      <c r="J131" s="16" t="s">
        <v>1279</v>
      </c>
      <c r="K131" s="16" t="s">
        <v>1276</v>
      </c>
      <c r="L131" s="16" t="s">
        <v>1280</v>
      </c>
      <c r="M131" s="25" t="str">
        <f t="shared" si="3"/>
        <v>113940</v>
      </c>
      <c r="N131" t="str">
        <f t="shared" si="4"/>
        <v xml:space="preserve"> 12" MFL (10BAT Drive, xHD) </v>
      </c>
      <c r="O131" t="b">
        <f t="shared" si="5"/>
        <v>0</v>
      </c>
      <c r="S131" t="s">
        <v>643</v>
      </c>
      <c r="T131">
        <v>113940</v>
      </c>
    </row>
    <row r="132" spans="1:20" ht="45" x14ac:dyDescent="0.25">
      <c r="A132" s="16" t="s">
        <v>1272</v>
      </c>
      <c r="B132" s="16" t="s">
        <v>1679</v>
      </c>
      <c r="C132" s="16" t="s">
        <v>649</v>
      </c>
      <c r="D132" s="16" t="s">
        <v>1274</v>
      </c>
      <c r="E132" s="16" t="s">
        <v>1680</v>
      </c>
      <c r="F132" s="16" t="s">
        <v>1276</v>
      </c>
      <c r="G132" s="16" t="s">
        <v>1277</v>
      </c>
      <c r="H132" s="16" t="s">
        <v>1276</v>
      </c>
      <c r="I132" s="16" t="s">
        <v>1681</v>
      </c>
      <c r="J132" s="16" t="s">
        <v>1279</v>
      </c>
      <c r="K132" s="16" t="s">
        <v>1276</v>
      </c>
      <c r="L132" s="16" t="s">
        <v>1280</v>
      </c>
      <c r="M132" s="25" t="str">
        <f t="shared" si="3"/>
        <v>114371</v>
      </c>
      <c r="N132" t="str">
        <f t="shared" si="4"/>
        <v xml:space="preserve"> 12" MFL+DEF+XYZ ATEX </v>
      </c>
      <c r="O132" t="b">
        <f t="shared" si="5"/>
        <v>1</v>
      </c>
      <c r="S132" t="s">
        <v>648</v>
      </c>
      <c r="T132">
        <v>114371</v>
      </c>
    </row>
    <row r="133" spans="1:20" ht="45" x14ac:dyDescent="0.25">
      <c r="A133" s="16" t="s">
        <v>1272</v>
      </c>
      <c r="B133" s="16" t="s">
        <v>1682</v>
      </c>
      <c r="C133" s="16" t="s">
        <v>598</v>
      </c>
      <c r="D133" s="16" t="s">
        <v>1274</v>
      </c>
      <c r="E133" s="16" t="s">
        <v>1683</v>
      </c>
      <c r="F133" s="16" t="s">
        <v>1276</v>
      </c>
      <c r="G133" s="16" t="s">
        <v>1277</v>
      </c>
      <c r="H133" s="16" t="s">
        <v>1276</v>
      </c>
      <c r="I133" s="16" t="s">
        <v>1684</v>
      </c>
      <c r="J133" s="16" t="s">
        <v>1279</v>
      </c>
      <c r="K133" s="16" t="s">
        <v>1276</v>
      </c>
      <c r="L133" s="16" t="s">
        <v>1280</v>
      </c>
      <c r="M133" s="25" t="str">
        <f t="shared" si="3"/>
        <v>114421</v>
      </c>
      <c r="N133" t="str">
        <f t="shared" si="4"/>
        <v xml:space="preserve"> 12" DEF3 ATEX </v>
      </c>
      <c r="O133" t="b">
        <f t="shared" si="5"/>
        <v>0</v>
      </c>
      <c r="S133" t="s">
        <v>597</v>
      </c>
      <c r="T133">
        <v>114421</v>
      </c>
    </row>
    <row r="134" spans="1:20" ht="45" x14ac:dyDescent="0.25">
      <c r="A134" s="16" t="s">
        <v>1272</v>
      </c>
      <c r="B134" s="16" t="s">
        <v>1685</v>
      </c>
      <c r="C134" s="16" t="s">
        <v>603</v>
      </c>
      <c r="D134" s="16" t="s">
        <v>1274</v>
      </c>
      <c r="E134" s="16" t="s">
        <v>1686</v>
      </c>
      <c r="F134" s="16" t="s">
        <v>1276</v>
      </c>
      <c r="G134" s="16" t="s">
        <v>1277</v>
      </c>
      <c r="H134" s="16" t="s">
        <v>1276</v>
      </c>
      <c r="I134" s="16" t="s">
        <v>1687</v>
      </c>
      <c r="J134" s="16" t="s">
        <v>1279</v>
      </c>
      <c r="K134" s="16" t="s">
        <v>1276</v>
      </c>
      <c r="L134" s="16" t="s">
        <v>1280</v>
      </c>
      <c r="M134" s="25" t="str">
        <f t="shared" si="3"/>
        <v>114577</v>
      </c>
      <c r="N134" t="str">
        <f t="shared" si="4"/>
        <v xml:space="preserve"> 12" MFL+XYZ ATEX </v>
      </c>
      <c r="O134" t="b">
        <f t="shared" si="5"/>
        <v>1</v>
      </c>
      <c r="S134" t="s">
        <v>602</v>
      </c>
      <c r="T134">
        <v>114577</v>
      </c>
    </row>
    <row r="135" spans="1:20" ht="45" x14ac:dyDescent="0.25">
      <c r="A135" s="16" t="s">
        <v>1272</v>
      </c>
      <c r="B135" s="16" t="s">
        <v>1688</v>
      </c>
      <c r="C135" s="16" t="s">
        <v>587</v>
      </c>
      <c r="D135" s="16" t="s">
        <v>1274</v>
      </c>
      <c r="E135" s="16" t="s">
        <v>1689</v>
      </c>
      <c r="F135" s="16" t="s">
        <v>1276</v>
      </c>
      <c r="G135" s="16" t="s">
        <v>1277</v>
      </c>
      <c r="H135" s="16" t="s">
        <v>1276</v>
      </c>
      <c r="I135" s="16" t="s">
        <v>1690</v>
      </c>
      <c r="J135" s="16" t="s">
        <v>1279</v>
      </c>
      <c r="K135" s="16" t="s">
        <v>1276</v>
      </c>
      <c r="L135" s="16" t="s">
        <v>1280</v>
      </c>
      <c r="M135" s="25" t="str">
        <f t="shared" ref="M135:M198" si="6">_xlfn.TEXTBEFORE(B135, ",")</f>
        <v>114579</v>
      </c>
      <c r="N135" t="str">
        <f t="shared" ref="N135:N198" si="7">_xlfn.TEXTAFTER(B135, ",")</f>
        <v xml:space="preserve"> 12" DEF+XYZ (xHD) </v>
      </c>
      <c r="O135" t="b">
        <f t="shared" ref="O135:O198" si="8">ISNUMBER(SEARCH("xyz", B135))</f>
        <v>1</v>
      </c>
      <c r="S135" t="s">
        <v>613</v>
      </c>
      <c r="T135">
        <v>114579</v>
      </c>
    </row>
    <row r="136" spans="1:20" ht="45" x14ac:dyDescent="0.25">
      <c r="A136" s="16" t="s">
        <v>1272</v>
      </c>
      <c r="B136" s="16" t="s">
        <v>1691</v>
      </c>
      <c r="C136" s="16" t="s">
        <v>664</v>
      </c>
      <c r="D136" s="16" t="s">
        <v>1274</v>
      </c>
      <c r="E136" s="16" t="s">
        <v>1692</v>
      </c>
      <c r="F136" s="16" t="s">
        <v>1276</v>
      </c>
      <c r="G136" s="16" t="s">
        <v>1277</v>
      </c>
      <c r="H136" s="16" t="s">
        <v>1276</v>
      </c>
      <c r="I136" s="16" t="s">
        <v>1693</v>
      </c>
      <c r="J136" s="16" t="s">
        <v>1279</v>
      </c>
      <c r="K136" s="16" t="s">
        <v>1276</v>
      </c>
      <c r="L136" s="16" t="s">
        <v>1280</v>
      </c>
      <c r="M136" s="25" t="str">
        <f t="shared" si="6"/>
        <v>114656</v>
      </c>
      <c r="N136" t="str">
        <f t="shared" si="7"/>
        <v xml:space="preserve"> 12" GMFL+XYZ ATEX </v>
      </c>
      <c r="O136" t="b">
        <f t="shared" si="8"/>
        <v>1</v>
      </c>
      <c r="S136" t="s">
        <v>663</v>
      </c>
      <c r="T136">
        <v>114656</v>
      </c>
    </row>
    <row r="137" spans="1:20" ht="60" x14ac:dyDescent="0.25">
      <c r="A137" s="16" t="s">
        <v>1272</v>
      </c>
      <c r="B137" s="16" t="s">
        <v>1694</v>
      </c>
      <c r="C137" s="16" t="s">
        <v>616</v>
      </c>
      <c r="D137" s="16" t="s">
        <v>1274</v>
      </c>
      <c r="E137" s="16" t="s">
        <v>1695</v>
      </c>
      <c r="F137" s="16" t="s">
        <v>1276</v>
      </c>
      <c r="G137" s="16" t="s">
        <v>1277</v>
      </c>
      <c r="H137" s="16" t="s">
        <v>1276</v>
      </c>
      <c r="I137" s="16" t="s">
        <v>1696</v>
      </c>
      <c r="J137" s="16" t="s">
        <v>1279</v>
      </c>
      <c r="K137" s="16" t="s">
        <v>1276</v>
      </c>
      <c r="L137" s="16" t="s">
        <v>1280</v>
      </c>
      <c r="M137" s="25" t="str">
        <f t="shared" si="6"/>
        <v>114898</v>
      </c>
      <c r="N137" t="str">
        <f t="shared" si="7"/>
        <v xml:space="preserve"> 12" LGT ATEX </v>
      </c>
      <c r="O137" t="b">
        <f t="shared" si="8"/>
        <v>0</v>
      </c>
      <c r="S137" t="s">
        <v>713</v>
      </c>
      <c r="T137">
        <v>114898</v>
      </c>
    </row>
    <row r="138" spans="1:20" ht="45" x14ac:dyDescent="0.25">
      <c r="A138" s="16" t="s">
        <v>1272</v>
      </c>
      <c r="B138" s="16" t="s">
        <v>1697</v>
      </c>
      <c r="C138" s="16" t="s">
        <v>587</v>
      </c>
      <c r="D138" s="16" t="s">
        <v>1274</v>
      </c>
      <c r="E138" s="16" t="s">
        <v>1698</v>
      </c>
      <c r="F138" s="16" t="s">
        <v>1276</v>
      </c>
      <c r="G138" s="16" t="s">
        <v>1277</v>
      </c>
      <c r="H138" s="16" t="s">
        <v>1276</v>
      </c>
      <c r="I138" s="16" t="s">
        <v>1699</v>
      </c>
      <c r="J138" s="16" t="s">
        <v>1279</v>
      </c>
      <c r="K138" s="16" t="s">
        <v>1276</v>
      </c>
      <c r="L138" s="16" t="s">
        <v>1280</v>
      </c>
      <c r="M138" s="25" t="str">
        <f t="shared" si="6"/>
        <v>115148</v>
      </c>
      <c r="N138" t="str">
        <f t="shared" si="7"/>
        <v xml:space="preserve"> 12" DEF+XYZ ATEX </v>
      </c>
      <c r="O138" t="b">
        <f t="shared" si="8"/>
        <v>1</v>
      </c>
      <c r="S138" t="s">
        <v>586</v>
      </c>
      <c r="T138">
        <v>115148</v>
      </c>
    </row>
    <row r="139" spans="1:20" ht="45" x14ac:dyDescent="0.25">
      <c r="A139" s="16" t="s">
        <v>1272</v>
      </c>
      <c r="B139" s="16" t="s">
        <v>1700</v>
      </c>
      <c r="C139" s="16" t="s">
        <v>644</v>
      </c>
      <c r="D139" s="16" t="s">
        <v>1274</v>
      </c>
      <c r="E139" s="16" t="s">
        <v>1701</v>
      </c>
      <c r="F139" s="16" t="s">
        <v>1276</v>
      </c>
      <c r="G139" s="16" t="s">
        <v>1277</v>
      </c>
      <c r="H139" s="16" t="s">
        <v>1276</v>
      </c>
      <c r="I139" s="16" t="s">
        <v>1702</v>
      </c>
      <c r="J139" s="16" t="s">
        <v>1279</v>
      </c>
      <c r="K139" s="16" t="s">
        <v>1276</v>
      </c>
      <c r="L139" s="16" t="s">
        <v>1280</v>
      </c>
      <c r="M139" s="25" t="str">
        <f t="shared" si="6"/>
        <v>115300</v>
      </c>
      <c r="N139" t="str">
        <f t="shared" si="7"/>
        <v xml:space="preserve"> 12" MFL2 (Heavy Wall) </v>
      </c>
      <c r="O139" t="b">
        <f t="shared" si="8"/>
        <v>0</v>
      </c>
      <c r="S139" t="s">
        <v>1703</v>
      </c>
      <c r="T139">
        <v>115300</v>
      </c>
    </row>
    <row r="140" spans="1:20" ht="45" x14ac:dyDescent="0.25">
      <c r="A140" s="16" t="s">
        <v>1272</v>
      </c>
      <c r="B140" s="16" t="s">
        <v>1704</v>
      </c>
      <c r="C140" s="16" t="s">
        <v>587</v>
      </c>
      <c r="D140" s="16" t="s">
        <v>1274</v>
      </c>
      <c r="E140" s="16" t="s">
        <v>1705</v>
      </c>
      <c r="F140" s="16" t="s">
        <v>1276</v>
      </c>
      <c r="G140" s="16" t="s">
        <v>1277</v>
      </c>
      <c r="H140" s="16" t="s">
        <v>1276</v>
      </c>
      <c r="I140" s="16" t="s">
        <v>1706</v>
      </c>
      <c r="J140" s="16" t="s">
        <v>1279</v>
      </c>
      <c r="K140" s="16" t="s">
        <v>1276</v>
      </c>
      <c r="L140" s="16" t="s">
        <v>1280</v>
      </c>
      <c r="M140" s="25" t="str">
        <f t="shared" si="6"/>
        <v>120710</v>
      </c>
      <c r="N140" t="str">
        <f t="shared" si="7"/>
        <v xml:space="preserve"> 12" DEF+XYZ (xHD) </v>
      </c>
      <c r="O140" t="b">
        <f t="shared" si="8"/>
        <v>1</v>
      </c>
      <c r="S140" t="s">
        <v>613</v>
      </c>
      <c r="T140">
        <v>120710</v>
      </c>
    </row>
    <row r="141" spans="1:20" ht="45" x14ac:dyDescent="0.25">
      <c r="A141" s="16" t="s">
        <v>1272</v>
      </c>
      <c r="B141" s="16" t="s">
        <v>1707</v>
      </c>
      <c r="C141" s="16" t="s">
        <v>598</v>
      </c>
      <c r="D141" s="16" t="s">
        <v>1274</v>
      </c>
      <c r="E141" s="16" t="s">
        <v>1708</v>
      </c>
      <c r="F141" s="16" t="s">
        <v>1276</v>
      </c>
      <c r="G141" s="16" t="s">
        <v>1277</v>
      </c>
      <c r="H141" s="16" t="s">
        <v>1276</v>
      </c>
      <c r="I141" s="16" t="s">
        <v>1709</v>
      </c>
      <c r="J141" s="16" t="s">
        <v>1279</v>
      </c>
      <c r="K141" s="16" t="s">
        <v>1276</v>
      </c>
      <c r="L141" s="16" t="s">
        <v>1280</v>
      </c>
      <c r="M141" s="25" t="str">
        <f t="shared" si="6"/>
        <v>121052</v>
      </c>
      <c r="N141" t="str">
        <f t="shared" si="7"/>
        <v xml:space="preserve"> 12" DEF, CHAIN COUPLER </v>
      </c>
      <c r="O141" t="b">
        <f t="shared" si="8"/>
        <v>0</v>
      </c>
      <c r="S141" t="s">
        <v>653</v>
      </c>
      <c r="T141">
        <v>121052</v>
      </c>
    </row>
    <row r="142" spans="1:20" ht="60" x14ac:dyDescent="0.25">
      <c r="A142" s="16" t="s">
        <v>1272</v>
      </c>
      <c r="B142" s="16" t="s">
        <v>1710</v>
      </c>
      <c r="C142" s="16" t="s">
        <v>703</v>
      </c>
      <c r="D142" s="16" t="s">
        <v>1274</v>
      </c>
      <c r="E142" s="16" t="s">
        <v>1711</v>
      </c>
      <c r="F142" s="16" t="s">
        <v>1276</v>
      </c>
      <c r="G142" s="16" t="s">
        <v>1277</v>
      </c>
      <c r="H142" s="16" t="s">
        <v>1276</v>
      </c>
      <c r="I142" s="16" t="s">
        <v>1712</v>
      </c>
      <c r="J142" s="16" t="s">
        <v>1279</v>
      </c>
      <c r="K142" s="16" t="s">
        <v>1276</v>
      </c>
      <c r="L142" s="16" t="s">
        <v>1280</v>
      </c>
      <c r="M142" s="25" t="str">
        <f t="shared" si="6"/>
        <v>120733</v>
      </c>
      <c r="N142" t="str">
        <f t="shared" si="7"/>
        <v xml:space="preserve"> 12" MFL2+DEF+SMFL3+XYZ+LFM </v>
      </c>
      <c r="O142" t="b">
        <f t="shared" si="8"/>
        <v>1</v>
      </c>
      <c r="S142" t="s">
        <v>702</v>
      </c>
      <c r="T142">
        <v>120733</v>
      </c>
    </row>
    <row r="143" spans="1:20" ht="45" x14ac:dyDescent="0.25">
      <c r="A143" s="16" t="s">
        <v>1272</v>
      </c>
      <c r="B143" s="16" t="s">
        <v>1713</v>
      </c>
      <c r="C143" s="16" t="s">
        <v>626</v>
      </c>
      <c r="D143" s="16" t="s">
        <v>1274</v>
      </c>
      <c r="E143" s="16" t="s">
        <v>1714</v>
      </c>
      <c r="F143" s="16" t="s">
        <v>1276</v>
      </c>
      <c r="G143" s="16" t="s">
        <v>1277</v>
      </c>
      <c r="H143" s="16" t="s">
        <v>1276</v>
      </c>
      <c r="I143" s="16" t="s">
        <v>1715</v>
      </c>
      <c r="J143" s="16" t="s">
        <v>1279</v>
      </c>
      <c r="K143" s="16" t="s">
        <v>1276</v>
      </c>
      <c r="L143" s="16" t="s">
        <v>1280</v>
      </c>
      <c r="M143" s="25" t="str">
        <f t="shared" si="6"/>
        <v>123561-1</v>
      </c>
      <c r="N143" t="str">
        <f t="shared" si="7"/>
        <v xml:space="preserve"> ASSY, TOOL, EMAT, PH2, 12" </v>
      </c>
      <c r="O143" t="b">
        <f t="shared" si="8"/>
        <v>0</v>
      </c>
      <c r="S143" t="s">
        <v>625</v>
      </c>
      <c r="T143" s="25" t="s">
        <v>673</v>
      </c>
    </row>
    <row r="144" spans="1:20" ht="45" x14ac:dyDescent="0.25">
      <c r="A144" s="16" t="s">
        <v>1272</v>
      </c>
      <c r="B144" s="16" t="s">
        <v>1716</v>
      </c>
      <c r="C144" s="16" t="s">
        <v>626</v>
      </c>
      <c r="D144" s="16" t="s">
        <v>1274</v>
      </c>
      <c r="E144" s="16" t="s">
        <v>1717</v>
      </c>
      <c r="F144" s="16" t="s">
        <v>1276</v>
      </c>
      <c r="G144" s="16" t="s">
        <v>1277</v>
      </c>
      <c r="H144" s="16" t="s">
        <v>1276</v>
      </c>
      <c r="I144" s="16" t="s">
        <v>1718</v>
      </c>
      <c r="J144" s="16" t="s">
        <v>1279</v>
      </c>
      <c r="K144" s="16" t="s">
        <v>1276</v>
      </c>
      <c r="L144" s="16" t="s">
        <v>1280</v>
      </c>
      <c r="M144" s="25" t="str">
        <f t="shared" si="6"/>
        <v>123561-2</v>
      </c>
      <c r="N144" t="str">
        <f t="shared" si="7"/>
        <v xml:space="preserve"> ASSY, TOOL, EMAT, PH2, 12" </v>
      </c>
      <c r="O144" t="b">
        <f t="shared" si="8"/>
        <v>0</v>
      </c>
      <c r="S144" t="s">
        <v>625</v>
      </c>
      <c r="T144" s="25" t="s">
        <v>623</v>
      </c>
    </row>
    <row r="145" spans="1:20" ht="45" x14ac:dyDescent="0.25">
      <c r="A145" s="16" t="s">
        <v>1272</v>
      </c>
      <c r="B145" s="16" t="s">
        <v>1719</v>
      </c>
      <c r="C145" s="16" t="s">
        <v>609</v>
      </c>
      <c r="D145" s="16" t="s">
        <v>1274</v>
      </c>
      <c r="E145" s="16" t="s">
        <v>1720</v>
      </c>
      <c r="F145" s="16" t="s">
        <v>1276</v>
      </c>
      <c r="G145" s="16" t="s">
        <v>1277</v>
      </c>
      <c r="H145" s="16" t="s">
        <v>1276</v>
      </c>
      <c r="I145" s="16" t="s">
        <v>1721</v>
      </c>
      <c r="J145" s="16" t="s">
        <v>1279</v>
      </c>
      <c r="K145" s="16" t="s">
        <v>1276</v>
      </c>
      <c r="L145" s="16" t="s">
        <v>1280</v>
      </c>
      <c r="M145" s="25" t="str">
        <f t="shared" si="6"/>
        <v>124963</v>
      </c>
      <c r="N145" t="str">
        <f t="shared" si="7"/>
        <v xml:space="preserve"> 12" MFL2+DEF+SMFL3+LFM </v>
      </c>
      <c r="O145" t="b">
        <f t="shared" si="8"/>
        <v>0</v>
      </c>
      <c r="S145" t="s">
        <v>720</v>
      </c>
      <c r="T145">
        <v>124963</v>
      </c>
    </row>
    <row r="146" spans="1:20" ht="45" x14ac:dyDescent="0.25">
      <c r="A146" s="16" t="s">
        <v>1272</v>
      </c>
      <c r="B146" s="16" t="s">
        <v>1722</v>
      </c>
      <c r="C146" s="16" t="s">
        <v>698</v>
      </c>
      <c r="D146" s="16" t="s">
        <v>1274</v>
      </c>
      <c r="E146" s="16" t="s">
        <v>1723</v>
      </c>
      <c r="F146" s="16" t="s">
        <v>1276</v>
      </c>
      <c r="G146" s="16" t="s">
        <v>1277</v>
      </c>
      <c r="H146" s="16" t="s">
        <v>1276</v>
      </c>
      <c r="I146" s="16" t="s">
        <v>1724</v>
      </c>
      <c r="J146" s="16" t="s">
        <v>1279</v>
      </c>
      <c r="K146" s="16" t="s">
        <v>1276</v>
      </c>
      <c r="L146" s="16" t="s">
        <v>1280</v>
      </c>
      <c r="M146" s="25" t="str">
        <f t="shared" si="6"/>
        <v>129300</v>
      </c>
      <c r="N146" t="str">
        <f t="shared" si="7"/>
        <v xml:space="preserve"> 12" MDS FLEX MFL+DEF </v>
      </c>
      <c r="O146" t="b">
        <f t="shared" si="8"/>
        <v>0</v>
      </c>
      <c r="S146" t="s">
        <v>697</v>
      </c>
      <c r="T146">
        <v>129300</v>
      </c>
    </row>
    <row r="147" spans="1:20" ht="45" x14ac:dyDescent="0.25">
      <c r="A147" s="16" t="s">
        <v>1272</v>
      </c>
      <c r="B147" s="16" t="s">
        <v>1725</v>
      </c>
      <c r="C147" s="16" t="s">
        <v>683</v>
      </c>
      <c r="D147" s="16" t="s">
        <v>1274</v>
      </c>
      <c r="E147" s="16" t="s">
        <v>1726</v>
      </c>
      <c r="F147" s="16" t="s">
        <v>1276</v>
      </c>
      <c r="G147" s="16" t="s">
        <v>1277</v>
      </c>
      <c r="H147" s="16" t="s">
        <v>1276</v>
      </c>
      <c r="I147" s="16" t="s">
        <v>1727</v>
      </c>
      <c r="J147" s="16" t="s">
        <v>1279</v>
      </c>
      <c r="K147" s="16" t="s">
        <v>1276</v>
      </c>
      <c r="L147" s="16" t="s">
        <v>1280</v>
      </c>
      <c r="M147" s="25" t="str">
        <f t="shared" si="6"/>
        <v>129301</v>
      </c>
      <c r="N147" t="str">
        <f t="shared" si="7"/>
        <v xml:space="preserve"> 12" MDS FLEX MFL2+DEF2+XYZ </v>
      </c>
      <c r="O147" t="b">
        <f t="shared" si="8"/>
        <v>1</v>
      </c>
      <c r="S147" t="s">
        <v>682</v>
      </c>
      <c r="T147">
        <v>129301</v>
      </c>
    </row>
    <row r="148" spans="1:20" ht="60" x14ac:dyDescent="0.25">
      <c r="A148" s="16" t="s">
        <v>1272</v>
      </c>
      <c r="B148" s="16" t="s">
        <v>1728</v>
      </c>
      <c r="C148" s="16" t="s">
        <v>716</v>
      </c>
      <c r="D148" s="16" t="s">
        <v>1274</v>
      </c>
      <c r="E148" s="16" t="s">
        <v>1729</v>
      </c>
      <c r="F148" s="16" t="s">
        <v>1276</v>
      </c>
      <c r="G148" s="16" t="s">
        <v>1277</v>
      </c>
      <c r="H148" s="16" t="s">
        <v>1276</v>
      </c>
      <c r="I148" s="16" t="s">
        <v>1730</v>
      </c>
      <c r="J148" s="16" t="s">
        <v>1279</v>
      </c>
      <c r="K148" s="16" t="s">
        <v>1276</v>
      </c>
      <c r="L148" s="16" t="s">
        <v>1280</v>
      </c>
      <c r="M148" s="25" t="str">
        <f t="shared" si="6"/>
        <v>129647</v>
      </c>
      <c r="N148" t="str">
        <f t="shared" si="7"/>
        <v xml:space="preserve"> 12" DEF+LFM+ULTRA RES MFL+SMFL3+XYZ </v>
      </c>
      <c r="O148" t="b">
        <f t="shared" si="8"/>
        <v>1</v>
      </c>
      <c r="S148" t="s">
        <v>715</v>
      </c>
      <c r="T148">
        <v>129647</v>
      </c>
    </row>
    <row r="149" spans="1:20" ht="60" x14ac:dyDescent="0.25">
      <c r="A149" s="16" t="s">
        <v>1272</v>
      </c>
      <c r="B149" s="16" t="s">
        <v>1731</v>
      </c>
      <c r="C149" s="16" t="s">
        <v>659</v>
      </c>
      <c r="D149" s="16" t="s">
        <v>1274</v>
      </c>
      <c r="E149" s="16" t="s">
        <v>1732</v>
      </c>
      <c r="F149" s="16" t="s">
        <v>1276</v>
      </c>
      <c r="G149" s="16" t="s">
        <v>1277</v>
      </c>
      <c r="H149" s="16" t="s">
        <v>1276</v>
      </c>
      <c r="I149" s="16" t="s">
        <v>1733</v>
      </c>
      <c r="J149" s="16" t="s">
        <v>1279</v>
      </c>
      <c r="K149" s="16" t="s">
        <v>1276</v>
      </c>
      <c r="L149" s="16" t="s">
        <v>1280</v>
      </c>
      <c r="M149" s="25" t="str">
        <f t="shared" si="6"/>
        <v>129840</v>
      </c>
      <c r="N149" t="str">
        <f t="shared" si="7"/>
        <v xml:space="preserve"> 12" MDS FLEX DEF+ULTRA RES MFL+XYZ </v>
      </c>
      <c r="O149" t="b">
        <f t="shared" si="8"/>
        <v>1</v>
      </c>
      <c r="S149" t="s">
        <v>658</v>
      </c>
      <c r="T149">
        <v>129840</v>
      </c>
    </row>
    <row r="150" spans="1:20" ht="45" x14ac:dyDescent="0.25">
      <c r="A150" s="16" t="s">
        <v>1272</v>
      </c>
      <c r="B150" s="16" t="s">
        <v>1734</v>
      </c>
      <c r="C150" s="16" t="s">
        <v>678</v>
      </c>
      <c r="D150" s="16" t="s">
        <v>1274</v>
      </c>
      <c r="E150" s="16" t="s">
        <v>1735</v>
      </c>
      <c r="F150" s="16" t="s">
        <v>1276</v>
      </c>
      <c r="G150" s="16" t="s">
        <v>1277</v>
      </c>
      <c r="H150" s="16" t="s">
        <v>1276</v>
      </c>
      <c r="I150" s="16" t="s">
        <v>1736</v>
      </c>
      <c r="J150" s="16" t="s">
        <v>1279</v>
      </c>
      <c r="K150" s="16" t="s">
        <v>1276</v>
      </c>
      <c r="L150" s="16" t="s">
        <v>1280</v>
      </c>
      <c r="M150" s="25" t="str">
        <f t="shared" si="6"/>
        <v>129841</v>
      </c>
      <c r="N150" t="str">
        <f t="shared" si="7"/>
        <v xml:space="preserve"> 12" MDS FLEX DEF+ULTRA RES MFL </v>
      </c>
      <c r="O150" t="b">
        <f t="shared" si="8"/>
        <v>0</v>
      </c>
      <c r="S150" t="s">
        <v>677</v>
      </c>
      <c r="T150">
        <v>129841</v>
      </c>
    </row>
    <row r="151" spans="1:20" ht="60" x14ac:dyDescent="0.25">
      <c r="A151" s="16" t="s">
        <v>1272</v>
      </c>
      <c r="B151" s="16" t="s">
        <v>1737</v>
      </c>
      <c r="C151" s="16" t="s">
        <v>688</v>
      </c>
      <c r="D151" s="16" t="s">
        <v>1274</v>
      </c>
      <c r="E151" s="16" t="s">
        <v>1738</v>
      </c>
      <c r="F151" s="16" t="s">
        <v>1276</v>
      </c>
      <c r="G151" s="16" t="s">
        <v>1277</v>
      </c>
      <c r="H151" s="16" t="s">
        <v>1276</v>
      </c>
      <c r="I151" s="16" t="s">
        <v>1739</v>
      </c>
      <c r="J151" s="16" t="s">
        <v>1279</v>
      </c>
      <c r="K151" s="16" t="s">
        <v>1276</v>
      </c>
      <c r="L151" s="16" t="s">
        <v>1280</v>
      </c>
      <c r="M151" s="25" t="str">
        <f t="shared" si="6"/>
        <v>129842</v>
      </c>
      <c r="N151" t="str">
        <f t="shared" si="7"/>
        <v xml:space="preserve"> 12" MDS DEF+LFM+ULTRA RES MFL+SMFL3 </v>
      </c>
      <c r="O151" t="b">
        <f t="shared" si="8"/>
        <v>0</v>
      </c>
      <c r="S151" t="s">
        <v>687</v>
      </c>
      <c r="T151">
        <v>129842</v>
      </c>
    </row>
    <row r="152" spans="1:20" ht="60" x14ac:dyDescent="0.25">
      <c r="A152" s="16" t="s">
        <v>1272</v>
      </c>
      <c r="B152" s="16" t="s">
        <v>1740</v>
      </c>
      <c r="C152" s="16" t="s">
        <v>638</v>
      </c>
      <c r="D152" s="16" t="s">
        <v>1274</v>
      </c>
      <c r="E152" s="16" t="s">
        <v>1741</v>
      </c>
      <c r="F152" s="16" t="s">
        <v>1276</v>
      </c>
      <c r="G152" s="16" t="s">
        <v>1277</v>
      </c>
      <c r="H152" s="16" t="s">
        <v>1276</v>
      </c>
      <c r="I152" s="16" t="s">
        <v>1742</v>
      </c>
      <c r="J152" s="16" t="s">
        <v>1279</v>
      </c>
      <c r="K152" s="16" t="s">
        <v>1276</v>
      </c>
      <c r="L152" s="16" t="s">
        <v>1280</v>
      </c>
      <c r="M152" s="25" t="str">
        <f t="shared" si="6"/>
        <v>129843</v>
      </c>
      <c r="N152" t="str">
        <f t="shared" si="7"/>
        <v xml:space="preserve"> 12" MDS FLEX DEF+LFM+ULTRA RES MFL </v>
      </c>
      <c r="O152" t="b">
        <f t="shared" si="8"/>
        <v>0</v>
      </c>
      <c r="S152" t="s">
        <v>637</v>
      </c>
      <c r="T152">
        <v>129843</v>
      </c>
    </row>
    <row r="153" spans="1:20" ht="60" x14ac:dyDescent="0.25">
      <c r="A153" s="16" t="s">
        <v>1272</v>
      </c>
      <c r="B153" s="16" t="s">
        <v>1743</v>
      </c>
      <c r="C153" s="16" t="s">
        <v>727</v>
      </c>
      <c r="D153" s="16" t="s">
        <v>1274</v>
      </c>
      <c r="E153" s="16" t="s">
        <v>1744</v>
      </c>
      <c r="F153" s="16" t="s">
        <v>1276</v>
      </c>
      <c r="G153" s="16" t="s">
        <v>1277</v>
      </c>
      <c r="H153" s="16" t="s">
        <v>1276</v>
      </c>
      <c r="I153" s="16" t="s">
        <v>1745</v>
      </c>
      <c r="J153" s="16" t="s">
        <v>1279</v>
      </c>
      <c r="K153" s="16" t="s">
        <v>1276</v>
      </c>
      <c r="L153" s="16" t="s">
        <v>1280</v>
      </c>
      <c r="M153" s="25" t="str">
        <f t="shared" si="6"/>
        <v>129844</v>
      </c>
      <c r="N153" t="str">
        <f t="shared" si="7"/>
        <v xml:space="preserve"> 12" MDS FLEX DEF+LFM+ULTRA RES MFL+XYZ </v>
      </c>
      <c r="O153" t="b">
        <f t="shared" si="8"/>
        <v>1</v>
      </c>
      <c r="S153" t="s">
        <v>726</v>
      </c>
      <c r="T153">
        <v>129844</v>
      </c>
    </row>
    <row r="154" spans="1:20" ht="45" x14ac:dyDescent="0.25">
      <c r="A154" s="16" t="s">
        <v>1272</v>
      </c>
      <c r="B154" s="16" t="s">
        <v>1746</v>
      </c>
      <c r="C154" s="16" t="s">
        <v>742</v>
      </c>
      <c r="D154" s="16" t="s">
        <v>1274</v>
      </c>
      <c r="E154" s="16" t="s">
        <v>1747</v>
      </c>
      <c r="F154" s="16" t="s">
        <v>1276</v>
      </c>
      <c r="G154" s="16" t="s">
        <v>1277</v>
      </c>
      <c r="H154" s="16" t="s">
        <v>1276</v>
      </c>
      <c r="I154" s="16" t="s">
        <v>1748</v>
      </c>
      <c r="J154" s="16" t="s">
        <v>1279</v>
      </c>
      <c r="K154" s="16" t="s">
        <v>1276</v>
      </c>
      <c r="L154" s="16" t="s">
        <v>1280</v>
      </c>
      <c r="M154" s="25" t="str">
        <f t="shared" si="6"/>
        <v>108765</v>
      </c>
      <c r="N154" t="str">
        <f t="shared" si="7"/>
        <v xml:space="preserve"> 14" GMFL+DEF ATEX </v>
      </c>
      <c r="O154" t="b">
        <f t="shared" si="8"/>
        <v>0</v>
      </c>
      <c r="S154" t="s">
        <v>741</v>
      </c>
      <c r="T154">
        <v>108765</v>
      </c>
    </row>
    <row r="155" spans="1:20" ht="60" x14ac:dyDescent="0.25">
      <c r="A155" s="16" t="s">
        <v>1272</v>
      </c>
      <c r="B155" s="16" t="s">
        <v>1749</v>
      </c>
      <c r="C155" s="16" t="s">
        <v>738</v>
      </c>
      <c r="D155" s="16" t="s">
        <v>1274</v>
      </c>
      <c r="E155" s="16" t="s">
        <v>1750</v>
      </c>
      <c r="F155" s="16" t="s">
        <v>1276</v>
      </c>
      <c r="G155" s="16" t="s">
        <v>1277</v>
      </c>
      <c r="H155" s="16" t="s">
        <v>1276</v>
      </c>
      <c r="I155" s="16" t="s">
        <v>1751</v>
      </c>
      <c r="J155" s="16" t="s">
        <v>1279</v>
      </c>
      <c r="K155" s="16" t="s">
        <v>1276</v>
      </c>
      <c r="L155" s="16" t="s">
        <v>1280</v>
      </c>
      <c r="M155" s="25" t="str">
        <f t="shared" si="6"/>
        <v>108766</v>
      </c>
      <c r="N155" t="str">
        <f t="shared" si="7"/>
        <v xml:space="preserve"> 14" GMFL (xHD) </v>
      </c>
      <c r="O155" t="b">
        <f t="shared" si="8"/>
        <v>0</v>
      </c>
      <c r="S155" t="s">
        <v>783</v>
      </c>
      <c r="T155">
        <v>108766</v>
      </c>
    </row>
    <row r="156" spans="1:20" ht="45" x14ac:dyDescent="0.25">
      <c r="A156" s="16" t="s">
        <v>1272</v>
      </c>
      <c r="B156" s="16" t="s">
        <v>1752</v>
      </c>
      <c r="C156" s="16" t="s">
        <v>756</v>
      </c>
      <c r="D156" s="16" t="s">
        <v>1274</v>
      </c>
      <c r="E156" s="16" t="s">
        <v>1753</v>
      </c>
      <c r="F156" s="16" t="s">
        <v>1276</v>
      </c>
      <c r="G156" s="16" t="s">
        <v>1277</v>
      </c>
      <c r="H156" s="16" t="s">
        <v>1276</v>
      </c>
      <c r="I156" s="16" t="s">
        <v>1754</v>
      </c>
      <c r="J156" s="16" t="s">
        <v>1279</v>
      </c>
      <c r="K156" s="16" t="s">
        <v>1276</v>
      </c>
      <c r="L156" s="16" t="s">
        <v>1280</v>
      </c>
      <c r="M156" s="25" t="str">
        <f t="shared" si="6"/>
        <v>108769</v>
      </c>
      <c r="N156" t="str">
        <f t="shared" si="7"/>
        <v xml:space="preserve"> 14" MFL+DEF ATEX </v>
      </c>
      <c r="O156" t="b">
        <f t="shared" si="8"/>
        <v>0</v>
      </c>
      <c r="S156" t="s">
        <v>755</v>
      </c>
      <c r="T156">
        <v>108769</v>
      </c>
    </row>
    <row r="157" spans="1:20" ht="45" x14ac:dyDescent="0.25">
      <c r="A157" s="16" t="s">
        <v>1272</v>
      </c>
      <c r="B157" s="16" t="s">
        <v>1755</v>
      </c>
      <c r="C157" s="16" t="s">
        <v>761</v>
      </c>
      <c r="D157" s="16" t="s">
        <v>1274</v>
      </c>
      <c r="E157" s="16" t="s">
        <v>1756</v>
      </c>
      <c r="F157" s="16" t="s">
        <v>1276</v>
      </c>
      <c r="G157" s="16" t="s">
        <v>1277</v>
      </c>
      <c r="H157" s="16" t="s">
        <v>1276</v>
      </c>
      <c r="I157" s="16" t="s">
        <v>1757</v>
      </c>
      <c r="J157" s="16" t="s">
        <v>1279</v>
      </c>
      <c r="K157" s="16" t="s">
        <v>1276</v>
      </c>
      <c r="L157" s="16" t="s">
        <v>1280</v>
      </c>
      <c r="M157" s="25" t="str">
        <f t="shared" si="6"/>
        <v>108848</v>
      </c>
      <c r="N157" t="str">
        <f t="shared" si="7"/>
        <v xml:space="preserve"> 14" LGT (12-14) (xHD) </v>
      </c>
      <c r="O157" t="b">
        <f t="shared" si="8"/>
        <v>0</v>
      </c>
      <c r="S157" t="s">
        <v>760</v>
      </c>
      <c r="T157">
        <v>108848</v>
      </c>
    </row>
    <row r="158" spans="1:20" ht="45" x14ac:dyDescent="0.25">
      <c r="A158" s="16" t="s">
        <v>1272</v>
      </c>
      <c r="B158" s="16" t="s">
        <v>1758</v>
      </c>
      <c r="C158" s="16" t="s">
        <v>766</v>
      </c>
      <c r="D158" s="16" t="s">
        <v>1274</v>
      </c>
      <c r="E158" s="16" t="s">
        <v>1759</v>
      </c>
      <c r="F158" s="16" t="s">
        <v>1276</v>
      </c>
      <c r="G158" s="16" t="s">
        <v>1277</v>
      </c>
      <c r="H158" s="16" t="s">
        <v>1276</v>
      </c>
      <c r="I158" s="16" t="s">
        <v>1760</v>
      </c>
      <c r="J158" s="16" t="s">
        <v>1279</v>
      </c>
      <c r="K158" s="16" t="s">
        <v>1276</v>
      </c>
      <c r="L158" s="16" t="s">
        <v>1280</v>
      </c>
      <c r="M158" s="25" t="str">
        <f t="shared" si="6"/>
        <v>110410</v>
      </c>
      <c r="N158" t="str">
        <f t="shared" si="7"/>
        <v xml:space="preserve"> 14" DEF ATEX </v>
      </c>
      <c r="O158" t="b">
        <f t="shared" si="8"/>
        <v>0</v>
      </c>
      <c r="S158" t="s">
        <v>780</v>
      </c>
      <c r="T158">
        <v>110410</v>
      </c>
    </row>
    <row r="159" spans="1:20" ht="45" x14ac:dyDescent="0.25">
      <c r="A159" s="16" t="s">
        <v>1272</v>
      </c>
      <c r="B159" s="16" t="s">
        <v>1761</v>
      </c>
      <c r="C159" s="16" t="s">
        <v>752</v>
      </c>
      <c r="D159" s="16" t="s">
        <v>1274</v>
      </c>
      <c r="E159" s="16" t="s">
        <v>1762</v>
      </c>
      <c r="F159" s="16" t="s">
        <v>1276</v>
      </c>
      <c r="G159" s="16" t="s">
        <v>1277</v>
      </c>
      <c r="H159" s="16" t="s">
        <v>1276</v>
      </c>
      <c r="I159" s="16" t="s">
        <v>1763</v>
      </c>
      <c r="J159" s="16" t="s">
        <v>1279</v>
      </c>
      <c r="K159" s="16" t="s">
        <v>1276</v>
      </c>
      <c r="L159" s="16" t="s">
        <v>1280</v>
      </c>
      <c r="M159" s="25" t="str">
        <f t="shared" si="6"/>
        <v>110629</v>
      </c>
      <c r="N159" t="str">
        <f t="shared" si="7"/>
        <v xml:space="preserve"> 14" MFL ATEX </v>
      </c>
      <c r="O159" t="b">
        <f t="shared" si="8"/>
        <v>0</v>
      </c>
      <c r="S159" t="s">
        <v>786</v>
      </c>
      <c r="T159">
        <v>110629</v>
      </c>
    </row>
    <row r="160" spans="1:20" ht="60" x14ac:dyDescent="0.25">
      <c r="A160" s="16" t="s">
        <v>1272</v>
      </c>
      <c r="B160" s="16" t="s">
        <v>1764</v>
      </c>
      <c r="C160" s="16" t="s">
        <v>738</v>
      </c>
      <c r="D160" s="16" t="s">
        <v>1274</v>
      </c>
      <c r="E160" s="16" t="s">
        <v>1765</v>
      </c>
      <c r="F160" s="16" t="s">
        <v>1276</v>
      </c>
      <c r="G160" s="16" t="s">
        <v>1277</v>
      </c>
      <c r="H160" s="16" t="s">
        <v>1276</v>
      </c>
      <c r="I160" s="16" t="s">
        <v>1766</v>
      </c>
      <c r="J160" s="16" t="s">
        <v>1279</v>
      </c>
      <c r="K160" s="16" t="s">
        <v>1276</v>
      </c>
      <c r="L160" s="16" t="s">
        <v>1280</v>
      </c>
      <c r="M160" s="25" t="str">
        <f t="shared" si="6"/>
        <v>111456</v>
      </c>
      <c r="N160" t="str">
        <f t="shared" si="7"/>
        <v xml:space="preserve"> 14" GMFL ATEX </v>
      </c>
      <c r="O160" t="b">
        <f t="shared" si="8"/>
        <v>0</v>
      </c>
      <c r="S160" t="s">
        <v>737</v>
      </c>
      <c r="T160">
        <v>111456</v>
      </c>
    </row>
    <row r="161" spans="1:20" ht="45" x14ac:dyDescent="0.25">
      <c r="A161" s="16" t="s">
        <v>1272</v>
      </c>
      <c r="B161" s="16" t="s">
        <v>1767</v>
      </c>
      <c r="C161" s="16" t="s">
        <v>770</v>
      </c>
      <c r="D161" s="16" t="s">
        <v>1274</v>
      </c>
      <c r="E161" s="16" t="s">
        <v>1768</v>
      </c>
      <c r="F161" s="16" t="s">
        <v>1276</v>
      </c>
      <c r="G161" s="16" t="s">
        <v>1277</v>
      </c>
      <c r="H161" s="16" t="s">
        <v>1276</v>
      </c>
      <c r="I161" s="16" t="s">
        <v>1769</v>
      </c>
      <c r="J161" s="16" t="s">
        <v>1279</v>
      </c>
      <c r="K161" s="16" t="s">
        <v>1276</v>
      </c>
      <c r="L161" s="16" t="s">
        <v>1280</v>
      </c>
      <c r="M161" s="25" t="str">
        <f t="shared" si="6"/>
        <v>114587</v>
      </c>
      <c r="N161" t="str">
        <f t="shared" si="7"/>
        <v xml:space="preserve"> 14" GMFL+XYZ ATEX </v>
      </c>
      <c r="O161" t="b">
        <f t="shared" si="8"/>
        <v>1</v>
      </c>
      <c r="S161" t="s">
        <v>769</v>
      </c>
      <c r="T161">
        <v>114587</v>
      </c>
    </row>
    <row r="162" spans="1:20" ht="45" x14ac:dyDescent="0.25">
      <c r="A162" s="16" t="s">
        <v>1272</v>
      </c>
      <c r="B162" s="16" t="s">
        <v>1770</v>
      </c>
      <c r="C162" s="16" t="s">
        <v>733</v>
      </c>
      <c r="D162" s="16" t="s">
        <v>1274</v>
      </c>
      <c r="E162" s="16" t="s">
        <v>1771</v>
      </c>
      <c r="F162" s="16" t="s">
        <v>1276</v>
      </c>
      <c r="G162" s="16" t="s">
        <v>1277</v>
      </c>
      <c r="H162" s="16" t="s">
        <v>1276</v>
      </c>
      <c r="I162" s="16" t="s">
        <v>1772</v>
      </c>
      <c r="J162" s="16" t="s">
        <v>1279</v>
      </c>
      <c r="K162" s="16" t="s">
        <v>1276</v>
      </c>
      <c r="L162" s="16" t="s">
        <v>1280</v>
      </c>
      <c r="M162" s="25" t="str">
        <f t="shared" si="6"/>
        <v>114603</v>
      </c>
      <c r="N162" t="str">
        <f t="shared" si="7"/>
        <v xml:space="preserve"> 14" GMFL+DEF+XYZ ATEX </v>
      </c>
      <c r="O162" t="b">
        <f t="shared" si="8"/>
        <v>1</v>
      </c>
      <c r="S162" t="s">
        <v>732</v>
      </c>
      <c r="T162">
        <v>114603</v>
      </c>
    </row>
    <row r="163" spans="1:20" ht="45" x14ac:dyDescent="0.25">
      <c r="A163" s="16" t="s">
        <v>1272</v>
      </c>
      <c r="B163" s="16" t="s">
        <v>1773</v>
      </c>
      <c r="C163" s="16" t="s">
        <v>752</v>
      </c>
      <c r="D163" s="16" t="s">
        <v>1274</v>
      </c>
      <c r="E163" s="16" t="s">
        <v>1774</v>
      </c>
      <c r="F163" s="16" t="s">
        <v>1276</v>
      </c>
      <c r="G163" s="16" t="s">
        <v>1277</v>
      </c>
      <c r="H163" s="16" t="s">
        <v>1276</v>
      </c>
      <c r="I163" s="16" t="s">
        <v>1775</v>
      </c>
      <c r="J163" s="16" t="s">
        <v>1279</v>
      </c>
      <c r="K163" s="16" t="s">
        <v>1276</v>
      </c>
      <c r="L163" s="16" t="s">
        <v>1280</v>
      </c>
      <c r="M163" s="25" t="str">
        <f t="shared" si="6"/>
        <v>116645</v>
      </c>
      <c r="N163" t="str">
        <f t="shared" si="7"/>
        <v xml:space="preserve"> 14" MFL2 (Heavy Wall) </v>
      </c>
      <c r="O163" t="b">
        <f t="shared" si="8"/>
        <v>0</v>
      </c>
      <c r="S163" t="s">
        <v>1776</v>
      </c>
      <c r="T163">
        <v>116645</v>
      </c>
    </row>
    <row r="164" spans="1:20" ht="45" x14ac:dyDescent="0.25">
      <c r="A164" s="16" t="s">
        <v>1272</v>
      </c>
      <c r="B164" s="16" t="s">
        <v>1777</v>
      </c>
      <c r="C164" s="16" t="s">
        <v>773</v>
      </c>
      <c r="D164" s="16" t="s">
        <v>1274</v>
      </c>
      <c r="E164" s="16" t="s">
        <v>1778</v>
      </c>
      <c r="F164" s="16" t="s">
        <v>1276</v>
      </c>
      <c r="G164" s="16" t="s">
        <v>1277</v>
      </c>
      <c r="H164" s="16" t="s">
        <v>1276</v>
      </c>
      <c r="I164" s="16" t="s">
        <v>1779</v>
      </c>
      <c r="J164" s="16" t="s">
        <v>1279</v>
      </c>
      <c r="K164" s="16" t="s">
        <v>1276</v>
      </c>
      <c r="L164" s="16" t="s">
        <v>1280</v>
      </c>
      <c r="M164" s="25" t="str">
        <f t="shared" si="6"/>
        <v>118099</v>
      </c>
      <c r="N164" t="str">
        <f t="shared" si="7"/>
        <v xml:space="preserve"> 14" MFL+XYZ (xHD) </v>
      </c>
      <c r="O164" t="b">
        <f t="shared" si="8"/>
        <v>1</v>
      </c>
      <c r="S164" t="s">
        <v>772</v>
      </c>
      <c r="T164">
        <v>118099</v>
      </c>
    </row>
    <row r="165" spans="1:20" ht="45" x14ac:dyDescent="0.25">
      <c r="A165" s="16" t="s">
        <v>1272</v>
      </c>
      <c r="B165" s="16" t="s">
        <v>1780</v>
      </c>
      <c r="C165" s="16" t="s">
        <v>777</v>
      </c>
      <c r="D165" s="16" t="s">
        <v>1274</v>
      </c>
      <c r="E165" s="16" t="s">
        <v>1781</v>
      </c>
      <c r="F165" s="16" t="s">
        <v>1276</v>
      </c>
      <c r="G165" s="16" t="s">
        <v>1277</v>
      </c>
      <c r="H165" s="16" t="s">
        <v>1276</v>
      </c>
      <c r="I165" s="16" t="s">
        <v>1782</v>
      </c>
      <c r="J165" s="16" t="s">
        <v>1279</v>
      </c>
      <c r="K165" s="16" t="s">
        <v>1276</v>
      </c>
      <c r="L165" s="16" t="s">
        <v>1280</v>
      </c>
      <c r="M165" s="25" t="str">
        <f t="shared" si="6"/>
        <v>120711</v>
      </c>
      <c r="N165" t="str">
        <f t="shared" si="7"/>
        <v xml:space="preserve"> 14" DEF+XYZ (xHD) </v>
      </c>
      <c r="O165" t="b">
        <f t="shared" si="8"/>
        <v>1</v>
      </c>
      <c r="S165" t="s">
        <v>776</v>
      </c>
      <c r="T165">
        <v>120711</v>
      </c>
    </row>
    <row r="166" spans="1:20" ht="45" x14ac:dyDescent="0.25">
      <c r="A166" s="16" t="s">
        <v>1272</v>
      </c>
      <c r="B166" s="16" t="s">
        <v>1783</v>
      </c>
      <c r="C166" s="16" t="s">
        <v>747</v>
      </c>
      <c r="D166" s="16" t="s">
        <v>1274</v>
      </c>
      <c r="E166" s="16" t="s">
        <v>1784</v>
      </c>
      <c r="F166" s="16" t="s">
        <v>1276</v>
      </c>
      <c r="G166" s="16" t="s">
        <v>1277</v>
      </c>
      <c r="H166" s="16" t="s">
        <v>1276</v>
      </c>
      <c r="I166" s="16" t="s">
        <v>1785</v>
      </c>
      <c r="J166" s="16" t="s">
        <v>1279</v>
      </c>
      <c r="K166" s="16" t="s">
        <v>1276</v>
      </c>
      <c r="L166" s="16" t="s">
        <v>1280</v>
      </c>
      <c r="M166" s="25" t="str">
        <f t="shared" si="6"/>
        <v>121043</v>
      </c>
      <c r="N166" t="str">
        <f t="shared" si="7"/>
        <v xml:space="preserve"> 14" MFL+DEF+XYZ </v>
      </c>
      <c r="O166" t="b">
        <f t="shared" si="8"/>
        <v>1</v>
      </c>
      <c r="S166" t="s">
        <v>746</v>
      </c>
      <c r="T166">
        <v>121043</v>
      </c>
    </row>
    <row r="167" spans="1:20" ht="45" x14ac:dyDescent="0.25">
      <c r="A167" s="16" t="s">
        <v>1272</v>
      </c>
      <c r="B167" s="16" t="s">
        <v>1786</v>
      </c>
      <c r="C167" s="16" t="s">
        <v>766</v>
      </c>
      <c r="D167" s="16" t="s">
        <v>1274</v>
      </c>
      <c r="E167" s="16" t="s">
        <v>1787</v>
      </c>
      <c r="F167" s="16" t="s">
        <v>1276</v>
      </c>
      <c r="G167" s="16" t="s">
        <v>1277</v>
      </c>
      <c r="H167" s="16" t="s">
        <v>1276</v>
      </c>
      <c r="I167" s="16" t="s">
        <v>1788</v>
      </c>
      <c r="J167" s="16" t="s">
        <v>1279</v>
      </c>
      <c r="K167" s="16" t="s">
        <v>1276</v>
      </c>
      <c r="L167" s="16" t="s">
        <v>1280</v>
      </c>
      <c r="M167" s="25" t="str">
        <f t="shared" si="6"/>
        <v>121049</v>
      </c>
      <c r="N167" t="str">
        <f t="shared" si="7"/>
        <v xml:space="preserve"> 14" DEF, CHAIN COUPLER </v>
      </c>
      <c r="O167" t="b">
        <f t="shared" si="8"/>
        <v>0</v>
      </c>
      <c r="S167" t="s">
        <v>765</v>
      </c>
      <c r="T167">
        <v>121049</v>
      </c>
    </row>
    <row r="168" spans="1:20" ht="45" x14ac:dyDescent="0.25">
      <c r="A168" s="16" t="s">
        <v>1272</v>
      </c>
      <c r="B168" s="16" t="s">
        <v>1789</v>
      </c>
      <c r="C168" s="16" t="s">
        <v>1790</v>
      </c>
      <c r="D168" s="16" t="s">
        <v>1274</v>
      </c>
      <c r="E168" s="16" t="s">
        <v>1791</v>
      </c>
      <c r="F168" s="16" t="s">
        <v>1276</v>
      </c>
      <c r="G168" s="16" t="s">
        <v>1277</v>
      </c>
      <c r="H168" s="16" t="s">
        <v>1276</v>
      </c>
      <c r="I168" s="16" t="s">
        <v>1792</v>
      </c>
      <c r="J168" s="16" t="s">
        <v>1279</v>
      </c>
      <c r="K168" s="16" t="s">
        <v>1276</v>
      </c>
      <c r="L168" s="16" t="s">
        <v>1280</v>
      </c>
      <c r="M168" s="25" t="str">
        <f t="shared" si="6"/>
        <v>101002</v>
      </c>
      <c r="N168" t="str">
        <f t="shared" si="7"/>
        <v xml:space="preserve"> 16" K360 </v>
      </c>
      <c r="O168" t="b">
        <f t="shared" si="8"/>
        <v>0</v>
      </c>
      <c r="S168" t="s">
        <v>1793</v>
      </c>
      <c r="T168">
        <v>101002</v>
      </c>
    </row>
    <row r="169" spans="1:20" ht="60" x14ac:dyDescent="0.25">
      <c r="A169" s="16" t="s">
        <v>1272</v>
      </c>
      <c r="B169" s="16" t="s">
        <v>1794</v>
      </c>
      <c r="C169" s="16" t="s">
        <v>809</v>
      </c>
      <c r="D169" s="16" t="s">
        <v>1274</v>
      </c>
      <c r="E169" s="16" t="s">
        <v>1795</v>
      </c>
      <c r="F169" s="16" t="s">
        <v>1276</v>
      </c>
      <c r="G169" s="16" t="s">
        <v>1277</v>
      </c>
      <c r="H169" s="16" t="s">
        <v>1276</v>
      </c>
      <c r="I169" s="16" t="s">
        <v>1796</v>
      </c>
      <c r="J169" s="16" t="s">
        <v>1279</v>
      </c>
      <c r="K169" s="16" t="s">
        <v>1276</v>
      </c>
      <c r="L169" s="16" t="s">
        <v>1280</v>
      </c>
      <c r="M169" s="25" t="str">
        <f t="shared" si="6"/>
        <v>108734</v>
      </c>
      <c r="N169" t="str">
        <f t="shared" si="7"/>
        <v xml:space="preserve"> 16" MFL ATEX </v>
      </c>
      <c r="O169" t="b">
        <f t="shared" si="8"/>
        <v>0</v>
      </c>
      <c r="S169" t="s">
        <v>808</v>
      </c>
      <c r="T169">
        <v>108734</v>
      </c>
    </row>
    <row r="170" spans="1:20" ht="60" x14ac:dyDescent="0.25">
      <c r="A170" s="16" t="s">
        <v>1272</v>
      </c>
      <c r="B170" s="16" t="s">
        <v>1797</v>
      </c>
      <c r="C170" s="16" t="s">
        <v>799</v>
      </c>
      <c r="D170" s="16" t="s">
        <v>1274</v>
      </c>
      <c r="E170" s="16" t="s">
        <v>1798</v>
      </c>
      <c r="F170" s="16" t="s">
        <v>1276</v>
      </c>
      <c r="G170" s="16" t="s">
        <v>1277</v>
      </c>
      <c r="H170" s="16" t="s">
        <v>1276</v>
      </c>
      <c r="I170" s="16" t="s">
        <v>1799</v>
      </c>
      <c r="J170" s="16" t="s">
        <v>1279</v>
      </c>
      <c r="K170" s="16" t="s">
        <v>1276</v>
      </c>
      <c r="L170" s="16" t="s">
        <v>1280</v>
      </c>
      <c r="M170" s="25" t="str">
        <f t="shared" si="6"/>
        <v>109179</v>
      </c>
      <c r="N170" t="str">
        <f t="shared" si="7"/>
        <v xml:space="preserve"> 16" DEF2 (GCPU xHD) </v>
      </c>
      <c r="O170" t="b">
        <f t="shared" si="8"/>
        <v>0</v>
      </c>
      <c r="S170" t="s">
        <v>830</v>
      </c>
      <c r="T170">
        <v>109179</v>
      </c>
    </row>
    <row r="171" spans="1:20" ht="60" x14ac:dyDescent="0.25">
      <c r="A171" s="16" t="s">
        <v>1272</v>
      </c>
      <c r="B171" s="16" t="s">
        <v>1800</v>
      </c>
      <c r="C171" s="16" t="s">
        <v>799</v>
      </c>
      <c r="D171" s="16" t="s">
        <v>1274</v>
      </c>
      <c r="E171" s="16" t="s">
        <v>1801</v>
      </c>
      <c r="F171" s="16" t="s">
        <v>1276</v>
      </c>
      <c r="G171" s="16" t="s">
        <v>1277</v>
      </c>
      <c r="H171" s="16" t="s">
        <v>1276</v>
      </c>
      <c r="I171" s="16" t="s">
        <v>1802</v>
      </c>
      <c r="J171" s="16" t="s">
        <v>1279</v>
      </c>
      <c r="K171" s="16" t="s">
        <v>1276</v>
      </c>
      <c r="L171" s="16" t="s">
        <v>1280</v>
      </c>
      <c r="M171" s="25" t="str">
        <f t="shared" si="6"/>
        <v>109180</v>
      </c>
      <c r="N171" t="str">
        <f t="shared" si="7"/>
        <v xml:space="preserve"> 16" DEF (16-18) 3D (xHD) </v>
      </c>
      <c r="O171" t="b">
        <f t="shared" si="8"/>
        <v>0</v>
      </c>
      <c r="S171" t="s">
        <v>835</v>
      </c>
      <c r="T171">
        <v>109180</v>
      </c>
    </row>
    <row r="172" spans="1:20" ht="60" x14ac:dyDescent="0.25">
      <c r="A172" s="16" t="s">
        <v>1272</v>
      </c>
      <c r="B172" s="16" t="s">
        <v>1803</v>
      </c>
      <c r="C172" s="16" t="s">
        <v>857</v>
      </c>
      <c r="D172" s="16" t="s">
        <v>1274</v>
      </c>
      <c r="E172" s="16" t="s">
        <v>1804</v>
      </c>
      <c r="F172" s="16" t="s">
        <v>1276</v>
      </c>
      <c r="G172" s="16" t="s">
        <v>1277</v>
      </c>
      <c r="H172" s="16" t="s">
        <v>1276</v>
      </c>
      <c r="I172" s="16" t="s">
        <v>1805</v>
      </c>
      <c r="J172" s="16" t="s">
        <v>1279</v>
      </c>
      <c r="K172" s="16" t="s">
        <v>1276</v>
      </c>
      <c r="L172" s="16" t="s">
        <v>1280</v>
      </c>
      <c r="M172" s="25" t="str">
        <f t="shared" si="6"/>
        <v>109248</v>
      </c>
      <c r="N172" t="str">
        <f t="shared" si="7"/>
        <v xml:space="preserve"> 16" GMFL+DEF (xHD) </v>
      </c>
      <c r="O172" t="b">
        <f t="shared" si="8"/>
        <v>0</v>
      </c>
      <c r="S172" t="s">
        <v>856</v>
      </c>
      <c r="T172">
        <v>109248</v>
      </c>
    </row>
    <row r="173" spans="1:20" ht="60" x14ac:dyDescent="0.25">
      <c r="A173" s="16" t="s">
        <v>1272</v>
      </c>
      <c r="B173" s="16" t="s">
        <v>1806</v>
      </c>
      <c r="C173" s="16" t="s">
        <v>873</v>
      </c>
      <c r="D173" s="16" t="s">
        <v>1274</v>
      </c>
      <c r="E173" s="16" t="s">
        <v>1807</v>
      </c>
      <c r="F173" s="16" t="s">
        <v>1276</v>
      </c>
      <c r="G173" s="16" t="s">
        <v>1277</v>
      </c>
      <c r="H173" s="16" t="s">
        <v>1276</v>
      </c>
      <c r="I173" s="16" t="s">
        <v>1808</v>
      </c>
      <c r="J173" s="16" t="s">
        <v>1279</v>
      </c>
      <c r="K173" s="16" t="s">
        <v>1276</v>
      </c>
      <c r="L173" s="16" t="s">
        <v>1280</v>
      </c>
      <c r="M173" s="25" t="str">
        <f t="shared" si="6"/>
        <v>109249</v>
      </c>
      <c r="N173" t="str">
        <f t="shared" si="7"/>
        <v xml:space="preserve"> 16" GMFL+DEF+XYZ Integrated CPU (xHD) </v>
      </c>
      <c r="O173" t="b">
        <f t="shared" si="8"/>
        <v>1</v>
      </c>
      <c r="S173" t="s">
        <v>1809</v>
      </c>
      <c r="T173">
        <v>109249</v>
      </c>
    </row>
    <row r="174" spans="1:20" ht="45" x14ac:dyDescent="0.25">
      <c r="A174" s="16" t="s">
        <v>1272</v>
      </c>
      <c r="B174" s="16" t="s">
        <v>1810</v>
      </c>
      <c r="C174" s="16" t="s">
        <v>818</v>
      </c>
      <c r="D174" s="16" t="s">
        <v>1274</v>
      </c>
      <c r="E174" s="16" t="s">
        <v>1811</v>
      </c>
      <c r="F174" s="16" t="s">
        <v>1276</v>
      </c>
      <c r="G174" s="16" t="s">
        <v>1277</v>
      </c>
      <c r="H174" s="16" t="s">
        <v>1276</v>
      </c>
      <c r="I174" s="16" t="s">
        <v>1812</v>
      </c>
      <c r="J174" s="16" t="s">
        <v>1279</v>
      </c>
      <c r="K174" s="16" t="s">
        <v>1276</v>
      </c>
      <c r="L174" s="16" t="s">
        <v>1280</v>
      </c>
      <c r="M174" s="25" t="str">
        <f t="shared" si="6"/>
        <v>109575</v>
      </c>
      <c r="N174" t="str">
        <f t="shared" si="7"/>
        <v xml:space="preserve"> 16" MDS FLEX MFL2+DEF2+LFM </v>
      </c>
      <c r="O174" t="b">
        <f t="shared" si="8"/>
        <v>0</v>
      </c>
      <c r="S174" t="s">
        <v>817</v>
      </c>
      <c r="T174">
        <v>109575</v>
      </c>
    </row>
    <row r="175" spans="1:20" ht="45" x14ac:dyDescent="0.25">
      <c r="A175" s="16" t="s">
        <v>1272</v>
      </c>
      <c r="B175" s="16" t="s">
        <v>1813</v>
      </c>
      <c r="C175" s="16" t="s">
        <v>876</v>
      </c>
      <c r="D175" s="16" t="s">
        <v>1274</v>
      </c>
      <c r="E175" s="16" t="s">
        <v>1814</v>
      </c>
      <c r="F175" s="16" t="s">
        <v>1276</v>
      </c>
      <c r="G175" s="16" t="s">
        <v>1277</v>
      </c>
      <c r="H175" s="16" t="s">
        <v>1276</v>
      </c>
      <c r="I175" s="16" t="s">
        <v>1815</v>
      </c>
      <c r="J175" s="16" t="s">
        <v>1279</v>
      </c>
      <c r="K175" s="16" t="s">
        <v>1276</v>
      </c>
      <c r="L175" s="16" t="s">
        <v>1280</v>
      </c>
      <c r="M175" s="25" t="str">
        <f t="shared" si="6"/>
        <v>109576</v>
      </c>
      <c r="N175" t="str">
        <f t="shared" si="7"/>
        <v xml:space="preserve"> 16" MDS FLEX MFL2+DEF2+XYZ+LFM </v>
      </c>
      <c r="O175" t="b">
        <f t="shared" si="8"/>
        <v>1</v>
      </c>
      <c r="S175" t="s">
        <v>875</v>
      </c>
      <c r="T175">
        <v>109576</v>
      </c>
    </row>
    <row r="176" spans="1:20" ht="60" x14ac:dyDescent="0.25">
      <c r="A176" s="16" t="s">
        <v>1272</v>
      </c>
      <c r="B176" s="16" t="s">
        <v>1816</v>
      </c>
      <c r="C176" s="16" t="s">
        <v>826</v>
      </c>
      <c r="D176" s="16" t="s">
        <v>1274</v>
      </c>
      <c r="E176" s="16" t="s">
        <v>1817</v>
      </c>
      <c r="F176" s="16" t="s">
        <v>1276</v>
      </c>
      <c r="G176" s="16" t="s">
        <v>1277</v>
      </c>
      <c r="H176" s="16" t="s">
        <v>1276</v>
      </c>
      <c r="I176" s="16" t="s">
        <v>1818</v>
      </c>
      <c r="J176" s="16" t="s">
        <v>1279</v>
      </c>
      <c r="K176" s="16" t="s">
        <v>1276</v>
      </c>
      <c r="L176" s="16" t="s">
        <v>1280</v>
      </c>
      <c r="M176" s="25" t="str">
        <f t="shared" si="6"/>
        <v>112848</v>
      </c>
      <c r="N176" t="str">
        <f t="shared" si="7"/>
        <v xml:space="preserve"> 16" GMFL (Short) </v>
      </c>
      <c r="O176" t="b">
        <f t="shared" si="8"/>
        <v>0</v>
      </c>
      <c r="S176" t="s">
        <v>825</v>
      </c>
      <c r="T176">
        <v>112848</v>
      </c>
    </row>
    <row r="177" spans="1:20" ht="45" x14ac:dyDescent="0.25">
      <c r="A177" s="16" t="s">
        <v>1272</v>
      </c>
      <c r="B177" s="16" t="s">
        <v>1819</v>
      </c>
      <c r="C177" s="16" t="s">
        <v>799</v>
      </c>
      <c r="D177" s="16" t="s">
        <v>1274</v>
      </c>
      <c r="E177" s="16" t="s">
        <v>1820</v>
      </c>
      <c r="F177" s="16" t="s">
        <v>1276</v>
      </c>
      <c r="G177" s="16" t="s">
        <v>1277</v>
      </c>
      <c r="H177" s="16" t="s">
        <v>1276</v>
      </c>
      <c r="I177" s="16" t="s">
        <v>1821</v>
      </c>
      <c r="J177" s="16" t="s">
        <v>1279</v>
      </c>
      <c r="K177" s="16" t="s">
        <v>1276</v>
      </c>
      <c r="L177" s="16" t="s">
        <v>1280</v>
      </c>
      <c r="M177" s="25" t="str">
        <f t="shared" si="6"/>
        <v>113514</v>
      </c>
      <c r="N177" t="str">
        <f t="shared" si="7"/>
        <v xml:space="preserve"> 16" DEF ATEX </v>
      </c>
      <c r="O177" t="b">
        <f t="shared" si="8"/>
        <v>0</v>
      </c>
      <c r="S177" t="s">
        <v>798</v>
      </c>
      <c r="T177">
        <v>113514</v>
      </c>
    </row>
    <row r="178" spans="1:20" ht="45" x14ac:dyDescent="0.25">
      <c r="A178" s="16" t="s">
        <v>1272</v>
      </c>
      <c r="B178" s="16" t="s">
        <v>1822</v>
      </c>
      <c r="C178" s="16" t="s">
        <v>847</v>
      </c>
      <c r="D178" s="16" t="s">
        <v>1274</v>
      </c>
      <c r="E178" s="16" t="s">
        <v>1823</v>
      </c>
      <c r="F178" s="16" t="s">
        <v>1276</v>
      </c>
      <c r="G178" s="16" t="s">
        <v>1277</v>
      </c>
      <c r="H178" s="16" t="s">
        <v>1276</v>
      </c>
      <c r="I178" s="16" t="s">
        <v>1824</v>
      </c>
      <c r="J178" s="16" t="s">
        <v>1279</v>
      </c>
      <c r="K178" s="16" t="s">
        <v>1276</v>
      </c>
      <c r="L178" s="16" t="s">
        <v>1280</v>
      </c>
      <c r="M178" s="25" t="str">
        <f t="shared" si="6"/>
        <v>113569</v>
      </c>
      <c r="N178" t="str">
        <f t="shared" si="7"/>
        <v xml:space="preserve"> 16" MFL+XYZ ATEX </v>
      </c>
      <c r="O178" t="b">
        <f t="shared" si="8"/>
        <v>1</v>
      </c>
      <c r="S178" t="s">
        <v>846</v>
      </c>
      <c r="T178">
        <v>113569</v>
      </c>
    </row>
    <row r="179" spans="1:20" ht="45" x14ac:dyDescent="0.25">
      <c r="A179" s="16" t="s">
        <v>1272</v>
      </c>
      <c r="B179" s="16" t="s">
        <v>1825</v>
      </c>
      <c r="C179" s="16" t="s">
        <v>873</v>
      </c>
      <c r="D179" s="16" t="s">
        <v>1274</v>
      </c>
      <c r="E179" s="16" t="s">
        <v>1826</v>
      </c>
      <c r="F179" s="16" t="s">
        <v>1276</v>
      </c>
      <c r="G179" s="16" t="s">
        <v>1277</v>
      </c>
      <c r="H179" s="16" t="s">
        <v>1276</v>
      </c>
      <c r="I179" s="16" t="s">
        <v>1827</v>
      </c>
      <c r="J179" s="16" t="s">
        <v>1279</v>
      </c>
      <c r="K179" s="16" t="s">
        <v>1276</v>
      </c>
      <c r="L179" s="16" t="s">
        <v>1280</v>
      </c>
      <c r="M179" s="25" t="str">
        <f t="shared" si="6"/>
        <v>114530</v>
      </c>
      <c r="N179" t="str">
        <f t="shared" si="7"/>
        <v xml:space="preserve"> 16" GMFL+DEF+XYZ ATEX </v>
      </c>
      <c r="O179" t="b">
        <f t="shared" si="8"/>
        <v>1</v>
      </c>
      <c r="S179" t="s">
        <v>872</v>
      </c>
      <c r="T179">
        <v>114530</v>
      </c>
    </row>
    <row r="180" spans="1:20" ht="45" x14ac:dyDescent="0.25">
      <c r="A180" s="16" t="s">
        <v>1272</v>
      </c>
      <c r="B180" s="16" t="s">
        <v>1828</v>
      </c>
      <c r="C180" s="16" t="s">
        <v>1829</v>
      </c>
      <c r="D180" s="16" t="s">
        <v>1274</v>
      </c>
      <c r="E180" s="16" t="s">
        <v>1830</v>
      </c>
      <c r="F180" s="16" t="s">
        <v>1276</v>
      </c>
      <c r="G180" s="16" t="s">
        <v>1277</v>
      </c>
      <c r="H180" s="16" t="s">
        <v>1276</v>
      </c>
      <c r="I180" s="16" t="s">
        <v>1831</v>
      </c>
      <c r="J180" s="16" t="s">
        <v>1279</v>
      </c>
      <c r="K180" s="16" t="s">
        <v>1276</v>
      </c>
      <c r="L180" s="16" t="s">
        <v>1280</v>
      </c>
      <c r="M180" s="25" t="str">
        <f t="shared" si="6"/>
        <v>114637</v>
      </c>
      <c r="N180" t="str">
        <f t="shared" si="7"/>
        <v xml:space="preserve"> 16" MFL+DEF+XYZ ATEX </v>
      </c>
      <c r="O180" t="b">
        <f t="shared" si="8"/>
        <v>1</v>
      </c>
      <c r="S180" t="s">
        <v>1832</v>
      </c>
      <c r="T180">
        <v>114637</v>
      </c>
    </row>
    <row r="181" spans="1:20" ht="45" x14ac:dyDescent="0.25">
      <c r="A181" s="16" t="s">
        <v>1272</v>
      </c>
      <c r="B181" s="16" t="s">
        <v>1833</v>
      </c>
      <c r="C181" s="16" t="s">
        <v>839</v>
      </c>
      <c r="D181" s="16" t="s">
        <v>1274</v>
      </c>
      <c r="E181" s="16" t="s">
        <v>1834</v>
      </c>
      <c r="F181" s="16" t="s">
        <v>1276</v>
      </c>
      <c r="G181" s="16" t="s">
        <v>1277</v>
      </c>
      <c r="H181" s="16" t="s">
        <v>1276</v>
      </c>
      <c r="I181" s="16" t="s">
        <v>1835</v>
      </c>
      <c r="J181" s="16" t="s">
        <v>1279</v>
      </c>
      <c r="K181" s="16" t="s">
        <v>1276</v>
      </c>
      <c r="L181" s="16" t="s">
        <v>1280</v>
      </c>
      <c r="M181" s="25" t="str">
        <f t="shared" si="6"/>
        <v>114875</v>
      </c>
      <c r="N181" t="str">
        <f t="shared" si="7"/>
        <v xml:space="preserve"> 16" DEF+XYZ ATEX </v>
      </c>
      <c r="O181" t="b">
        <f t="shared" si="8"/>
        <v>1</v>
      </c>
      <c r="S181" t="s">
        <v>838</v>
      </c>
      <c r="T181">
        <v>114875</v>
      </c>
    </row>
    <row r="182" spans="1:20" ht="45" x14ac:dyDescent="0.25">
      <c r="A182" s="16" t="s">
        <v>1272</v>
      </c>
      <c r="B182" s="16" t="s">
        <v>1836</v>
      </c>
      <c r="C182" s="16" t="s">
        <v>803</v>
      </c>
      <c r="D182" s="16" t="s">
        <v>1274</v>
      </c>
      <c r="E182" s="16" t="s">
        <v>1837</v>
      </c>
      <c r="F182" s="16" t="s">
        <v>1276</v>
      </c>
      <c r="G182" s="16" t="s">
        <v>1277</v>
      </c>
      <c r="H182" s="16" t="s">
        <v>1276</v>
      </c>
      <c r="I182" s="16" t="s">
        <v>1838</v>
      </c>
      <c r="J182" s="16" t="s">
        <v>1279</v>
      </c>
      <c r="K182" s="16" t="s">
        <v>1276</v>
      </c>
      <c r="L182" s="16" t="s">
        <v>1280</v>
      </c>
      <c r="M182" s="25" t="str">
        <f t="shared" si="6"/>
        <v>16_002</v>
      </c>
      <c r="N182" t="str">
        <f t="shared" si="7"/>
        <v xml:space="preserve"> 16" MFL+DEF (xHD) </v>
      </c>
      <c r="O182" t="b">
        <f t="shared" si="8"/>
        <v>0</v>
      </c>
      <c r="S182" t="s">
        <v>802</v>
      </c>
      <c r="T182" s="25" t="s">
        <v>800</v>
      </c>
    </row>
    <row r="183" spans="1:20" ht="45" x14ac:dyDescent="0.25">
      <c r="A183" s="16" t="s">
        <v>1272</v>
      </c>
      <c r="B183" s="16" t="s">
        <v>1839</v>
      </c>
      <c r="C183" s="16" t="s">
        <v>790</v>
      </c>
      <c r="D183" s="16" t="s">
        <v>1274</v>
      </c>
      <c r="E183" s="16" t="s">
        <v>1840</v>
      </c>
      <c r="F183" s="16" t="s">
        <v>1276</v>
      </c>
      <c r="G183" s="16" t="s">
        <v>1277</v>
      </c>
      <c r="H183" s="16" t="s">
        <v>1276</v>
      </c>
      <c r="I183" s="16" t="s">
        <v>1841</v>
      </c>
      <c r="J183" s="16" t="s">
        <v>1279</v>
      </c>
      <c r="K183" s="16" t="s">
        <v>1276</v>
      </c>
      <c r="L183" s="16" t="s">
        <v>1280</v>
      </c>
      <c r="M183" s="25" t="str">
        <f t="shared" si="6"/>
        <v>120901</v>
      </c>
      <c r="N183" t="str">
        <f t="shared" si="7"/>
        <v xml:space="preserve"> 16" MFL2+DEF2+SMFL3+LFM </v>
      </c>
      <c r="O183" t="b">
        <f t="shared" si="8"/>
        <v>0</v>
      </c>
      <c r="S183" t="s">
        <v>789</v>
      </c>
      <c r="T183">
        <v>120901</v>
      </c>
    </row>
    <row r="184" spans="1:20" ht="45" x14ac:dyDescent="0.25">
      <c r="A184" s="16" t="s">
        <v>1272</v>
      </c>
      <c r="B184" s="16" t="s">
        <v>1842</v>
      </c>
      <c r="C184" s="16" t="s">
        <v>814</v>
      </c>
      <c r="D184" s="16" t="s">
        <v>1274</v>
      </c>
      <c r="E184" s="16" t="s">
        <v>1843</v>
      </c>
      <c r="F184" s="16" t="s">
        <v>1276</v>
      </c>
      <c r="G184" s="16" t="s">
        <v>1277</v>
      </c>
      <c r="H184" s="16" t="s">
        <v>1276</v>
      </c>
      <c r="I184" s="16" t="s">
        <v>1844</v>
      </c>
      <c r="J184" s="16" t="s">
        <v>1279</v>
      </c>
      <c r="K184" s="16" t="s">
        <v>1276</v>
      </c>
      <c r="L184" s="16" t="s">
        <v>1280</v>
      </c>
      <c r="M184" s="25" t="str">
        <f t="shared" si="6"/>
        <v>123565-1</v>
      </c>
      <c r="N184" t="str">
        <f t="shared" si="7"/>
        <v xml:space="preserve"> ASSY, TOOL, EMAT, 16" </v>
      </c>
      <c r="O184" t="b">
        <f t="shared" si="8"/>
        <v>0</v>
      </c>
      <c r="S184" t="s">
        <v>813</v>
      </c>
      <c r="T184" s="25" t="s">
        <v>811</v>
      </c>
    </row>
    <row r="185" spans="1:20" ht="45" x14ac:dyDescent="0.25">
      <c r="A185" s="16" t="s">
        <v>1272</v>
      </c>
      <c r="B185" s="16" t="s">
        <v>1845</v>
      </c>
      <c r="C185" s="16" t="s">
        <v>814</v>
      </c>
      <c r="D185" s="16" t="s">
        <v>1274</v>
      </c>
      <c r="E185" s="16" t="s">
        <v>1846</v>
      </c>
      <c r="F185" s="16" t="s">
        <v>1276</v>
      </c>
      <c r="G185" s="16" t="s">
        <v>1277</v>
      </c>
      <c r="H185" s="16" t="s">
        <v>1276</v>
      </c>
      <c r="I185" s="16" t="s">
        <v>1847</v>
      </c>
      <c r="J185" s="16" t="s">
        <v>1279</v>
      </c>
      <c r="K185" s="16" t="s">
        <v>1276</v>
      </c>
      <c r="L185" s="16" t="s">
        <v>1280</v>
      </c>
      <c r="M185" s="25" t="str">
        <f t="shared" si="6"/>
        <v>123565-2</v>
      </c>
      <c r="N185" t="str">
        <f t="shared" si="7"/>
        <v xml:space="preserve"> ASSY, TOOL, EMAT, 16" </v>
      </c>
      <c r="O185" t="b">
        <f t="shared" si="8"/>
        <v>0</v>
      </c>
      <c r="S185" t="s">
        <v>813</v>
      </c>
      <c r="T185" s="25" t="s">
        <v>848</v>
      </c>
    </row>
    <row r="186" spans="1:20" ht="45" x14ac:dyDescent="0.25">
      <c r="A186" s="16" t="s">
        <v>1272</v>
      </c>
      <c r="B186" s="16" t="s">
        <v>1848</v>
      </c>
      <c r="C186" s="16" t="s">
        <v>843</v>
      </c>
      <c r="D186" s="16" t="s">
        <v>1274</v>
      </c>
      <c r="E186" s="16" t="s">
        <v>1849</v>
      </c>
      <c r="F186" s="16" t="s">
        <v>1276</v>
      </c>
      <c r="G186" s="16" t="s">
        <v>1277</v>
      </c>
      <c r="H186" s="16" t="s">
        <v>1276</v>
      </c>
      <c r="I186" s="16" t="s">
        <v>1850</v>
      </c>
      <c r="J186" s="16" t="s">
        <v>1279</v>
      </c>
      <c r="K186" s="16" t="s">
        <v>1276</v>
      </c>
      <c r="L186" s="16" t="s">
        <v>1280</v>
      </c>
      <c r="M186" s="25" t="str">
        <f t="shared" si="6"/>
        <v>122641</v>
      </c>
      <c r="N186" t="str">
        <f t="shared" si="7"/>
        <v xml:space="preserve"> 16" MFL2+DEF2+SMFL3+XYZ+LFM, SpirALL MFL </v>
      </c>
      <c r="O186" t="b">
        <f t="shared" si="8"/>
        <v>1</v>
      </c>
      <c r="S186" t="s">
        <v>842</v>
      </c>
      <c r="T186">
        <v>122641</v>
      </c>
    </row>
    <row r="187" spans="1:20" ht="45" x14ac:dyDescent="0.25">
      <c r="A187" s="16" t="s">
        <v>1272</v>
      </c>
      <c r="B187" s="16" t="s">
        <v>1851</v>
      </c>
      <c r="C187" s="16" t="s">
        <v>865</v>
      </c>
      <c r="D187" s="16" t="s">
        <v>1274</v>
      </c>
      <c r="E187" s="16" t="s">
        <v>1852</v>
      </c>
      <c r="F187" s="16" t="s">
        <v>1276</v>
      </c>
      <c r="G187" s="16" t="s">
        <v>1277</v>
      </c>
      <c r="H187" s="16" t="s">
        <v>1276</v>
      </c>
      <c r="I187" s="16" t="s">
        <v>1853</v>
      </c>
      <c r="J187" s="16" t="s">
        <v>1279</v>
      </c>
      <c r="K187" s="16" t="s">
        <v>1276</v>
      </c>
      <c r="L187" s="16" t="s">
        <v>1280</v>
      </c>
      <c r="M187" s="25" t="str">
        <f t="shared" si="6"/>
        <v>129302</v>
      </c>
      <c r="N187" t="str">
        <f t="shared" si="7"/>
        <v xml:space="preserve"> 16" MDS FLEX MFL2+DEF2 </v>
      </c>
      <c r="O187" t="b">
        <f t="shared" si="8"/>
        <v>0</v>
      </c>
      <c r="S187" t="s">
        <v>864</v>
      </c>
      <c r="T187">
        <v>129302</v>
      </c>
    </row>
    <row r="188" spans="1:20" ht="45" x14ac:dyDescent="0.25">
      <c r="A188" s="16" t="s">
        <v>1272</v>
      </c>
      <c r="B188" s="16" t="s">
        <v>1854</v>
      </c>
      <c r="C188" s="16" t="s">
        <v>1855</v>
      </c>
      <c r="D188" s="16" t="s">
        <v>1274</v>
      </c>
      <c r="E188" s="16" t="s">
        <v>1856</v>
      </c>
      <c r="F188" s="16" t="s">
        <v>1276</v>
      </c>
      <c r="G188" s="16" t="s">
        <v>1277</v>
      </c>
      <c r="H188" s="16" t="s">
        <v>1276</v>
      </c>
      <c r="I188" s="16" t="s">
        <v>1857</v>
      </c>
      <c r="J188" s="16" t="s">
        <v>1279</v>
      </c>
      <c r="K188" s="16" t="s">
        <v>1276</v>
      </c>
      <c r="L188" s="16" t="s">
        <v>1280</v>
      </c>
      <c r="M188" s="25" t="str">
        <f t="shared" si="6"/>
        <v>129303</v>
      </c>
      <c r="N188" t="str">
        <f t="shared" si="7"/>
        <v xml:space="preserve"> 16" MDS FLEX MFL2+DEF2+XYZ </v>
      </c>
      <c r="O188" t="b">
        <f t="shared" si="8"/>
        <v>1</v>
      </c>
      <c r="S188" t="s">
        <v>1858</v>
      </c>
      <c r="T188">
        <v>129303</v>
      </c>
    </row>
    <row r="189" spans="1:20" ht="60" x14ac:dyDescent="0.25">
      <c r="A189" s="16" t="s">
        <v>1272</v>
      </c>
      <c r="B189" s="16" t="s">
        <v>1859</v>
      </c>
      <c r="C189" s="16" t="s">
        <v>880</v>
      </c>
      <c r="D189" s="16" t="s">
        <v>1274</v>
      </c>
      <c r="E189" s="16" t="s">
        <v>1860</v>
      </c>
      <c r="F189" s="16" t="s">
        <v>1276</v>
      </c>
      <c r="G189" s="16" t="s">
        <v>1277</v>
      </c>
      <c r="H189" s="16" t="s">
        <v>1276</v>
      </c>
      <c r="I189" s="16" t="s">
        <v>1861</v>
      </c>
      <c r="J189" s="16" t="s">
        <v>1279</v>
      </c>
      <c r="K189" s="16" t="s">
        <v>1276</v>
      </c>
      <c r="L189" s="16" t="s">
        <v>1280</v>
      </c>
      <c r="M189" s="25" t="str">
        <f t="shared" si="6"/>
        <v>130178</v>
      </c>
      <c r="N189" t="str">
        <f t="shared" si="7"/>
        <v xml:space="preserve"> 16" DEF2+LFM+SMFL3+ULTRA RES MFL, SpirALL MFL </v>
      </c>
      <c r="O189" t="b">
        <f t="shared" si="8"/>
        <v>0</v>
      </c>
      <c r="S189" t="s">
        <v>821</v>
      </c>
      <c r="T189">
        <v>130178</v>
      </c>
    </row>
    <row r="190" spans="1:20" ht="60" x14ac:dyDescent="0.25">
      <c r="A190" s="16" t="s">
        <v>1272</v>
      </c>
      <c r="B190" s="16" t="s">
        <v>1862</v>
      </c>
      <c r="C190" s="16" t="s">
        <v>822</v>
      </c>
      <c r="D190" s="16" t="s">
        <v>1274</v>
      </c>
      <c r="E190" s="16" t="s">
        <v>1863</v>
      </c>
      <c r="F190" s="16" t="s">
        <v>1276</v>
      </c>
      <c r="G190" s="16" t="s">
        <v>1277</v>
      </c>
      <c r="H190" s="16" t="s">
        <v>1276</v>
      </c>
      <c r="I190" s="16" t="s">
        <v>1864</v>
      </c>
      <c r="J190" s="16" t="s">
        <v>1279</v>
      </c>
      <c r="K190" s="16" t="s">
        <v>1276</v>
      </c>
      <c r="L190" s="16" t="s">
        <v>1280</v>
      </c>
      <c r="M190" s="25" t="str">
        <f t="shared" si="6"/>
        <v>130179</v>
      </c>
      <c r="N190" t="str">
        <f t="shared" si="7"/>
        <v xml:space="preserve"> 16" DEF2+LFM+SMFL3+ULTRA RES MFL, SpirALL MFL </v>
      </c>
      <c r="O190" t="b">
        <f t="shared" si="8"/>
        <v>0</v>
      </c>
      <c r="S190" t="s">
        <v>821</v>
      </c>
      <c r="T190">
        <v>130179</v>
      </c>
    </row>
    <row r="191" spans="1:20" ht="60" x14ac:dyDescent="0.25">
      <c r="A191" s="16" t="s">
        <v>1272</v>
      </c>
      <c r="B191" s="16" t="s">
        <v>1865</v>
      </c>
      <c r="C191" s="16" t="s">
        <v>853</v>
      </c>
      <c r="D191" s="16" t="s">
        <v>1274</v>
      </c>
      <c r="E191" s="16" t="s">
        <v>1866</v>
      </c>
      <c r="F191" s="16" t="s">
        <v>1276</v>
      </c>
      <c r="G191" s="16" t="s">
        <v>1277</v>
      </c>
      <c r="H191" s="16" t="s">
        <v>1276</v>
      </c>
      <c r="I191" s="16" t="s">
        <v>1867</v>
      </c>
      <c r="J191" s="16" t="s">
        <v>1279</v>
      </c>
      <c r="K191" s="16" t="s">
        <v>1276</v>
      </c>
      <c r="L191" s="16" t="s">
        <v>1280</v>
      </c>
      <c r="M191" s="25" t="str">
        <f t="shared" si="6"/>
        <v>130180</v>
      </c>
      <c r="N191" t="str">
        <f t="shared" si="7"/>
        <v xml:space="preserve"> 16" MDS FLEX DEF+LFM+ULTRA RES MFL+XYZ </v>
      </c>
      <c r="O191" t="b">
        <f t="shared" si="8"/>
        <v>1</v>
      </c>
      <c r="S191" t="s">
        <v>852</v>
      </c>
      <c r="T191">
        <v>130180</v>
      </c>
    </row>
    <row r="192" spans="1:20" ht="60" x14ac:dyDescent="0.25">
      <c r="A192" s="16" t="s">
        <v>1272</v>
      </c>
      <c r="B192" s="16" t="s">
        <v>1868</v>
      </c>
      <c r="C192" s="16" t="s">
        <v>861</v>
      </c>
      <c r="D192" s="16" t="s">
        <v>1274</v>
      </c>
      <c r="E192" s="16" t="s">
        <v>1869</v>
      </c>
      <c r="F192" s="16" t="s">
        <v>1276</v>
      </c>
      <c r="G192" s="16" t="s">
        <v>1277</v>
      </c>
      <c r="H192" s="16" t="s">
        <v>1276</v>
      </c>
      <c r="I192" s="16" t="s">
        <v>1870</v>
      </c>
      <c r="J192" s="16" t="s">
        <v>1279</v>
      </c>
      <c r="K192" s="16" t="s">
        <v>1276</v>
      </c>
      <c r="L192" s="16" t="s">
        <v>1280</v>
      </c>
      <c r="M192" s="25" t="str">
        <f t="shared" si="6"/>
        <v>130181</v>
      </c>
      <c r="N192" t="str">
        <f t="shared" si="7"/>
        <v xml:space="preserve"> 16" MDS FLEX DEF+LFM+ULTRA RES MFL </v>
      </c>
      <c r="O192" t="b">
        <f t="shared" si="8"/>
        <v>0</v>
      </c>
      <c r="S192" t="s">
        <v>860</v>
      </c>
      <c r="T192">
        <v>130181</v>
      </c>
    </row>
    <row r="193" spans="1:20" ht="60" x14ac:dyDescent="0.25">
      <c r="A193" s="16" t="s">
        <v>1272</v>
      </c>
      <c r="B193" s="16" t="s">
        <v>1871</v>
      </c>
      <c r="C193" s="16" t="s">
        <v>869</v>
      </c>
      <c r="D193" s="16" t="s">
        <v>1274</v>
      </c>
      <c r="E193" s="16" t="s">
        <v>1872</v>
      </c>
      <c r="F193" s="16" t="s">
        <v>1276</v>
      </c>
      <c r="G193" s="16" t="s">
        <v>1277</v>
      </c>
      <c r="H193" s="16" t="s">
        <v>1276</v>
      </c>
      <c r="I193" s="16" t="s">
        <v>1873</v>
      </c>
      <c r="J193" s="16" t="s">
        <v>1279</v>
      </c>
      <c r="K193" s="16" t="s">
        <v>1276</v>
      </c>
      <c r="L193" s="16" t="s">
        <v>1280</v>
      </c>
      <c r="M193" s="25" t="str">
        <f t="shared" si="6"/>
        <v>130182</v>
      </c>
      <c r="N193" t="str">
        <f t="shared" si="7"/>
        <v xml:space="preserve"> 16" MDS FLEX DEF+ULTRA RES MFL+XYZ </v>
      </c>
      <c r="O193" t="b">
        <f t="shared" si="8"/>
        <v>1</v>
      </c>
      <c r="S193" t="s">
        <v>868</v>
      </c>
      <c r="T193">
        <v>130182</v>
      </c>
    </row>
    <row r="194" spans="1:20" ht="60" x14ac:dyDescent="0.25">
      <c r="A194" s="16" t="s">
        <v>1272</v>
      </c>
      <c r="B194" s="16" t="s">
        <v>1874</v>
      </c>
      <c r="C194" s="16" t="s">
        <v>795</v>
      </c>
      <c r="D194" s="16" t="s">
        <v>1274</v>
      </c>
      <c r="E194" s="16" t="s">
        <v>1875</v>
      </c>
      <c r="F194" s="16" t="s">
        <v>1276</v>
      </c>
      <c r="G194" s="16" t="s">
        <v>1277</v>
      </c>
      <c r="H194" s="16" t="s">
        <v>1276</v>
      </c>
      <c r="I194" s="16" t="s">
        <v>1876</v>
      </c>
      <c r="J194" s="16" t="s">
        <v>1279</v>
      </c>
      <c r="K194" s="16" t="s">
        <v>1276</v>
      </c>
      <c r="L194" s="16" t="s">
        <v>1280</v>
      </c>
      <c r="M194" s="25" t="str">
        <f t="shared" si="6"/>
        <v>130183</v>
      </c>
      <c r="N194" t="str">
        <f t="shared" si="7"/>
        <v xml:space="preserve"> 16" MDS FLEX DEF+ULTRA RES MFL </v>
      </c>
      <c r="O194" t="b">
        <f t="shared" si="8"/>
        <v>0</v>
      </c>
      <c r="S194" t="s">
        <v>794</v>
      </c>
      <c r="T194">
        <v>130183</v>
      </c>
    </row>
    <row r="195" spans="1:20" ht="60" x14ac:dyDescent="0.25">
      <c r="A195" s="16" t="s">
        <v>1272</v>
      </c>
      <c r="B195" s="16" t="s">
        <v>1877</v>
      </c>
      <c r="C195" s="16" t="s">
        <v>1878</v>
      </c>
      <c r="D195" s="16" t="s">
        <v>1274</v>
      </c>
      <c r="E195" s="16" t="s">
        <v>1879</v>
      </c>
      <c r="F195" s="16" t="s">
        <v>1276</v>
      </c>
      <c r="G195" s="16" t="s">
        <v>1277</v>
      </c>
      <c r="H195" s="16" t="s">
        <v>1276</v>
      </c>
      <c r="I195" s="16" t="s">
        <v>1880</v>
      </c>
      <c r="J195" s="16" t="s">
        <v>1279</v>
      </c>
      <c r="K195" s="16" t="s">
        <v>1276</v>
      </c>
      <c r="L195" s="16" t="s">
        <v>1280</v>
      </c>
      <c r="M195" s="25" t="str">
        <f t="shared" si="6"/>
        <v>103123</v>
      </c>
      <c r="N195" t="str">
        <f t="shared" si="7"/>
        <v xml:space="preserve"> 18" K360 (16-18) </v>
      </c>
      <c r="O195" t="b">
        <f t="shared" si="8"/>
        <v>0</v>
      </c>
      <c r="S195" t="s">
        <v>1881</v>
      </c>
      <c r="T195">
        <v>103123</v>
      </c>
    </row>
    <row r="196" spans="1:20" ht="60" x14ac:dyDescent="0.25">
      <c r="A196" s="16" t="s">
        <v>1272</v>
      </c>
      <c r="B196" s="16" t="s">
        <v>1882</v>
      </c>
      <c r="C196" s="16" t="s">
        <v>1883</v>
      </c>
      <c r="D196" s="16" t="s">
        <v>1274</v>
      </c>
      <c r="E196" s="16" t="s">
        <v>1884</v>
      </c>
      <c r="F196" s="16" t="s">
        <v>1276</v>
      </c>
      <c r="G196" s="16" t="s">
        <v>1277</v>
      </c>
      <c r="H196" s="16" t="s">
        <v>1276</v>
      </c>
      <c r="I196" s="16" t="s">
        <v>1885</v>
      </c>
      <c r="J196" s="16" t="s">
        <v>1279</v>
      </c>
      <c r="K196" s="16" t="s">
        <v>1276</v>
      </c>
      <c r="L196" s="16" t="s">
        <v>1280</v>
      </c>
      <c r="M196" s="25" t="str">
        <f t="shared" si="6"/>
        <v>109168</v>
      </c>
      <c r="N196" t="str">
        <f t="shared" si="7"/>
        <v xml:space="preserve"> 18" DEF (16-18) (xHD) </v>
      </c>
      <c r="O196" t="b">
        <f t="shared" si="8"/>
        <v>0</v>
      </c>
      <c r="S196" t="s">
        <v>1886</v>
      </c>
      <c r="T196">
        <v>109168</v>
      </c>
    </row>
    <row r="197" spans="1:20" ht="45" x14ac:dyDescent="0.25">
      <c r="A197" s="16" t="s">
        <v>1272</v>
      </c>
      <c r="B197" s="16" t="s">
        <v>1887</v>
      </c>
      <c r="C197" s="16" t="s">
        <v>1888</v>
      </c>
      <c r="D197" s="16" t="s">
        <v>1274</v>
      </c>
      <c r="E197" s="16" t="s">
        <v>1889</v>
      </c>
      <c r="F197" s="16" t="s">
        <v>1276</v>
      </c>
      <c r="G197" s="16" t="s">
        <v>1277</v>
      </c>
      <c r="H197" s="16" t="s">
        <v>1276</v>
      </c>
      <c r="I197" s="16" t="s">
        <v>1890</v>
      </c>
      <c r="J197" s="16" t="s">
        <v>1279</v>
      </c>
      <c r="K197" s="16" t="s">
        <v>1276</v>
      </c>
      <c r="L197" s="16" t="s">
        <v>1280</v>
      </c>
      <c r="M197" s="25" t="str">
        <f t="shared" si="6"/>
        <v>112076</v>
      </c>
      <c r="N197" t="str">
        <f t="shared" si="7"/>
        <v xml:space="preserve"> 18" GMFL Integrated DEF Combo+XYZ </v>
      </c>
      <c r="O197" t="b">
        <f t="shared" si="8"/>
        <v>1</v>
      </c>
      <c r="S197" t="s">
        <v>1891</v>
      </c>
      <c r="T197">
        <v>112076</v>
      </c>
    </row>
    <row r="198" spans="1:20" ht="45" x14ac:dyDescent="0.25">
      <c r="A198" s="16" t="s">
        <v>1272</v>
      </c>
      <c r="B198" s="16" t="s">
        <v>1892</v>
      </c>
      <c r="C198" s="16" t="s">
        <v>1893</v>
      </c>
      <c r="D198" s="16" t="s">
        <v>1274</v>
      </c>
      <c r="E198" s="16" t="s">
        <v>1894</v>
      </c>
      <c r="F198" s="16" t="s">
        <v>1276</v>
      </c>
      <c r="G198" s="16" t="s">
        <v>1277</v>
      </c>
      <c r="H198" s="16" t="s">
        <v>1276</v>
      </c>
      <c r="I198" s="16" t="s">
        <v>1895</v>
      </c>
      <c r="J198" s="16" t="s">
        <v>1279</v>
      </c>
      <c r="K198" s="16" t="s">
        <v>1276</v>
      </c>
      <c r="L198" s="16" t="s">
        <v>1280</v>
      </c>
      <c r="M198" s="25" t="str">
        <f t="shared" si="6"/>
        <v>112552</v>
      </c>
      <c r="N198" t="str">
        <f t="shared" si="7"/>
        <v xml:space="preserve"> 18" DEF+XYZ ATEX </v>
      </c>
      <c r="O198" t="b">
        <f t="shared" si="8"/>
        <v>1</v>
      </c>
      <c r="S198" t="s">
        <v>1896</v>
      </c>
      <c r="T198">
        <v>112552</v>
      </c>
    </row>
    <row r="199" spans="1:20" ht="60" x14ac:dyDescent="0.25">
      <c r="A199" s="16" t="s">
        <v>1272</v>
      </c>
      <c r="B199" s="16" t="s">
        <v>1897</v>
      </c>
      <c r="C199" s="16" t="s">
        <v>1898</v>
      </c>
      <c r="D199" s="16" t="s">
        <v>1274</v>
      </c>
      <c r="E199" s="16" t="s">
        <v>1899</v>
      </c>
      <c r="F199" s="16" t="s">
        <v>1276</v>
      </c>
      <c r="G199" s="16" t="s">
        <v>1277</v>
      </c>
      <c r="H199" s="16" t="s">
        <v>1276</v>
      </c>
      <c r="I199" s="16" t="s">
        <v>1900</v>
      </c>
      <c r="J199" s="16" t="s">
        <v>1279</v>
      </c>
      <c r="K199" s="16" t="s">
        <v>1276</v>
      </c>
      <c r="L199" s="16" t="s">
        <v>1280</v>
      </c>
      <c r="M199" s="25" t="str">
        <f t="shared" ref="M199:M262" si="9">_xlfn.TEXTBEFORE(B199, ",")</f>
        <v>112882</v>
      </c>
      <c r="N199" t="str">
        <f t="shared" ref="N199:N262" si="10">_xlfn.TEXTAFTER(B199, ",")</f>
        <v xml:space="preserve"> 18" GMFL (Short) </v>
      </c>
      <c r="O199" t="b">
        <f t="shared" ref="O199:O262" si="11">ISNUMBER(SEARCH("xyz", B199))</f>
        <v>0</v>
      </c>
      <c r="S199" t="s">
        <v>1901</v>
      </c>
      <c r="T199">
        <v>112882</v>
      </c>
    </row>
    <row r="200" spans="1:20" ht="45" x14ac:dyDescent="0.25">
      <c r="A200" s="16" t="s">
        <v>1272</v>
      </c>
      <c r="B200" s="16" t="s">
        <v>1902</v>
      </c>
      <c r="C200" s="16" t="s">
        <v>1903</v>
      </c>
      <c r="D200" s="16" t="s">
        <v>1274</v>
      </c>
      <c r="E200" s="16" t="s">
        <v>1904</v>
      </c>
      <c r="F200" s="16" t="s">
        <v>1276</v>
      </c>
      <c r="G200" s="16" t="s">
        <v>1277</v>
      </c>
      <c r="H200" s="16" t="s">
        <v>1276</v>
      </c>
      <c r="I200" s="16" t="s">
        <v>1905</v>
      </c>
      <c r="J200" s="16" t="s">
        <v>1279</v>
      </c>
      <c r="K200" s="16" t="s">
        <v>1276</v>
      </c>
      <c r="L200" s="16" t="s">
        <v>1280</v>
      </c>
      <c r="M200" s="25" t="str">
        <f t="shared" si="9"/>
        <v>113589</v>
      </c>
      <c r="N200" t="str">
        <f t="shared" si="10"/>
        <v xml:space="preserve"> 18" MFL+XYZ (xHD) </v>
      </c>
      <c r="O200" t="b">
        <f t="shared" si="11"/>
        <v>1</v>
      </c>
      <c r="S200" t="s">
        <v>1906</v>
      </c>
      <c r="T200">
        <v>113589</v>
      </c>
    </row>
    <row r="201" spans="1:20" ht="45" x14ac:dyDescent="0.25">
      <c r="A201" s="16" t="s">
        <v>1272</v>
      </c>
      <c r="B201" s="16" t="s">
        <v>1907</v>
      </c>
      <c r="C201" s="16" t="s">
        <v>1908</v>
      </c>
      <c r="D201" s="16" t="s">
        <v>1274</v>
      </c>
      <c r="E201" s="16" t="s">
        <v>1909</v>
      </c>
      <c r="F201" s="16" t="s">
        <v>1276</v>
      </c>
      <c r="G201" s="16" t="s">
        <v>1277</v>
      </c>
      <c r="H201" s="16" t="s">
        <v>1276</v>
      </c>
      <c r="I201" s="16" t="s">
        <v>1910</v>
      </c>
      <c r="J201" s="16" t="s">
        <v>1279</v>
      </c>
      <c r="K201" s="16" t="s">
        <v>1276</v>
      </c>
      <c r="L201" s="16" t="s">
        <v>1280</v>
      </c>
      <c r="M201" s="25" t="str">
        <f t="shared" si="9"/>
        <v>113595</v>
      </c>
      <c r="N201" t="str">
        <f t="shared" si="10"/>
        <v xml:space="preserve"> 18" MFL+DEF+XYZ ATEX </v>
      </c>
      <c r="O201" t="b">
        <f t="shared" si="11"/>
        <v>1</v>
      </c>
      <c r="S201" t="s">
        <v>1911</v>
      </c>
      <c r="T201">
        <v>113595</v>
      </c>
    </row>
    <row r="202" spans="1:20" ht="45" x14ac:dyDescent="0.25">
      <c r="A202" s="16" t="s">
        <v>1272</v>
      </c>
      <c r="B202" s="16" t="s">
        <v>1912</v>
      </c>
      <c r="C202" s="16" t="s">
        <v>1903</v>
      </c>
      <c r="D202" s="16" t="s">
        <v>1274</v>
      </c>
      <c r="E202" s="16" t="s">
        <v>1913</v>
      </c>
      <c r="F202" s="16" t="s">
        <v>1276</v>
      </c>
      <c r="G202" s="16" t="s">
        <v>1277</v>
      </c>
      <c r="H202" s="16" t="s">
        <v>1276</v>
      </c>
      <c r="I202" s="16" t="s">
        <v>1914</v>
      </c>
      <c r="J202" s="16" t="s">
        <v>1279</v>
      </c>
      <c r="K202" s="16" t="s">
        <v>1276</v>
      </c>
      <c r="L202" s="16" t="s">
        <v>1280</v>
      </c>
      <c r="M202" s="25" t="str">
        <f t="shared" si="9"/>
        <v>114729</v>
      </c>
      <c r="N202" t="str">
        <f t="shared" si="10"/>
        <v xml:space="preserve"> 18" MFL+XYZ ATEX </v>
      </c>
      <c r="O202" t="b">
        <f t="shared" si="11"/>
        <v>1</v>
      </c>
      <c r="S202" t="s">
        <v>1915</v>
      </c>
      <c r="T202">
        <v>114729</v>
      </c>
    </row>
    <row r="203" spans="1:20" ht="45" x14ac:dyDescent="0.25">
      <c r="A203" s="16" t="s">
        <v>1272</v>
      </c>
      <c r="B203" s="16" t="s">
        <v>1916</v>
      </c>
      <c r="C203" s="16" t="s">
        <v>1903</v>
      </c>
      <c r="D203" s="16" t="s">
        <v>1274</v>
      </c>
      <c r="E203" s="16" t="s">
        <v>1917</v>
      </c>
      <c r="F203" s="16" t="s">
        <v>1276</v>
      </c>
      <c r="G203" s="16" t="s">
        <v>1277</v>
      </c>
      <c r="H203" s="16" t="s">
        <v>1276</v>
      </c>
      <c r="I203" s="16" t="s">
        <v>1918</v>
      </c>
      <c r="J203" s="16" t="s">
        <v>1279</v>
      </c>
      <c r="K203" s="16" t="s">
        <v>1276</v>
      </c>
      <c r="L203" s="16" t="s">
        <v>1280</v>
      </c>
      <c r="M203" s="25" t="str">
        <f t="shared" si="9"/>
        <v>114900</v>
      </c>
      <c r="N203" t="str">
        <f t="shared" si="10"/>
        <v xml:space="preserve"> 18" MFL+XYZ H2 </v>
      </c>
      <c r="O203" t="b">
        <f t="shared" si="11"/>
        <v>1</v>
      </c>
      <c r="S203" t="s">
        <v>1919</v>
      </c>
      <c r="T203">
        <v>114900</v>
      </c>
    </row>
    <row r="204" spans="1:20" ht="45" x14ac:dyDescent="0.25">
      <c r="A204" s="16" t="s">
        <v>1272</v>
      </c>
      <c r="B204" s="16" t="s">
        <v>1920</v>
      </c>
      <c r="C204" s="16" t="s">
        <v>1921</v>
      </c>
      <c r="D204" s="16" t="s">
        <v>1274</v>
      </c>
      <c r="E204" s="16" t="s">
        <v>1922</v>
      </c>
      <c r="F204" s="16" t="s">
        <v>1276</v>
      </c>
      <c r="G204" s="16" t="s">
        <v>1277</v>
      </c>
      <c r="H204" s="16" t="s">
        <v>1276</v>
      </c>
      <c r="I204" s="16" t="s">
        <v>1923</v>
      </c>
      <c r="J204" s="16" t="s">
        <v>1279</v>
      </c>
      <c r="K204" s="16" t="s">
        <v>1276</v>
      </c>
      <c r="L204" s="16" t="s">
        <v>1280</v>
      </c>
      <c r="M204" s="25" t="str">
        <f t="shared" si="9"/>
        <v>123115</v>
      </c>
      <c r="N204" t="str">
        <f t="shared" si="10"/>
        <v xml:space="preserve"> 18" MFL (xHD) </v>
      </c>
      <c r="O204" t="b">
        <f t="shared" si="11"/>
        <v>0</v>
      </c>
      <c r="S204" t="s">
        <v>1924</v>
      </c>
      <c r="T204">
        <v>123115</v>
      </c>
    </row>
    <row r="205" spans="1:20" ht="45" x14ac:dyDescent="0.25">
      <c r="A205" s="16" t="s">
        <v>1272</v>
      </c>
      <c r="B205" s="16" t="s">
        <v>1925</v>
      </c>
      <c r="C205" s="16" t="s">
        <v>1926</v>
      </c>
      <c r="D205" s="16" t="s">
        <v>1274</v>
      </c>
      <c r="E205" s="16" t="s">
        <v>1927</v>
      </c>
      <c r="F205" s="16" t="s">
        <v>1276</v>
      </c>
      <c r="G205" s="16" t="s">
        <v>1277</v>
      </c>
      <c r="H205" s="16" t="s">
        <v>1276</v>
      </c>
      <c r="I205" s="16" t="s">
        <v>1928</v>
      </c>
      <c r="J205" s="16" t="s">
        <v>1279</v>
      </c>
      <c r="K205" s="16" t="s">
        <v>1276</v>
      </c>
      <c r="L205" s="16" t="s">
        <v>1280</v>
      </c>
      <c r="M205" s="25" t="str">
        <f t="shared" si="9"/>
        <v>123309</v>
      </c>
      <c r="N205" t="str">
        <f t="shared" si="10"/>
        <v xml:space="preserve"> 18" MFL (16-18) + DEF (16-18) </v>
      </c>
      <c r="O205" t="b">
        <f t="shared" si="11"/>
        <v>0</v>
      </c>
      <c r="S205" t="s">
        <v>1929</v>
      </c>
      <c r="T205">
        <v>123309</v>
      </c>
    </row>
    <row r="206" spans="1:20" ht="45" x14ac:dyDescent="0.25">
      <c r="A206" s="16" t="s">
        <v>1272</v>
      </c>
      <c r="B206" s="16" t="s">
        <v>1930</v>
      </c>
      <c r="C206" s="16" t="s">
        <v>1931</v>
      </c>
      <c r="D206" s="16" t="s">
        <v>1274</v>
      </c>
      <c r="E206" s="16" t="s">
        <v>1932</v>
      </c>
      <c r="F206" s="16" t="s">
        <v>1276</v>
      </c>
      <c r="G206" s="16" t="s">
        <v>1277</v>
      </c>
      <c r="H206" s="16" t="s">
        <v>1276</v>
      </c>
      <c r="I206" s="16" t="s">
        <v>1933</v>
      </c>
      <c r="J206" s="16" t="s">
        <v>1279</v>
      </c>
      <c r="K206" s="16" t="s">
        <v>1276</v>
      </c>
      <c r="L206" s="16" t="s">
        <v>1280</v>
      </c>
      <c r="M206" s="25" t="str">
        <f t="shared" si="9"/>
        <v>126341</v>
      </c>
      <c r="N206" t="str">
        <f t="shared" si="10"/>
        <v xml:space="preserve"> 18" GMFL Integrated DEF COMBO </v>
      </c>
      <c r="O206" t="b">
        <f t="shared" si="11"/>
        <v>0</v>
      </c>
      <c r="S206" t="s">
        <v>1934</v>
      </c>
      <c r="T206">
        <v>126341</v>
      </c>
    </row>
    <row r="207" spans="1:20" ht="45" x14ac:dyDescent="0.25">
      <c r="A207" s="16" t="s">
        <v>1272</v>
      </c>
      <c r="B207" s="16" t="s">
        <v>1935</v>
      </c>
      <c r="C207" s="16" t="s">
        <v>1936</v>
      </c>
      <c r="D207" s="16" t="s">
        <v>1274</v>
      </c>
      <c r="E207" s="16" t="s">
        <v>1937</v>
      </c>
      <c r="F207" s="16" t="s">
        <v>1276</v>
      </c>
      <c r="G207" s="16" t="s">
        <v>1277</v>
      </c>
      <c r="H207" s="16" t="s">
        <v>1276</v>
      </c>
      <c r="I207" s="16" t="s">
        <v>1938</v>
      </c>
      <c r="J207" s="16" t="s">
        <v>1279</v>
      </c>
      <c r="K207" s="16" t="s">
        <v>1276</v>
      </c>
      <c r="L207" s="16" t="s">
        <v>1280</v>
      </c>
      <c r="M207" s="25" t="str">
        <f t="shared" si="9"/>
        <v>116900</v>
      </c>
      <c r="N207" t="str">
        <f t="shared" si="10"/>
        <v xml:space="preserve"> 18" MDS FLEX MFL2+DEF2+LFM </v>
      </c>
      <c r="O207" t="b">
        <f t="shared" si="11"/>
        <v>0</v>
      </c>
      <c r="S207" t="s">
        <v>1939</v>
      </c>
      <c r="T207">
        <v>116900</v>
      </c>
    </row>
    <row r="208" spans="1:20" ht="60" x14ac:dyDescent="0.25">
      <c r="A208" s="16" t="s">
        <v>1272</v>
      </c>
      <c r="B208" s="16" t="s">
        <v>1940</v>
      </c>
      <c r="C208" s="16" t="s">
        <v>1941</v>
      </c>
      <c r="D208" s="16" t="s">
        <v>1274</v>
      </c>
      <c r="E208" s="16" t="s">
        <v>1942</v>
      </c>
      <c r="F208" s="16" t="s">
        <v>1276</v>
      </c>
      <c r="G208" s="16" t="s">
        <v>1277</v>
      </c>
      <c r="H208" s="16" t="s">
        <v>1276</v>
      </c>
      <c r="I208" s="16" t="s">
        <v>1943</v>
      </c>
      <c r="J208" s="16" t="s">
        <v>1279</v>
      </c>
      <c r="K208" s="16" t="s">
        <v>1276</v>
      </c>
      <c r="L208" s="16" t="s">
        <v>1280</v>
      </c>
      <c r="M208" s="25" t="str">
        <f t="shared" si="9"/>
        <v>131181</v>
      </c>
      <c r="N208" t="str">
        <f t="shared" si="10"/>
        <v xml:space="preserve"> 18" MDS FLEX MF2+DEF2+LFM+XYZ </v>
      </c>
      <c r="O208" t="b">
        <f t="shared" si="11"/>
        <v>1</v>
      </c>
      <c r="S208" t="s">
        <v>1944</v>
      </c>
      <c r="T208">
        <v>131181</v>
      </c>
    </row>
    <row r="209" spans="1:20" ht="60" x14ac:dyDescent="0.25">
      <c r="A209" s="16" t="s">
        <v>1272</v>
      </c>
      <c r="B209" s="16" t="s">
        <v>1945</v>
      </c>
      <c r="C209" s="16" t="s">
        <v>1946</v>
      </c>
      <c r="D209" s="16" t="s">
        <v>1274</v>
      </c>
      <c r="E209" s="16" t="s">
        <v>1947</v>
      </c>
      <c r="F209" s="16" t="s">
        <v>1276</v>
      </c>
      <c r="G209" s="16" t="s">
        <v>1277</v>
      </c>
      <c r="H209" s="16" t="s">
        <v>1276</v>
      </c>
      <c r="I209" s="16" t="s">
        <v>1948</v>
      </c>
      <c r="J209" s="16" t="s">
        <v>1279</v>
      </c>
      <c r="K209" s="16" t="s">
        <v>1276</v>
      </c>
      <c r="L209" s="16" t="s">
        <v>1280</v>
      </c>
      <c r="M209" s="25" t="str">
        <f t="shared" si="9"/>
        <v>105258</v>
      </c>
      <c r="N209" t="str">
        <f t="shared" si="10"/>
        <v xml:space="preserve"> 20" K360 </v>
      </c>
      <c r="O209" t="b">
        <f t="shared" si="11"/>
        <v>0</v>
      </c>
      <c r="S209" t="s">
        <v>1949</v>
      </c>
      <c r="T209">
        <v>105258</v>
      </c>
    </row>
    <row r="210" spans="1:20" ht="45" x14ac:dyDescent="0.25">
      <c r="A210" s="16" t="s">
        <v>1272</v>
      </c>
      <c r="B210" s="16" t="s">
        <v>1950</v>
      </c>
      <c r="C210" s="16" t="s">
        <v>1951</v>
      </c>
      <c r="D210" s="16" t="s">
        <v>1274</v>
      </c>
      <c r="E210" s="16" t="s">
        <v>1952</v>
      </c>
      <c r="F210" s="16" t="s">
        <v>1276</v>
      </c>
      <c r="G210" s="16" t="s">
        <v>1277</v>
      </c>
      <c r="H210" s="16" t="s">
        <v>1276</v>
      </c>
      <c r="I210" s="16" t="s">
        <v>1953</v>
      </c>
      <c r="J210" s="16" t="s">
        <v>1279</v>
      </c>
      <c r="K210" s="16" t="s">
        <v>1276</v>
      </c>
      <c r="L210" s="16" t="s">
        <v>1280</v>
      </c>
      <c r="M210" s="25" t="str">
        <f t="shared" si="9"/>
        <v>109357</v>
      </c>
      <c r="N210" t="str">
        <f t="shared" si="10"/>
        <v xml:space="preserve"> 20" MFL+DEF2 ATEX </v>
      </c>
      <c r="O210" t="b">
        <f t="shared" si="11"/>
        <v>0</v>
      </c>
      <c r="S210" t="s">
        <v>1954</v>
      </c>
      <c r="T210">
        <v>109357</v>
      </c>
    </row>
    <row r="211" spans="1:20" ht="60" x14ac:dyDescent="0.25">
      <c r="A211" s="16" t="s">
        <v>1272</v>
      </c>
      <c r="B211" s="16" t="s">
        <v>1955</v>
      </c>
      <c r="C211" s="16" t="s">
        <v>1956</v>
      </c>
      <c r="D211" s="16" t="s">
        <v>1274</v>
      </c>
      <c r="E211" s="16" t="s">
        <v>1957</v>
      </c>
      <c r="F211" s="16" t="s">
        <v>1276</v>
      </c>
      <c r="G211" s="16" t="s">
        <v>1277</v>
      </c>
      <c r="H211" s="16" t="s">
        <v>1276</v>
      </c>
      <c r="I211" s="16" t="s">
        <v>1958</v>
      </c>
      <c r="J211" s="16" t="s">
        <v>1279</v>
      </c>
      <c r="K211" s="16" t="s">
        <v>1276</v>
      </c>
      <c r="L211" s="16" t="s">
        <v>1280</v>
      </c>
      <c r="M211" s="25" t="str">
        <f t="shared" si="9"/>
        <v>109492</v>
      </c>
      <c r="N211" t="str">
        <f t="shared" si="10"/>
        <v xml:space="preserve"> 20" GMFL ATEX </v>
      </c>
      <c r="O211" t="b">
        <f t="shared" si="11"/>
        <v>0</v>
      </c>
      <c r="S211" t="s">
        <v>1959</v>
      </c>
      <c r="T211">
        <v>109492</v>
      </c>
    </row>
    <row r="212" spans="1:20" ht="45" x14ac:dyDescent="0.25">
      <c r="A212" s="16" t="s">
        <v>1272</v>
      </c>
      <c r="B212" s="16" t="s">
        <v>1960</v>
      </c>
      <c r="C212" s="16" t="s">
        <v>1961</v>
      </c>
      <c r="D212" s="16" t="s">
        <v>1274</v>
      </c>
      <c r="E212" s="16" t="s">
        <v>1962</v>
      </c>
      <c r="F212" s="16" t="s">
        <v>1276</v>
      </c>
      <c r="G212" s="16" t="s">
        <v>1277</v>
      </c>
      <c r="H212" s="16" t="s">
        <v>1276</v>
      </c>
      <c r="I212" s="16" t="s">
        <v>1963</v>
      </c>
      <c r="J212" s="16" t="s">
        <v>1279</v>
      </c>
      <c r="K212" s="16" t="s">
        <v>1276</v>
      </c>
      <c r="L212" s="16" t="s">
        <v>1280</v>
      </c>
      <c r="M212" s="25" t="str">
        <f t="shared" si="9"/>
        <v>109627</v>
      </c>
      <c r="N212" t="str">
        <f t="shared" si="10"/>
        <v xml:space="preserve"> 20" MFL ATEX </v>
      </c>
      <c r="O212" t="b">
        <f t="shared" si="11"/>
        <v>0</v>
      </c>
      <c r="S212" t="s">
        <v>1964</v>
      </c>
      <c r="T212">
        <v>109627</v>
      </c>
    </row>
    <row r="213" spans="1:20" ht="60" x14ac:dyDescent="0.25">
      <c r="A213" s="16" t="s">
        <v>1272</v>
      </c>
      <c r="B213" s="16" t="s">
        <v>1965</v>
      </c>
      <c r="C213" s="16" t="s">
        <v>1966</v>
      </c>
      <c r="D213" s="16" t="s">
        <v>1274</v>
      </c>
      <c r="E213" s="16" t="s">
        <v>1967</v>
      </c>
      <c r="F213" s="16" t="s">
        <v>1276</v>
      </c>
      <c r="G213" s="16" t="s">
        <v>1277</v>
      </c>
      <c r="H213" s="16" t="s">
        <v>1276</v>
      </c>
      <c r="I213" s="16" t="s">
        <v>1968</v>
      </c>
      <c r="J213" s="16" t="s">
        <v>1279</v>
      </c>
      <c r="K213" s="16" t="s">
        <v>1276</v>
      </c>
      <c r="L213" s="16" t="s">
        <v>1280</v>
      </c>
      <c r="M213" s="25" t="str">
        <f t="shared" si="9"/>
        <v>109628</v>
      </c>
      <c r="N213" t="str">
        <f t="shared" si="10"/>
        <v xml:space="preserve"> 20" DEF2 ATEX </v>
      </c>
      <c r="O213" t="b">
        <f t="shared" si="11"/>
        <v>0</v>
      </c>
      <c r="S213" t="s">
        <v>1969</v>
      </c>
      <c r="T213">
        <v>109628</v>
      </c>
    </row>
    <row r="214" spans="1:20" ht="45" x14ac:dyDescent="0.25">
      <c r="A214" s="16" t="s">
        <v>1272</v>
      </c>
      <c r="B214" s="16" t="s">
        <v>1970</v>
      </c>
      <c r="C214" s="16" t="s">
        <v>1971</v>
      </c>
      <c r="D214" s="16" t="s">
        <v>1274</v>
      </c>
      <c r="E214" s="16" t="s">
        <v>1972</v>
      </c>
      <c r="F214" s="16" t="s">
        <v>1276</v>
      </c>
      <c r="G214" s="16" t="s">
        <v>1277</v>
      </c>
      <c r="H214" s="16" t="s">
        <v>1276</v>
      </c>
      <c r="I214" s="16" t="s">
        <v>1973</v>
      </c>
      <c r="J214" s="16" t="s">
        <v>1279</v>
      </c>
      <c r="K214" s="16" t="s">
        <v>1276</v>
      </c>
      <c r="L214" s="16" t="s">
        <v>1280</v>
      </c>
      <c r="M214" s="25" t="str">
        <f t="shared" si="9"/>
        <v>109660</v>
      </c>
      <c r="N214" t="str">
        <f t="shared" si="10"/>
        <v xml:space="preserve"> 20" GMFL+DEF2 ATEX </v>
      </c>
      <c r="O214" t="b">
        <f t="shared" si="11"/>
        <v>0</v>
      </c>
      <c r="S214" t="s">
        <v>1974</v>
      </c>
      <c r="T214">
        <v>109660</v>
      </c>
    </row>
    <row r="215" spans="1:20" ht="60" x14ac:dyDescent="0.25">
      <c r="A215" s="16" t="s">
        <v>1272</v>
      </c>
      <c r="B215" s="16" t="s">
        <v>1975</v>
      </c>
      <c r="C215" s="16" t="s">
        <v>1976</v>
      </c>
      <c r="D215" s="16" t="s">
        <v>1274</v>
      </c>
      <c r="E215" s="16" t="s">
        <v>1977</v>
      </c>
      <c r="F215" s="16" t="s">
        <v>1276</v>
      </c>
      <c r="G215" s="16" t="s">
        <v>1277</v>
      </c>
      <c r="H215" s="16" t="s">
        <v>1276</v>
      </c>
      <c r="I215" s="16" t="s">
        <v>1978</v>
      </c>
      <c r="J215" s="16" t="s">
        <v>1279</v>
      </c>
      <c r="K215" s="16" t="s">
        <v>1276</v>
      </c>
      <c r="L215" s="16" t="s">
        <v>1280</v>
      </c>
      <c r="M215" s="25" t="str">
        <f t="shared" si="9"/>
        <v>112114</v>
      </c>
      <c r="N215" t="str">
        <f t="shared" si="10"/>
        <v xml:space="preserve"> 20" MFL3+DEF+SpirALL® MFL+XYZ+LFM </v>
      </c>
      <c r="O215" t="b">
        <f t="shared" si="11"/>
        <v>1</v>
      </c>
      <c r="S215" t="s">
        <v>1979</v>
      </c>
      <c r="T215">
        <v>112114</v>
      </c>
    </row>
    <row r="216" spans="1:20" ht="45" x14ac:dyDescent="0.25">
      <c r="A216" s="16" t="s">
        <v>1272</v>
      </c>
      <c r="B216" s="16" t="s">
        <v>1980</v>
      </c>
      <c r="C216" s="16" t="s">
        <v>1981</v>
      </c>
      <c r="D216" s="16" t="s">
        <v>1274</v>
      </c>
      <c r="E216" s="16" t="s">
        <v>1982</v>
      </c>
      <c r="F216" s="16" t="s">
        <v>1276</v>
      </c>
      <c r="G216" s="16" t="s">
        <v>1277</v>
      </c>
      <c r="H216" s="16" t="s">
        <v>1276</v>
      </c>
      <c r="I216" s="16" t="s">
        <v>1983</v>
      </c>
      <c r="J216" s="16" t="s">
        <v>1279</v>
      </c>
      <c r="K216" s="16" t="s">
        <v>1276</v>
      </c>
      <c r="L216" s="16" t="s">
        <v>1280</v>
      </c>
      <c r="M216" s="25" t="str">
        <f t="shared" si="9"/>
        <v>112115</v>
      </c>
      <c r="N216" t="str">
        <f t="shared" si="10"/>
        <v xml:space="preserve"> 20" MFL3+DEF+SpirALL® MFL+LFM </v>
      </c>
      <c r="O216" t="b">
        <f t="shared" si="11"/>
        <v>0</v>
      </c>
      <c r="S216" t="s">
        <v>1984</v>
      </c>
      <c r="T216">
        <v>112115</v>
      </c>
    </row>
    <row r="217" spans="1:20" ht="45" x14ac:dyDescent="0.25">
      <c r="A217" s="16" t="s">
        <v>1272</v>
      </c>
      <c r="B217" s="16" t="s">
        <v>1985</v>
      </c>
      <c r="C217" s="16" t="s">
        <v>1986</v>
      </c>
      <c r="D217" s="16" t="s">
        <v>1274</v>
      </c>
      <c r="E217" s="16" t="s">
        <v>1987</v>
      </c>
      <c r="F217" s="16" t="s">
        <v>1276</v>
      </c>
      <c r="G217" s="16" t="s">
        <v>1277</v>
      </c>
      <c r="H217" s="16" t="s">
        <v>1276</v>
      </c>
      <c r="I217" s="16" t="s">
        <v>1988</v>
      </c>
      <c r="J217" s="16" t="s">
        <v>1279</v>
      </c>
      <c r="K217" s="16" t="s">
        <v>1276</v>
      </c>
      <c r="L217" s="16" t="s">
        <v>1280</v>
      </c>
      <c r="M217" s="25" t="str">
        <f t="shared" si="9"/>
        <v>114402</v>
      </c>
      <c r="N217" t="str">
        <f t="shared" si="10"/>
        <v xml:space="preserve"> 20" GMFL+XYZ ATEX </v>
      </c>
      <c r="O217" t="b">
        <f t="shared" si="11"/>
        <v>1</v>
      </c>
      <c r="S217" t="s">
        <v>1989</v>
      </c>
      <c r="T217">
        <v>114402</v>
      </c>
    </row>
    <row r="218" spans="1:20" ht="45" x14ac:dyDescent="0.25">
      <c r="A218" s="16" t="s">
        <v>1272</v>
      </c>
      <c r="B218" s="16" t="s">
        <v>1990</v>
      </c>
      <c r="C218" s="16" t="s">
        <v>1991</v>
      </c>
      <c r="D218" s="16" t="s">
        <v>1274</v>
      </c>
      <c r="E218" s="16" t="s">
        <v>1992</v>
      </c>
      <c r="F218" s="16" t="s">
        <v>1276</v>
      </c>
      <c r="G218" s="16" t="s">
        <v>1277</v>
      </c>
      <c r="H218" s="16" t="s">
        <v>1276</v>
      </c>
      <c r="I218" s="16" t="s">
        <v>1993</v>
      </c>
      <c r="J218" s="16" t="s">
        <v>1279</v>
      </c>
      <c r="K218" s="16" t="s">
        <v>1276</v>
      </c>
      <c r="L218" s="16" t="s">
        <v>1280</v>
      </c>
      <c r="M218" s="25" t="str">
        <f t="shared" si="9"/>
        <v>114865</v>
      </c>
      <c r="N218" t="str">
        <f t="shared" si="10"/>
        <v xml:space="preserve"> 20" GMFL+DEF+XYZ ATEX </v>
      </c>
      <c r="O218" t="b">
        <f t="shared" si="11"/>
        <v>1</v>
      </c>
      <c r="S218" t="s">
        <v>1994</v>
      </c>
      <c r="T218">
        <v>114865</v>
      </c>
    </row>
    <row r="219" spans="1:20" ht="45" x14ac:dyDescent="0.25">
      <c r="A219" s="16" t="s">
        <v>1272</v>
      </c>
      <c r="B219" s="16" t="s">
        <v>1995</v>
      </c>
      <c r="C219" s="16" t="s">
        <v>1996</v>
      </c>
      <c r="D219" s="16" t="s">
        <v>1274</v>
      </c>
      <c r="E219" s="16" t="s">
        <v>1997</v>
      </c>
      <c r="F219" s="16" t="s">
        <v>1276</v>
      </c>
      <c r="G219" s="16" t="s">
        <v>1277</v>
      </c>
      <c r="H219" s="16" t="s">
        <v>1276</v>
      </c>
      <c r="I219" s="16" t="s">
        <v>1998</v>
      </c>
      <c r="J219" s="16" t="s">
        <v>1279</v>
      </c>
      <c r="K219" s="16" t="s">
        <v>1276</v>
      </c>
      <c r="L219" s="16" t="s">
        <v>1280</v>
      </c>
      <c r="M219" s="25" t="str">
        <f t="shared" si="9"/>
        <v>115727</v>
      </c>
      <c r="N219" t="str">
        <f t="shared" si="10"/>
        <v xml:space="preserve"> 20" MDS FLEX MFL3+DEF+LFM+XYZ </v>
      </c>
      <c r="O219" t="b">
        <f t="shared" si="11"/>
        <v>1</v>
      </c>
      <c r="S219" t="s">
        <v>1999</v>
      </c>
      <c r="T219">
        <v>115727</v>
      </c>
    </row>
    <row r="220" spans="1:20" ht="45" x14ac:dyDescent="0.25">
      <c r="A220" s="16" t="s">
        <v>1272</v>
      </c>
      <c r="B220" s="16" t="s">
        <v>2000</v>
      </c>
      <c r="C220" s="16" t="s">
        <v>2001</v>
      </c>
      <c r="D220" s="16" t="s">
        <v>1274</v>
      </c>
      <c r="E220" s="16" t="s">
        <v>2002</v>
      </c>
      <c r="F220" s="16" t="s">
        <v>1276</v>
      </c>
      <c r="G220" s="16" t="s">
        <v>1277</v>
      </c>
      <c r="H220" s="16" t="s">
        <v>1276</v>
      </c>
      <c r="I220" s="16" t="s">
        <v>2003</v>
      </c>
      <c r="J220" s="16" t="s">
        <v>1279</v>
      </c>
      <c r="K220" s="16" t="s">
        <v>1276</v>
      </c>
      <c r="L220" s="16" t="s">
        <v>1280</v>
      </c>
      <c r="M220" s="25" t="str">
        <f t="shared" si="9"/>
        <v>115728</v>
      </c>
      <c r="N220" t="str">
        <f t="shared" si="10"/>
        <v xml:space="preserve"> 20" MDS FLEX MFL3+DEF+LFM </v>
      </c>
      <c r="O220" t="b">
        <f t="shared" si="11"/>
        <v>0</v>
      </c>
      <c r="S220" t="s">
        <v>2004</v>
      </c>
      <c r="T220">
        <v>115728</v>
      </c>
    </row>
    <row r="221" spans="1:20" ht="45" x14ac:dyDescent="0.25">
      <c r="A221" s="16" t="s">
        <v>1272</v>
      </c>
      <c r="B221" s="16" t="s">
        <v>2005</v>
      </c>
      <c r="C221" s="16" t="s">
        <v>2006</v>
      </c>
      <c r="D221" s="16" t="s">
        <v>1274</v>
      </c>
      <c r="E221" s="16" t="s">
        <v>2007</v>
      </c>
      <c r="F221" s="16" t="s">
        <v>1276</v>
      </c>
      <c r="G221" s="16" t="s">
        <v>1277</v>
      </c>
      <c r="H221" s="16" t="s">
        <v>1276</v>
      </c>
      <c r="I221" s="16" t="s">
        <v>2008</v>
      </c>
      <c r="J221" s="16" t="s">
        <v>1279</v>
      </c>
      <c r="K221" s="16" t="s">
        <v>1276</v>
      </c>
      <c r="L221" s="16" t="s">
        <v>1280</v>
      </c>
      <c r="M221" s="25" t="str">
        <f t="shared" si="9"/>
        <v>117837</v>
      </c>
      <c r="N221" t="str">
        <f t="shared" si="10"/>
        <v xml:space="preserve"> 20" DEF Single Body </v>
      </c>
      <c r="O221" t="b">
        <f t="shared" si="11"/>
        <v>0</v>
      </c>
      <c r="S221" t="s">
        <v>2009</v>
      </c>
      <c r="T221">
        <v>117837</v>
      </c>
    </row>
    <row r="222" spans="1:20" ht="45" x14ac:dyDescent="0.25">
      <c r="A222" s="16" t="s">
        <v>1272</v>
      </c>
      <c r="B222" s="16" t="s">
        <v>2010</v>
      </c>
      <c r="C222" s="16" t="s">
        <v>2011</v>
      </c>
      <c r="D222" s="16" t="s">
        <v>1274</v>
      </c>
      <c r="E222" s="16" t="s">
        <v>2012</v>
      </c>
      <c r="F222" s="16" t="s">
        <v>1276</v>
      </c>
      <c r="G222" s="16" t="s">
        <v>1277</v>
      </c>
      <c r="H222" s="16" t="s">
        <v>1276</v>
      </c>
      <c r="I222" s="16" t="s">
        <v>2013</v>
      </c>
      <c r="J222" s="16" t="s">
        <v>1279</v>
      </c>
      <c r="K222" s="16" t="s">
        <v>1276</v>
      </c>
      <c r="L222" s="16" t="s">
        <v>1280</v>
      </c>
      <c r="M222" s="25" t="str">
        <f t="shared" si="9"/>
        <v>120312</v>
      </c>
      <c r="N222" t="str">
        <f t="shared" si="10"/>
        <v xml:space="preserve"> 20" DEF+XYZ (xHD) </v>
      </c>
      <c r="O222" t="b">
        <f t="shared" si="11"/>
        <v>1</v>
      </c>
      <c r="S222" t="s">
        <v>2014</v>
      </c>
      <c r="T222">
        <v>120312</v>
      </c>
    </row>
    <row r="223" spans="1:20" ht="45" x14ac:dyDescent="0.25">
      <c r="A223" s="16" t="s">
        <v>1272</v>
      </c>
      <c r="B223" s="16" t="s">
        <v>2015</v>
      </c>
      <c r="C223" s="16" t="s">
        <v>1991</v>
      </c>
      <c r="D223" s="16" t="s">
        <v>1274</v>
      </c>
      <c r="E223" s="16" t="s">
        <v>2016</v>
      </c>
      <c r="F223" s="16" t="s">
        <v>1276</v>
      </c>
      <c r="G223" s="16" t="s">
        <v>1277</v>
      </c>
      <c r="H223" s="16" t="s">
        <v>1276</v>
      </c>
      <c r="I223" s="16" t="s">
        <v>2017</v>
      </c>
      <c r="J223" s="16" t="s">
        <v>1279</v>
      </c>
      <c r="K223" s="16" t="s">
        <v>1276</v>
      </c>
      <c r="L223" s="16" t="s">
        <v>1280</v>
      </c>
      <c r="M223" s="25" t="str">
        <f t="shared" si="9"/>
        <v>125459</v>
      </c>
      <c r="N223" t="str">
        <f t="shared" si="10"/>
        <v xml:space="preserve"> 20" DEF2+GMFL+XYZ </v>
      </c>
      <c r="O223" t="b">
        <f t="shared" si="11"/>
        <v>1</v>
      </c>
      <c r="S223" t="s">
        <v>2018</v>
      </c>
      <c r="T223">
        <v>125459</v>
      </c>
    </row>
    <row r="224" spans="1:20" ht="45" x14ac:dyDescent="0.25">
      <c r="A224" s="16" t="s">
        <v>1272</v>
      </c>
      <c r="B224" s="16" t="s">
        <v>2019</v>
      </c>
      <c r="C224" s="16" t="s">
        <v>1991</v>
      </c>
      <c r="D224" s="16" t="s">
        <v>1274</v>
      </c>
      <c r="E224" s="16" t="s">
        <v>2020</v>
      </c>
      <c r="F224" s="16" t="s">
        <v>1276</v>
      </c>
      <c r="G224" s="16" t="s">
        <v>1277</v>
      </c>
      <c r="H224" s="16" t="s">
        <v>1276</v>
      </c>
      <c r="I224" s="16" t="s">
        <v>2021</v>
      </c>
      <c r="J224" s="16" t="s">
        <v>1279</v>
      </c>
      <c r="K224" s="16" t="s">
        <v>1276</v>
      </c>
      <c r="L224" s="16" t="s">
        <v>1280</v>
      </c>
      <c r="M224" s="25" t="str">
        <f t="shared" si="9"/>
        <v>125487</v>
      </c>
      <c r="N224" t="str">
        <f t="shared" si="10"/>
        <v xml:space="preserve"> 20" DEF2+GMFL+XYZ </v>
      </c>
      <c r="O224" t="b">
        <f t="shared" si="11"/>
        <v>1</v>
      </c>
      <c r="S224" t="s">
        <v>2018</v>
      </c>
      <c r="T224">
        <v>125487</v>
      </c>
    </row>
    <row r="225" spans="1:20" ht="45" x14ac:dyDescent="0.25">
      <c r="A225" s="16" t="s">
        <v>1272</v>
      </c>
      <c r="B225" s="16" t="s">
        <v>2022</v>
      </c>
      <c r="C225" s="16" t="s">
        <v>2011</v>
      </c>
      <c r="D225" s="16" t="s">
        <v>1274</v>
      </c>
      <c r="E225" s="16" t="s">
        <v>2023</v>
      </c>
      <c r="F225" s="16" t="s">
        <v>1276</v>
      </c>
      <c r="G225" s="16" t="s">
        <v>1277</v>
      </c>
      <c r="H225" s="16" t="s">
        <v>1276</v>
      </c>
      <c r="I225" s="16" t="s">
        <v>2024</v>
      </c>
      <c r="J225" s="16" t="s">
        <v>1279</v>
      </c>
      <c r="K225" s="16" t="s">
        <v>1276</v>
      </c>
      <c r="L225" s="16" t="s">
        <v>1280</v>
      </c>
      <c r="M225" s="25" t="str">
        <f t="shared" si="9"/>
        <v>125486</v>
      </c>
      <c r="N225" t="str">
        <f t="shared" si="10"/>
        <v xml:space="preserve"> 20" DEF2+XYZ </v>
      </c>
      <c r="O225" t="b">
        <f t="shared" si="11"/>
        <v>1</v>
      </c>
      <c r="S225" t="s">
        <v>2025</v>
      </c>
      <c r="T225">
        <v>125486</v>
      </c>
    </row>
    <row r="226" spans="1:20" ht="60" x14ac:dyDescent="0.25">
      <c r="A226" s="16" t="s">
        <v>1272</v>
      </c>
      <c r="B226" s="16" t="s">
        <v>2026</v>
      </c>
      <c r="C226" s="16" t="s">
        <v>2027</v>
      </c>
      <c r="D226" s="16" t="s">
        <v>1274</v>
      </c>
      <c r="E226" s="16" t="s">
        <v>2028</v>
      </c>
      <c r="F226" s="16" t="s">
        <v>1276</v>
      </c>
      <c r="G226" s="16" t="s">
        <v>1277</v>
      </c>
      <c r="H226" s="16" t="s">
        <v>1276</v>
      </c>
      <c r="I226" s="16" t="s">
        <v>2029</v>
      </c>
      <c r="J226" s="16" t="s">
        <v>1279</v>
      </c>
      <c r="K226" s="16" t="s">
        <v>1276</v>
      </c>
      <c r="L226" s="16" t="s">
        <v>1280</v>
      </c>
      <c r="M226" s="25" t="str">
        <f t="shared" si="9"/>
        <v>127353</v>
      </c>
      <c r="N226" t="str">
        <f t="shared" si="10"/>
        <v xml:space="preserve"> 20" MFL+DEF2+XYZ </v>
      </c>
      <c r="O226" t="b">
        <f t="shared" si="11"/>
        <v>1</v>
      </c>
      <c r="S226" t="s">
        <v>2030</v>
      </c>
      <c r="T226">
        <v>127353</v>
      </c>
    </row>
    <row r="227" spans="1:20" ht="45" x14ac:dyDescent="0.25">
      <c r="A227" s="16" t="s">
        <v>1272</v>
      </c>
      <c r="B227" s="16" t="s">
        <v>2031</v>
      </c>
      <c r="C227" s="16" t="s">
        <v>2032</v>
      </c>
      <c r="D227" s="16" t="s">
        <v>1274</v>
      </c>
      <c r="E227" s="16" t="s">
        <v>2033</v>
      </c>
      <c r="F227" s="16" t="s">
        <v>1276</v>
      </c>
      <c r="G227" s="16" t="s">
        <v>1277</v>
      </c>
      <c r="H227" s="16" t="s">
        <v>1276</v>
      </c>
      <c r="I227" s="16" t="s">
        <v>2034</v>
      </c>
      <c r="J227" s="16" t="s">
        <v>1279</v>
      </c>
      <c r="K227" s="16" t="s">
        <v>1276</v>
      </c>
      <c r="L227" s="16" t="s">
        <v>1280</v>
      </c>
      <c r="M227" s="25" t="str">
        <f t="shared" si="9"/>
        <v>129304</v>
      </c>
      <c r="N227" t="str">
        <f t="shared" si="10"/>
        <v xml:space="preserve"> 20" MDS FLEX MFL3+DEF </v>
      </c>
      <c r="O227" t="b">
        <f t="shared" si="11"/>
        <v>0</v>
      </c>
      <c r="S227" t="s">
        <v>2035</v>
      </c>
      <c r="T227">
        <v>129304</v>
      </c>
    </row>
    <row r="228" spans="1:20" ht="45" x14ac:dyDescent="0.25">
      <c r="A228" s="16" t="s">
        <v>1272</v>
      </c>
      <c r="B228" s="16" t="s">
        <v>2036</v>
      </c>
      <c r="C228" s="16" t="s">
        <v>2037</v>
      </c>
      <c r="D228" s="16" t="s">
        <v>1274</v>
      </c>
      <c r="E228" s="16" t="s">
        <v>2038</v>
      </c>
      <c r="F228" s="16" t="s">
        <v>1276</v>
      </c>
      <c r="G228" s="16" t="s">
        <v>1277</v>
      </c>
      <c r="H228" s="16" t="s">
        <v>1276</v>
      </c>
      <c r="I228" s="16" t="s">
        <v>2039</v>
      </c>
      <c r="J228" s="16" t="s">
        <v>1279</v>
      </c>
      <c r="K228" s="16" t="s">
        <v>1276</v>
      </c>
      <c r="L228" s="16" t="s">
        <v>1280</v>
      </c>
      <c r="M228" s="25" t="str">
        <f t="shared" si="9"/>
        <v>129305</v>
      </c>
      <c r="N228" t="str">
        <f t="shared" si="10"/>
        <v xml:space="preserve"> 20" MDS FLEX MFL3+DEF+XYZ </v>
      </c>
      <c r="O228" t="b">
        <f t="shared" si="11"/>
        <v>1</v>
      </c>
      <c r="S228" t="s">
        <v>2040</v>
      </c>
      <c r="T228">
        <v>129305</v>
      </c>
    </row>
    <row r="229" spans="1:20" ht="60" x14ac:dyDescent="0.25">
      <c r="A229" s="16" t="s">
        <v>1272</v>
      </c>
      <c r="B229" s="16" t="s">
        <v>2041</v>
      </c>
      <c r="C229" s="16" t="s">
        <v>2042</v>
      </c>
      <c r="D229" s="16" t="s">
        <v>1274</v>
      </c>
      <c r="E229" s="16" t="s">
        <v>2043</v>
      </c>
      <c r="F229" s="16" t="s">
        <v>1276</v>
      </c>
      <c r="G229" s="16" t="s">
        <v>1277</v>
      </c>
      <c r="H229" s="16" t="s">
        <v>1276</v>
      </c>
      <c r="I229" s="16" t="s">
        <v>2044</v>
      </c>
      <c r="J229" s="16" t="s">
        <v>1279</v>
      </c>
      <c r="K229" s="16" t="s">
        <v>1276</v>
      </c>
      <c r="L229" s="16" t="s">
        <v>1280</v>
      </c>
      <c r="M229" s="25" t="str">
        <f t="shared" si="9"/>
        <v>130184</v>
      </c>
      <c r="N229" t="str">
        <f t="shared" si="10"/>
        <v xml:space="preserve"> 20" DEF2+LFM+SMFL3+ULTRA RES MFL, SpirALL MFL </v>
      </c>
      <c r="O229" t="b">
        <f t="shared" si="11"/>
        <v>0</v>
      </c>
      <c r="S229" t="s">
        <v>2045</v>
      </c>
      <c r="T229">
        <v>130184</v>
      </c>
    </row>
    <row r="230" spans="1:20" ht="60" x14ac:dyDescent="0.25">
      <c r="A230" s="16" t="s">
        <v>1272</v>
      </c>
      <c r="B230" s="16" t="s">
        <v>2046</v>
      </c>
      <c r="C230" s="16" t="s">
        <v>2047</v>
      </c>
      <c r="D230" s="16" t="s">
        <v>1274</v>
      </c>
      <c r="E230" s="16" t="s">
        <v>2048</v>
      </c>
      <c r="F230" s="16" t="s">
        <v>1276</v>
      </c>
      <c r="G230" s="16" t="s">
        <v>1277</v>
      </c>
      <c r="H230" s="16" t="s">
        <v>1276</v>
      </c>
      <c r="I230" s="16" t="s">
        <v>2049</v>
      </c>
      <c r="J230" s="16" t="s">
        <v>1279</v>
      </c>
      <c r="K230" s="16" t="s">
        <v>1276</v>
      </c>
      <c r="L230" s="16" t="s">
        <v>1280</v>
      </c>
      <c r="M230" s="25" t="str">
        <f t="shared" si="9"/>
        <v>130185</v>
      </c>
      <c r="N230" t="str">
        <f t="shared" si="10"/>
        <v xml:space="preserve"> 20" DEF2+LFM+SMFL3+ULTRA RES MFL, SpirALL MFL </v>
      </c>
      <c r="O230" t="b">
        <f t="shared" si="11"/>
        <v>0</v>
      </c>
      <c r="S230" t="s">
        <v>2045</v>
      </c>
      <c r="T230">
        <v>130185</v>
      </c>
    </row>
    <row r="231" spans="1:20" ht="60" x14ac:dyDescent="0.25">
      <c r="A231" s="16" t="s">
        <v>1272</v>
      </c>
      <c r="B231" s="16" t="s">
        <v>2050</v>
      </c>
      <c r="C231" s="16" t="s">
        <v>2051</v>
      </c>
      <c r="D231" s="16" t="s">
        <v>1274</v>
      </c>
      <c r="E231" s="16" t="s">
        <v>2052</v>
      </c>
      <c r="F231" s="16" t="s">
        <v>1276</v>
      </c>
      <c r="G231" s="16" t="s">
        <v>1277</v>
      </c>
      <c r="H231" s="16" t="s">
        <v>1276</v>
      </c>
      <c r="I231" s="16" t="s">
        <v>2053</v>
      </c>
      <c r="J231" s="16" t="s">
        <v>1279</v>
      </c>
      <c r="K231" s="16" t="s">
        <v>1276</v>
      </c>
      <c r="L231" s="16" t="s">
        <v>1280</v>
      </c>
      <c r="M231" s="25" t="str">
        <f t="shared" si="9"/>
        <v>130186</v>
      </c>
      <c r="N231" t="str">
        <f t="shared" si="10"/>
        <v xml:space="preserve"> 20" MDS FLEX DEF+LFM+ULTRA RES MFL+XYZ </v>
      </c>
      <c r="O231" t="b">
        <f t="shared" si="11"/>
        <v>1</v>
      </c>
      <c r="S231" t="s">
        <v>2054</v>
      </c>
      <c r="T231">
        <v>130186</v>
      </c>
    </row>
    <row r="232" spans="1:20" ht="60" x14ac:dyDescent="0.25">
      <c r="A232" s="16" t="s">
        <v>1272</v>
      </c>
      <c r="B232" s="16" t="s">
        <v>2055</v>
      </c>
      <c r="C232" s="16" t="s">
        <v>2056</v>
      </c>
      <c r="D232" s="16" t="s">
        <v>1274</v>
      </c>
      <c r="E232" s="16" t="s">
        <v>2057</v>
      </c>
      <c r="F232" s="16" t="s">
        <v>1276</v>
      </c>
      <c r="G232" s="16" t="s">
        <v>1277</v>
      </c>
      <c r="H232" s="16" t="s">
        <v>1276</v>
      </c>
      <c r="I232" s="16" t="s">
        <v>2058</v>
      </c>
      <c r="J232" s="16" t="s">
        <v>1279</v>
      </c>
      <c r="K232" s="16" t="s">
        <v>1276</v>
      </c>
      <c r="L232" s="16" t="s">
        <v>1280</v>
      </c>
      <c r="M232" s="25" t="str">
        <f t="shared" si="9"/>
        <v>130187</v>
      </c>
      <c r="N232" t="str">
        <f t="shared" si="10"/>
        <v xml:space="preserve"> 20" MDS FLEX DEF+LFM+ULTRA RES MFL </v>
      </c>
      <c r="O232" t="b">
        <f t="shared" si="11"/>
        <v>0</v>
      </c>
      <c r="S232" t="s">
        <v>2059</v>
      </c>
      <c r="T232">
        <v>130187</v>
      </c>
    </row>
    <row r="233" spans="1:20" ht="60" x14ac:dyDescent="0.25">
      <c r="A233" s="16" t="s">
        <v>1272</v>
      </c>
      <c r="B233" s="16" t="s">
        <v>2060</v>
      </c>
      <c r="C233" s="16" t="s">
        <v>2061</v>
      </c>
      <c r="D233" s="16" t="s">
        <v>1274</v>
      </c>
      <c r="E233" s="16" t="s">
        <v>2062</v>
      </c>
      <c r="F233" s="16" t="s">
        <v>1276</v>
      </c>
      <c r="G233" s="16" t="s">
        <v>1277</v>
      </c>
      <c r="H233" s="16" t="s">
        <v>1276</v>
      </c>
      <c r="I233" s="16" t="s">
        <v>2063</v>
      </c>
      <c r="J233" s="16" t="s">
        <v>1279</v>
      </c>
      <c r="K233" s="16" t="s">
        <v>1276</v>
      </c>
      <c r="L233" s="16" t="s">
        <v>1280</v>
      </c>
      <c r="M233" s="25" t="str">
        <f t="shared" si="9"/>
        <v>130188</v>
      </c>
      <c r="N233" t="str">
        <f t="shared" si="10"/>
        <v xml:space="preserve"> 20" MDS FLEX DEF+ULTRA RES MFL+XYZ </v>
      </c>
      <c r="O233" t="b">
        <f t="shared" si="11"/>
        <v>1</v>
      </c>
      <c r="S233" t="s">
        <v>2064</v>
      </c>
      <c r="T233">
        <v>130188</v>
      </c>
    </row>
    <row r="234" spans="1:20" ht="60" x14ac:dyDescent="0.25">
      <c r="A234" s="16" t="s">
        <v>1272</v>
      </c>
      <c r="B234" s="16" t="s">
        <v>2065</v>
      </c>
      <c r="C234" s="16" t="s">
        <v>2066</v>
      </c>
      <c r="D234" s="16" t="s">
        <v>1274</v>
      </c>
      <c r="E234" s="16" t="s">
        <v>2067</v>
      </c>
      <c r="F234" s="16" t="s">
        <v>1276</v>
      </c>
      <c r="G234" s="16" t="s">
        <v>1277</v>
      </c>
      <c r="H234" s="16" t="s">
        <v>1276</v>
      </c>
      <c r="I234" s="16" t="s">
        <v>2068</v>
      </c>
      <c r="J234" s="16" t="s">
        <v>1279</v>
      </c>
      <c r="K234" s="16" t="s">
        <v>1276</v>
      </c>
      <c r="L234" s="16" t="s">
        <v>1280</v>
      </c>
      <c r="M234" s="25" t="str">
        <f t="shared" si="9"/>
        <v>130189</v>
      </c>
      <c r="N234" t="str">
        <f t="shared" si="10"/>
        <v xml:space="preserve"> 20" MDS FLEX DEF+ULTRA RES MFL </v>
      </c>
      <c r="O234" t="b">
        <f t="shared" si="11"/>
        <v>0</v>
      </c>
      <c r="S234" t="s">
        <v>2069</v>
      </c>
      <c r="T234">
        <v>130189</v>
      </c>
    </row>
    <row r="235" spans="1:20" ht="45" x14ac:dyDescent="0.25">
      <c r="A235" s="16" t="s">
        <v>1272</v>
      </c>
      <c r="B235" s="16" t="s">
        <v>2070</v>
      </c>
      <c r="C235" s="16" t="s">
        <v>2071</v>
      </c>
      <c r="D235" s="16" t="s">
        <v>1274</v>
      </c>
      <c r="E235" s="16" t="s">
        <v>2072</v>
      </c>
      <c r="F235" s="16" t="s">
        <v>1276</v>
      </c>
      <c r="G235" s="16" t="s">
        <v>1277</v>
      </c>
      <c r="H235" s="16" t="s">
        <v>1276</v>
      </c>
      <c r="I235" s="16" t="s">
        <v>2073</v>
      </c>
      <c r="J235" s="16" t="s">
        <v>1279</v>
      </c>
      <c r="K235" s="16" t="s">
        <v>1276</v>
      </c>
      <c r="L235" s="16" t="s">
        <v>1280</v>
      </c>
      <c r="M235" s="25" t="str">
        <f t="shared" si="9"/>
        <v>109620</v>
      </c>
      <c r="N235" t="str">
        <f t="shared" si="10"/>
        <v xml:space="preserve"> 22" MFL (20-22) + DEF (20-24) ATEX </v>
      </c>
      <c r="O235" t="b">
        <f t="shared" si="11"/>
        <v>0</v>
      </c>
      <c r="S235" t="s">
        <v>2074</v>
      </c>
      <c r="T235">
        <v>109620</v>
      </c>
    </row>
    <row r="236" spans="1:20" ht="45" x14ac:dyDescent="0.25">
      <c r="A236" s="16" t="s">
        <v>1272</v>
      </c>
      <c r="B236" s="16" t="s">
        <v>2075</v>
      </c>
      <c r="C236" s="16" t="s">
        <v>2076</v>
      </c>
      <c r="D236" s="16" t="s">
        <v>1274</v>
      </c>
      <c r="E236" s="16" t="s">
        <v>2077</v>
      </c>
      <c r="F236" s="16" t="s">
        <v>1276</v>
      </c>
      <c r="G236" s="16" t="s">
        <v>1277</v>
      </c>
      <c r="H236" s="16" t="s">
        <v>1276</v>
      </c>
      <c r="I236" s="16" t="s">
        <v>2078</v>
      </c>
      <c r="J236" s="16" t="s">
        <v>1279</v>
      </c>
      <c r="K236" s="16" t="s">
        <v>1276</v>
      </c>
      <c r="L236" s="16" t="s">
        <v>1280</v>
      </c>
      <c r="M236" s="25" t="str">
        <f t="shared" si="9"/>
        <v>116772</v>
      </c>
      <c r="N236" t="str">
        <f t="shared" si="10"/>
        <v xml:space="preserve"> 22" GMFL2+DEF+XYZ ATEX </v>
      </c>
      <c r="O236" t="b">
        <f t="shared" si="11"/>
        <v>1</v>
      </c>
      <c r="S236" t="s">
        <v>2079</v>
      </c>
      <c r="T236">
        <v>116772</v>
      </c>
    </row>
    <row r="237" spans="1:20" ht="45" x14ac:dyDescent="0.25">
      <c r="A237" s="16" t="s">
        <v>1272</v>
      </c>
      <c r="B237" s="16" t="s">
        <v>2080</v>
      </c>
      <c r="C237" s="16" t="s">
        <v>2081</v>
      </c>
      <c r="D237" s="16" t="s">
        <v>1274</v>
      </c>
      <c r="E237" s="16" t="s">
        <v>2082</v>
      </c>
      <c r="F237" s="16" t="s">
        <v>1276</v>
      </c>
      <c r="G237" s="16" t="s">
        <v>1277</v>
      </c>
      <c r="H237" s="16" t="s">
        <v>1276</v>
      </c>
      <c r="I237" s="16" t="s">
        <v>2083</v>
      </c>
      <c r="J237" s="16" t="s">
        <v>1279</v>
      </c>
      <c r="K237" s="16" t="s">
        <v>1276</v>
      </c>
      <c r="L237" s="16" t="s">
        <v>1280</v>
      </c>
      <c r="M237" s="25" t="str">
        <f t="shared" si="9"/>
        <v>117836</v>
      </c>
      <c r="N237" t="str">
        <f t="shared" si="10"/>
        <v xml:space="preserve"> 22" DEF Single Body </v>
      </c>
      <c r="O237" t="b">
        <f t="shared" si="11"/>
        <v>0</v>
      </c>
      <c r="S237" t="s">
        <v>2084</v>
      </c>
      <c r="T237">
        <v>117836</v>
      </c>
    </row>
    <row r="238" spans="1:20" ht="45" x14ac:dyDescent="0.25">
      <c r="A238" s="16" t="s">
        <v>1272</v>
      </c>
      <c r="B238" s="16" t="s">
        <v>2085</v>
      </c>
      <c r="C238" s="16" t="s">
        <v>2086</v>
      </c>
      <c r="D238" s="16" t="s">
        <v>1274</v>
      </c>
      <c r="E238" s="16" t="s">
        <v>2087</v>
      </c>
      <c r="F238" s="16" t="s">
        <v>1276</v>
      </c>
      <c r="G238" s="16" t="s">
        <v>1277</v>
      </c>
      <c r="H238" s="16" t="s">
        <v>1276</v>
      </c>
      <c r="I238" s="16" t="s">
        <v>2088</v>
      </c>
      <c r="J238" s="16" t="s">
        <v>1279</v>
      </c>
      <c r="K238" s="16" t="s">
        <v>1276</v>
      </c>
      <c r="L238" s="16" t="s">
        <v>1280</v>
      </c>
      <c r="M238" s="25" t="str">
        <f t="shared" si="9"/>
        <v>120369</v>
      </c>
      <c r="N238" t="str">
        <f t="shared" si="10"/>
        <v xml:space="preserve"> 22" MFL+DEF+XYZ (xHD) </v>
      </c>
      <c r="O238" t="b">
        <f t="shared" si="11"/>
        <v>1</v>
      </c>
      <c r="S238" t="s">
        <v>2089</v>
      </c>
      <c r="T238">
        <v>120369</v>
      </c>
    </row>
    <row r="239" spans="1:20" ht="45" x14ac:dyDescent="0.25">
      <c r="A239" s="16" t="s">
        <v>1272</v>
      </c>
      <c r="B239" s="16" t="s">
        <v>2090</v>
      </c>
      <c r="C239" s="16" t="s">
        <v>2091</v>
      </c>
      <c r="D239" s="16" t="s">
        <v>1274</v>
      </c>
      <c r="E239" s="16" t="s">
        <v>2092</v>
      </c>
      <c r="F239" s="16" t="s">
        <v>1276</v>
      </c>
      <c r="G239" s="16" t="s">
        <v>1277</v>
      </c>
      <c r="H239" s="16" t="s">
        <v>1276</v>
      </c>
      <c r="I239" s="16" t="s">
        <v>2093</v>
      </c>
      <c r="J239" s="16" t="s">
        <v>1279</v>
      </c>
      <c r="K239" s="16" t="s">
        <v>1276</v>
      </c>
      <c r="L239" s="16" t="s">
        <v>1280</v>
      </c>
      <c r="M239" s="25" t="str">
        <f t="shared" si="9"/>
        <v>109627-01</v>
      </c>
      <c r="N239" t="str">
        <f t="shared" si="10"/>
        <v xml:space="preserve"> 22" MFL (ATEX) </v>
      </c>
      <c r="O239" t="b">
        <f t="shared" si="11"/>
        <v>0</v>
      </c>
      <c r="S239" t="s">
        <v>2094</v>
      </c>
      <c r="T239" s="25" t="s">
        <v>991</v>
      </c>
    </row>
    <row r="240" spans="1:20" ht="45" x14ac:dyDescent="0.25">
      <c r="A240" s="16" t="s">
        <v>1272</v>
      </c>
      <c r="B240" s="16" t="s">
        <v>2095</v>
      </c>
      <c r="C240" s="16" t="s">
        <v>2096</v>
      </c>
      <c r="D240" s="16" t="s">
        <v>1274</v>
      </c>
      <c r="E240" s="16" t="s">
        <v>2097</v>
      </c>
      <c r="F240" s="16" t="s">
        <v>1276</v>
      </c>
      <c r="G240" s="16" t="s">
        <v>1277</v>
      </c>
      <c r="H240" s="16" t="s">
        <v>1276</v>
      </c>
      <c r="I240" s="16" t="s">
        <v>2098</v>
      </c>
      <c r="J240" s="16" t="s">
        <v>1279</v>
      </c>
      <c r="K240" s="16" t="s">
        <v>1276</v>
      </c>
      <c r="L240" s="16" t="s">
        <v>1280</v>
      </c>
      <c r="M240" s="25" t="str">
        <f t="shared" si="9"/>
        <v>102451-01</v>
      </c>
      <c r="N240" t="str">
        <f t="shared" si="10"/>
        <v xml:space="preserve"> 22" GMFL2 </v>
      </c>
      <c r="O240" t="b">
        <f t="shared" si="11"/>
        <v>0</v>
      </c>
      <c r="S240" t="s">
        <v>2099</v>
      </c>
      <c r="T240" s="25" t="s">
        <v>976</v>
      </c>
    </row>
    <row r="241" spans="1:20" ht="45" x14ac:dyDescent="0.25">
      <c r="A241" s="16" t="s">
        <v>1272</v>
      </c>
      <c r="B241" s="16" t="s">
        <v>2100</v>
      </c>
      <c r="C241" s="16" t="s">
        <v>2101</v>
      </c>
      <c r="D241" s="16" t="s">
        <v>1274</v>
      </c>
      <c r="E241" s="16" t="s">
        <v>2102</v>
      </c>
      <c r="F241" s="16" t="s">
        <v>1276</v>
      </c>
      <c r="G241" s="16" t="s">
        <v>1277</v>
      </c>
      <c r="H241" s="16" t="s">
        <v>1276</v>
      </c>
      <c r="I241" s="16" t="s">
        <v>2103</v>
      </c>
      <c r="J241" s="16" t="s">
        <v>1279</v>
      </c>
      <c r="K241" s="16" t="s">
        <v>1276</v>
      </c>
      <c r="L241" s="16" t="s">
        <v>1280</v>
      </c>
      <c r="M241" s="25" t="str">
        <f t="shared" si="9"/>
        <v>124936</v>
      </c>
      <c r="N241" t="str">
        <f t="shared" si="10"/>
        <v xml:space="preserve"> 22" DEF+XYZ (xHD) </v>
      </c>
      <c r="O241" t="b">
        <f t="shared" si="11"/>
        <v>1</v>
      </c>
      <c r="S241" t="s">
        <v>2104</v>
      </c>
      <c r="T241">
        <v>124936</v>
      </c>
    </row>
    <row r="242" spans="1:20" ht="45" x14ac:dyDescent="0.25">
      <c r="A242" s="16" t="s">
        <v>1272</v>
      </c>
      <c r="B242" s="16" t="s">
        <v>2105</v>
      </c>
      <c r="C242" s="16" t="s">
        <v>2106</v>
      </c>
      <c r="D242" s="16" t="s">
        <v>1274</v>
      </c>
      <c r="E242" s="16" t="s">
        <v>2107</v>
      </c>
      <c r="F242" s="16" t="s">
        <v>1276</v>
      </c>
      <c r="G242" s="16" t="s">
        <v>1277</v>
      </c>
      <c r="H242" s="16" t="s">
        <v>1276</v>
      </c>
      <c r="I242" s="16" t="s">
        <v>2108</v>
      </c>
      <c r="J242" s="16" t="s">
        <v>1279</v>
      </c>
      <c r="K242" s="16" t="s">
        <v>1276</v>
      </c>
      <c r="L242" s="16" t="s">
        <v>1280</v>
      </c>
      <c r="M242" s="25" t="str">
        <f t="shared" si="9"/>
        <v>129500</v>
      </c>
      <c r="N242" t="str">
        <f t="shared" si="10"/>
        <v xml:space="preserve"> 22" MFL2+DEF+SpirALL+MFL XYZ+LFM </v>
      </c>
      <c r="O242" t="b">
        <f t="shared" si="11"/>
        <v>1</v>
      </c>
      <c r="S242" t="s">
        <v>2109</v>
      </c>
      <c r="T242">
        <v>129500</v>
      </c>
    </row>
    <row r="243" spans="1:20" ht="45" x14ac:dyDescent="0.25">
      <c r="A243" s="16" t="s">
        <v>1272</v>
      </c>
      <c r="B243" s="16" t="s">
        <v>2110</v>
      </c>
      <c r="C243" s="16" t="s">
        <v>2111</v>
      </c>
      <c r="D243" s="16" t="s">
        <v>1274</v>
      </c>
      <c r="E243" s="16" t="s">
        <v>2112</v>
      </c>
      <c r="F243" s="16" t="s">
        <v>1276</v>
      </c>
      <c r="G243" s="16" t="s">
        <v>1277</v>
      </c>
      <c r="H243" s="16" t="s">
        <v>1276</v>
      </c>
      <c r="I243" s="16" t="s">
        <v>2113</v>
      </c>
      <c r="J243" s="16" t="s">
        <v>1279</v>
      </c>
      <c r="K243" s="16" t="s">
        <v>1276</v>
      </c>
      <c r="L243" s="16" t="s">
        <v>1280</v>
      </c>
      <c r="M243" s="25" t="str">
        <f t="shared" si="9"/>
        <v>129501</v>
      </c>
      <c r="N243" t="str">
        <f t="shared" si="10"/>
        <v xml:space="preserve"> 22" MFL2+DEF+SMFL+LFM,SpirALL MFL </v>
      </c>
      <c r="O243" t="b">
        <f t="shared" si="11"/>
        <v>0</v>
      </c>
      <c r="S243" t="s">
        <v>2114</v>
      </c>
      <c r="T243">
        <v>129501</v>
      </c>
    </row>
    <row r="244" spans="1:20" ht="45" x14ac:dyDescent="0.25">
      <c r="A244" s="16" t="s">
        <v>1272</v>
      </c>
      <c r="B244" s="16" t="s">
        <v>2115</v>
      </c>
      <c r="C244" s="16" t="s">
        <v>2116</v>
      </c>
      <c r="D244" s="16" t="s">
        <v>1274</v>
      </c>
      <c r="E244" s="16" t="s">
        <v>2117</v>
      </c>
      <c r="F244" s="16" t="s">
        <v>1276</v>
      </c>
      <c r="G244" s="16" t="s">
        <v>1277</v>
      </c>
      <c r="H244" s="16" t="s">
        <v>1276</v>
      </c>
      <c r="I244" s="16" t="s">
        <v>2118</v>
      </c>
      <c r="J244" s="16" t="s">
        <v>1279</v>
      </c>
      <c r="K244" s="16" t="s">
        <v>1276</v>
      </c>
      <c r="L244" s="16" t="s">
        <v>1280</v>
      </c>
      <c r="M244" s="25" t="str">
        <f t="shared" si="9"/>
        <v>129502</v>
      </c>
      <c r="N244" t="str">
        <f t="shared" si="10"/>
        <v xml:space="preserve"> 22" MFL2+DEF+SpirALL+MFL+XYZ </v>
      </c>
      <c r="O244" t="b">
        <f t="shared" si="11"/>
        <v>1</v>
      </c>
      <c r="S244" t="s">
        <v>2119</v>
      </c>
      <c r="T244">
        <v>129502</v>
      </c>
    </row>
    <row r="245" spans="1:20" ht="45" x14ac:dyDescent="0.25">
      <c r="A245" s="16" t="s">
        <v>1272</v>
      </c>
      <c r="B245" s="16" t="s">
        <v>2120</v>
      </c>
      <c r="C245" s="16" t="s">
        <v>2121</v>
      </c>
      <c r="D245" s="16" t="s">
        <v>1274</v>
      </c>
      <c r="E245" s="16" t="s">
        <v>2122</v>
      </c>
      <c r="F245" s="16" t="s">
        <v>1276</v>
      </c>
      <c r="G245" s="16" t="s">
        <v>1277</v>
      </c>
      <c r="H245" s="16" t="s">
        <v>1276</v>
      </c>
      <c r="I245" s="16" t="s">
        <v>2123</v>
      </c>
      <c r="J245" s="16" t="s">
        <v>1279</v>
      </c>
      <c r="K245" s="16" t="s">
        <v>1276</v>
      </c>
      <c r="L245" s="16" t="s">
        <v>1280</v>
      </c>
      <c r="M245" s="25" t="str">
        <f t="shared" si="9"/>
        <v>129503</v>
      </c>
      <c r="N245" t="str">
        <f t="shared" si="10"/>
        <v xml:space="preserve"> 22" MFL2+DEF+ SpirALL+MFL </v>
      </c>
      <c r="O245" t="b">
        <f t="shared" si="11"/>
        <v>0</v>
      </c>
      <c r="S245" t="s">
        <v>2124</v>
      </c>
      <c r="T245">
        <v>129503</v>
      </c>
    </row>
    <row r="246" spans="1:20" ht="45" x14ac:dyDescent="0.25">
      <c r="A246" s="16" t="s">
        <v>1272</v>
      </c>
      <c r="B246" s="16" t="s">
        <v>2125</v>
      </c>
      <c r="C246" s="16" t="s">
        <v>2126</v>
      </c>
      <c r="D246" s="16" t="s">
        <v>1274</v>
      </c>
      <c r="E246" s="16" t="s">
        <v>2127</v>
      </c>
      <c r="F246" s="16" t="s">
        <v>1276</v>
      </c>
      <c r="G246" s="16" t="s">
        <v>1277</v>
      </c>
      <c r="H246" s="16" t="s">
        <v>1276</v>
      </c>
      <c r="I246" s="16" t="s">
        <v>2128</v>
      </c>
      <c r="J246" s="16" t="s">
        <v>1279</v>
      </c>
      <c r="K246" s="16" t="s">
        <v>1276</v>
      </c>
      <c r="L246" s="16" t="s">
        <v>1280</v>
      </c>
      <c r="M246" s="25" t="str">
        <f t="shared" si="9"/>
        <v>129504</v>
      </c>
      <c r="N246" t="str">
        <f t="shared" si="10"/>
        <v xml:space="preserve"> 22" MFL2+DEF+LFM+XYZ </v>
      </c>
      <c r="O246" t="b">
        <f t="shared" si="11"/>
        <v>1</v>
      </c>
      <c r="S246" t="s">
        <v>2129</v>
      </c>
      <c r="T246">
        <v>129504</v>
      </c>
    </row>
    <row r="247" spans="1:20" ht="45" x14ac:dyDescent="0.25">
      <c r="A247" s="16" t="s">
        <v>1272</v>
      </c>
      <c r="B247" s="16" t="s">
        <v>2130</v>
      </c>
      <c r="C247" s="16" t="s">
        <v>2131</v>
      </c>
      <c r="D247" s="16" t="s">
        <v>1274</v>
      </c>
      <c r="E247" s="16" t="s">
        <v>2132</v>
      </c>
      <c r="F247" s="16" t="s">
        <v>1276</v>
      </c>
      <c r="G247" s="16" t="s">
        <v>1277</v>
      </c>
      <c r="H247" s="16" t="s">
        <v>1276</v>
      </c>
      <c r="I247" s="16" t="s">
        <v>2133</v>
      </c>
      <c r="J247" s="16" t="s">
        <v>1279</v>
      </c>
      <c r="K247" s="16" t="s">
        <v>1276</v>
      </c>
      <c r="L247" s="16" t="s">
        <v>1280</v>
      </c>
      <c r="M247" s="25" t="str">
        <f t="shared" si="9"/>
        <v>129505</v>
      </c>
      <c r="N247" t="str">
        <f t="shared" si="10"/>
        <v xml:space="preserve"> 22" MFL2+DEF+LFM </v>
      </c>
      <c r="O247" t="b">
        <f t="shared" si="11"/>
        <v>0</v>
      </c>
      <c r="S247" t="s">
        <v>2134</v>
      </c>
      <c r="T247">
        <v>129505</v>
      </c>
    </row>
    <row r="248" spans="1:20" ht="45" x14ac:dyDescent="0.25">
      <c r="A248" s="16" t="s">
        <v>1272</v>
      </c>
      <c r="B248" s="16" t="s">
        <v>2135</v>
      </c>
      <c r="C248" s="16" t="s">
        <v>2136</v>
      </c>
      <c r="D248" s="16" t="s">
        <v>1274</v>
      </c>
      <c r="E248" s="16" t="s">
        <v>2137</v>
      </c>
      <c r="F248" s="16" t="s">
        <v>1276</v>
      </c>
      <c r="G248" s="16" t="s">
        <v>1277</v>
      </c>
      <c r="H248" s="16" t="s">
        <v>1276</v>
      </c>
      <c r="I248" s="16" t="s">
        <v>2138</v>
      </c>
      <c r="J248" s="16" t="s">
        <v>1279</v>
      </c>
      <c r="K248" s="16" t="s">
        <v>1276</v>
      </c>
      <c r="L248" s="16" t="s">
        <v>1280</v>
      </c>
      <c r="M248" s="25" t="str">
        <f t="shared" si="9"/>
        <v>129506</v>
      </c>
      <c r="N248" t="str">
        <f t="shared" si="10"/>
        <v xml:space="preserve"> 22" MFL2+DEF2+XYZ </v>
      </c>
      <c r="O248" t="b">
        <f t="shared" si="11"/>
        <v>1</v>
      </c>
      <c r="S248" t="s">
        <v>2139</v>
      </c>
      <c r="T248">
        <v>129506</v>
      </c>
    </row>
    <row r="249" spans="1:20" ht="45" x14ac:dyDescent="0.25">
      <c r="A249" s="16" t="s">
        <v>1272</v>
      </c>
      <c r="B249" s="16" t="s">
        <v>2140</v>
      </c>
      <c r="C249" s="16" t="s">
        <v>2141</v>
      </c>
      <c r="D249" s="16" t="s">
        <v>1274</v>
      </c>
      <c r="E249" s="16" t="s">
        <v>2142</v>
      </c>
      <c r="F249" s="16" t="s">
        <v>1276</v>
      </c>
      <c r="G249" s="16" t="s">
        <v>1277</v>
      </c>
      <c r="H249" s="16" t="s">
        <v>1276</v>
      </c>
      <c r="I249" s="16" t="s">
        <v>2143</v>
      </c>
      <c r="J249" s="16" t="s">
        <v>1279</v>
      </c>
      <c r="K249" s="16" t="s">
        <v>1276</v>
      </c>
      <c r="L249" s="16" t="s">
        <v>1280</v>
      </c>
      <c r="M249" s="25" t="str">
        <f t="shared" si="9"/>
        <v>129507</v>
      </c>
      <c r="N249" t="str">
        <f t="shared" si="10"/>
        <v xml:space="preserve"> 22" MFL2+DEF2 </v>
      </c>
      <c r="O249" t="b">
        <f t="shared" si="11"/>
        <v>0</v>
      </c>
      <c r="S249" t="s">
        <v>2144</v>
      </c>
      <c r="T249">
        <v>129507</v>
      </c>
    </row>
    <row r="250" spans="1:20" ht="45" x14ac:dyDescent="0.25">
      <c r="A250" s="16" t="s">
        <v>1272</v>
      </c>
      <c r="B250" s="16" t="s">
        <v>2145</v>
      </c>
      <c r="C250" s="16" t="s">
        <v>2146</v>
      </c>
      <c r="D250" s="16" t="s">
        <v>1274</v>
      </c>
      <c r="E250" s="16" t="s">
        <v>2147</v>
      </c>
      <c r="F250" s="16" t="s">
        <v>1276</v>
      </c>
      <c r="G250" s="16" t="s">
        <v>1277</v>
      </c>
      <c r="H250" s="16" t="s">
        <v>1276</v>
      </c>
      <c r="I250" s="16" t="s">
        <v>2148</v>
      </c>
      <c r="J250" s="16" t="s">
        <v>1279</v>
      </c>
      <c r="K250" s="16" t="s">
        <v>1276</v>
      </c>
      <c r="L250" s="16" t="s">
        <v>1280</v>
      </c>
      <c r="M250" s="25" t="str">
        <f t="shared" si="9"/>
        <v>102958</v>
      </c>
      <c r="N250" t="str">
        <f t="shared" si="10"/>
        <v xml:space="preserve"> 24" GMFL2 (22-24) +DEF (20-24) </v>
      </c>
      <c r="O250" t="b">
        <f t="shared" si="11"/>
        <v>0</v>
      </c>
      <c r="S250" t="s">
        <v>2149</v>
      </c>
      <c r="T250">
        <v>102958</v>
      </c>
    </row>
    <row r="251" spans="1:20" ht="45" x14ac:dyDescent="0.25">
      <c r="A251" s="16" t="s">
        <v>1272</v>
      </c>
      <c r="B251" s="16" t="s">
        <v>2150</v>
      </c>
      <c r="C251" s="16" t="s">
        <v>2151</v>
      </c>
      <c r="D251" s="16" t="s">
        <v>1274</v>
      </c>
      <c r="E251" s="16" t="s">
        <v>2152</v>
      </c>
      <c r="F251" s="16" t="s">
        <v>1276</v>
      </c>
      <c r="G251" s="16" t="s">
        <v>1277</v>
      </c>
      <c r="H251" s="16" t="s">
        <v>1276</v>
      </c>
      <c r="I251" s="16" t="s">
        <v>2153</v>
      </c>
      <c r="J251" s="16" t="s">
        <v>1279</v>
      </c>
      <c r="K251" s="16" t="s">
        <v>1276</v>
      </c>
      <c r="L251" s="16" t="s">
        <v>1280</v>
      </c>
      <c r="M251" s="25" t="str">
        <f t="shared" si="9"/>
        <v>104139</v>
      </c>
      <c r="N251" t="str">
        <f t="shared" si="10"/>
        <v xml:space="preserve"> 24" K360 </v>
      </c>
      <c r="O251" t="b">
        <f t="shared" si="11"/>
        <v>0</v>
      </c>
      <c r="S251" t="s">
        <v>2154</v>
      </c>
      <c r="T251">
        <v>104139</v>
      </c>
    </row>
    <row r="252" spans="1:20" ht="45" x14ac:dyDescent="0.25">
      <c r="A252" s="16" t="s">
        <v>1272</v>
      </c>
      <c r="B252" s="16" t="s">
        <v>2155</v>
      </c>
      <c r="C252" s="16" t="s">
        <v>2156</v>
      </c>
      <c r="D252" s="16" t="s">
        <v>1274</v>
      </c>
      <c r="E252" s="16" t="s">
        <v>2157</v>
      </c>
      <c r="F252" s="16" t="s">
        <v>1276</v>
      </c>
      <c r="G252" s="16" t="s">
        <v>1277</v>
      </c>
      <c r="H252" s="16" t="s">
        <v>1276</v>
      </c>
      <c r="I252" s="16" t="s">
        <v>2158</v>
      </c>
      <c r="J252" s="16" t="s">
        <v>1279</v>
      </c>
      <c r="K252" s="16" t="s">
        <v>1276</v>
      </c>
      <c r="L252" s="16" t="s">
        <v>1280</v>
      </c>
      <c r="M252" s="25" t="str">
        <f t="shared" si="9"/>
        <v>109346</v>
      </c>
      <c r="N252" t="str">
        <f t="shared" si="10"/>
        <v xml:space="preserve"> 24" GMFL2 (xHD) </v>
      </c>
      <c r="O252" t="b">
        <f t="shared" si="11"/>
        <v>0</v>
      </c>
      <c r="S252" t="s">
        <v>2159</v>
      </c>
      <c r="T252">
        <v>109346</v>
      </c>
    </row>
    <row r="253" spans="1:20" ht="45" x14ac:dyDescent="0.25">
      <c r="A253" s="16" t="s">
        <v>1272</v>
      </c>
      <c r="B253" s="16" t="s">
        <v>2160</v>
      </c>
      <c r="C253" s="16" t="s">
        <v>2161</v>
      </c>
      <c r="D253" s="16" t="s">
        <v>1274</v>
      </c>
      <c r="E253" s="16" t="s">
        <v>2162</v>
      </c>
      <c r="F253" s="16" t="s">
        <v>1276</v>
      </c>
      <c r="G253" s="16" t="s">
        <v>1277</v>
      </c>
      <c r="H253" s="16" t="s">
        <v>1276</v>
      </c>
      <c r="I253" s="16" t="s">
        <v>2163</v>
      </c>
      <c r="J253" s="16" t="s">
        <v>1279</v>
      </c>
      <c r="K253" s="16" t="s">
        <v>1276</v>
      </c>
      <c r="L253" s="16" t="s">
        <v>1280</v>
      </c>
      <c r="M253" s="25" t="str">
        <f t="shared" si="9"/>
        <v>109410</v>
      </c>
      <c r="N253" t="str">
        <f t="shared" si="10"/>
        <v xml:space="preserve"> 24" DEF (20-24) (xHD) </v>
      </c>
      <c r="O253" t="b">
        <f t="shared" si="11"/>
        <v>0</v>
      </c>
      <c r="S253" t="s">
        <v>2164</v>
      </c>
      <c r="T253">
        <v>109410</v>
      </c>
    </row>
    <row r="254" spans="1:20" ht="45" x14ac:dyDescent="0.25">
      <c r="A254" s="16" t="s">
        <v>1272</v>
      </c>
      <c r="B254" s="16" t="s">
        <v>2165</v>
      </c>
      <c r="C254" s="16" t="s">
        <v>2146</v>
      </c>
      <c r="D254" s="16" t="s">
        <v>1274</v>
      </c>
      <c r="E254" s="16" t="s">
        <v>2166</v>
      </c>
      <c r="F254" s="16" t="s">
        <v>1276</v>
      </c>
      <c r="G254" s="16" t="s">
        <v>1277</v>
      </c>
      <c r="H254" s="16" t="s">
        <v>1276</v>
      </c>
      <c r="I254" s="16" t="s">
        <v>2167</v>
      </c>
      <c r="J254" s="16" t="s">
        <v>1279</v>
      </c>
      <c r="K254" s="16" t="s">
        <v>1276</v>
      </c>
      <c r="L254" s="16" t="s">
        <v>1280</v>
      </c>
      <c r="M254" s="25" t="str">
        <f t="shared" si="9"/>
        <v>109465</v>
      </c>
      <c r="N254" t="str">
        <f t="shared" si="10"/>
        <v xml:space="preserve"> 24" GMFL2+DEF ATEX </v>
      </c>
      <c r="O254" t="b">
        <f t="shared" si="11"/>
        <v>0</v>
      </c>
      <c r="S254" t="s">
        <v>2168</v>
      </c>
      <c r="T254">
        <v>109465</v>
      </c>
    </row>
    <row r="255" spans="1:20" ht="45" x14ac:dyDescent="0.25">
      <c r="A255" s="16" t="s">
        <v>1272</v>
      </c>
      <c r="B255" s="16" t="s">
        <v>2169</v>
      </c>
      <c r="C255" s="16" t="s">
        <v>2170</v>
      </c>
      <c r="D255" s="16" t="s">
        <v>1274</v>
      </c>
      <c r="E255" s="16" t="s">
        <v>2171</v>
      </c>
      <c r="F255" s="16" t="s">
        <v>1276</v>
      </c>
      <c r="G255" s="16" t="s">
        <v>1277</v>
      </c>
      <c r="H255" s="16" t="s">
        <v>1276</v>
      </c>
      <c r="I255" s="16" t="s">
        <v>2172</v>
      </c>
      <c r="J255" s="16" t="s">
        <v>1279</v>
      </c>
      <c r="K255" s="16" t="s">
        <v>1276</v>
      </c>
      <c r="L255" s="16" t="s">
        <v>1280</v>
      </c>
      <c r="M255" s="25" t="str">
        <f t="shared" si="9"/>
        <v>110470</v>
      </c>
      <c r="N255" t="str">
        <f t="shared" si="10"/>
        <v xml:space="preserve"> 24" MDS FLEX MFL3+DEF+LFM+XYZ </v>
      </c>
      <c r="O255" t="b">
        <f t="shared" si="11"/>
        <v>1</v>
      </c>
      <c r="S255" t="s">
        <v>2173</v>
      </c>
      <c r="T255">
        <v>110470</v>
      </c>
    </row>
    <row r="256" spans="1:20" ht="45" x14ac:dyDescent="0.25">
      <c r="A256" s="16" t="s">
        <v>1272</v>
      </c>
      <c r="B256" s="16" t="s">
        <v>2174</v>
      </c>
      <c r="C256" s="16" t="s">
        <v>2175</v>
      </c>
      <c r="D256" s="16" t="s">
        <v>1274</v>
      </c>
      <c r="E256" s="16" t="s">
        <v>2176</v>
      </c>
      <c r="F256" s="16" t="s">
        <v>1276</v>
      </c>
      <c r="G256" s="16" t="s">
        <v>1277</v>
      </c>
      <c r="H256" s="16" t="s">
        <v>1276</v>
      </c>
      <c r="I256" s="16" t="s">
        <v>2177</v>
      </c>
      <c r="J256" s="16" t="s">
        <v>1279</v>
      </c>
      <c r="K256" s="16" t="s">
        <v>1276</v>
      </c>
      <c r="L256" s="16" t="s">
        <v>1280</v>
      </c>
      <c r="M256" s="25" t="str">
        <f t="shared" si="9"/>
        <v>110639</v>
      </c>
      <c r="N256" t="str">
        <f t="shared" si="10"/>
        <v xml:space="preserve"> 24" DEF1+XYZ(20-24) ATEX </v>
      </c>
      <c r="O256" t="b">
        <f t="shared" si="11"/>
        <v>1</v>
      </c>
      <c r="S256" t="s">
        <v>2178</v>
      </c>
      <c r="T256">
        <v>110639</v>
      </c>
    </row>
    <row r="257" spans="1:20" ht="45" x14ac:dyDescent="0.25">
      <c r="A257" s="16" t="s">
        <v>1272</v>
      </c>
      <c r="B257" s="16" t="s">
        <v>2179</v>
      </c>
      <c r="C257" s="16" t="s">
        <v>2156</v>
      </c>
      <c r="D257" s="16" t="s">
        <v>1274</v>
      </c>
      <c r="E257" s="16" t="s">
        <v>2180</v>
      </c>
      <c r="F257" s="16" t="s">
        <v>1276</v>
      </c>
      <c r="G257" s="16" t="s">
        <v>1277</v>
      </c>
      <c r="H257" s="16" t="s">
        <v>1276</v>
      </c>
      <c r="I257" s="16" t="s">
        <v>2181</v>
      </c>
      <c r="J257" s="16" t="s">
        <v>1279</v>
      </c>
      <c r="K257" s="16" t="s">
        <v>1276</v>
      </c>
      <c r="L257" s="16" t="s">
        <v>1280</v>
      </c>
      <c r="M257" s="25" t="str">
        <f t="shared" si="9"/>
        <v>111453</v>
      </c>
      <c r="N257" t="str">
        <f t="shared" si="10"/>
        <v xml:space="preserve"> 24" GMFL2 (xHD ATEX) </v>
      </c>
      <c r="O257" t="b">
        <f t="shared" si="11"/>
        <v>0</v>
      </c>
      <c r="S257" t="s">
        <v>2182</v>
      </c>
      <c r="T257">
        <v>111453</v>
      </c>
    </row>
    <row r="258" spans="1:20" ht="45" x14ac:dyDescent="0.25">
      <c r="A258" s="16" t="s">
        <v>1272</v>
      </c>
      <c r="B258" s="16" t="s">
        <v>2183</v>
      </c>
      <c r="C258" s="16" t="s">
        <v>2184</v>
      </c>
      <c r="D258" s="16" t="s">
        <v>1274</v>
      </c>
      <c r="E258" s="16" t="s">
        <v>2185</v>
      </c>
      <c r="F258" s="16" t="s">
        <v>1276</v>
      </c>
      <c r="G258" s="16" t="s">
        <v>1277</v>
      </c>
      <c r="H258" s="16" t="s">
        <v>1276</v>
      </c>
      <c r="I258" s="16" t="s">
        <v>2186</v>
      </c>
      <c r="J258" s="16" t="s">
        <v>1279</v>
      </c>
      <c r="K258" s="16" t="s">
        <v>1276</v>
      </c>
      <c r="L258" s="16" t="s">
        <v>1280</v>
      </c>
      <c r="M258" s="25" t="str">
        <f t="shared" si="9"/>
        <v>111481</v>
      </c>
      <c r="N258" t="str">
        <f t="shared" si="10"/>
        <v xml:space="preserve"> 24" MFL3+DEF+SpirALL® MFL+XYZ+LFM </v>
      </c>
      <c r="O258" t="b">
        <f t="shared" si="11"/>
        <v>1</v>
      </c>
      <c r="S258" t="s">
        <v>2187</v>
      </c>
      <c r="T258">
        <v>111481</v>
      </c>
    </row>
    <row r="259" spans="1:20" ht="45" x14ac:dyDescent="0.25">
      <c r="A259" s="16" t="s">
        <v>1272</v>
      </c>
      <c r="B259" s="16" t="s">
        <v>2188</v>
      </c>
      <c r="C259" s="16" t="s">
        <v>2189</v>
      </c>
      <c r="D259" s="16" t="s">
        <v>1274</v>
      </c>
      <c r="E259" s="16" t="s">
        <v>2190</v>
      </c>
      <c r="F259" s="16" t="s">
        <v>1276</v>
      </c>
      <c r="G259" s="16" t="s">
        <v>1277</v>
      </c>
      <c r="H259" s="16" t="s">
        <v>1276</v>
      </c>
      <c r="I259" s="16" t="s">
        <v>2191</v>
      </c>
      <c r="J259" s="16" t="s">
        <v>1279</v>
      </c>
      <c r="K259" s="16" t="s">
        <v>1276</v>
      </c>
      <c r="L259" s="16" t="s">
        <v>1280</v>
      </c>
      <c r="M259" s="25" t="str">
        <f t="shared" si="9"/>
        <v>113651</v>
      </c>
      <c r="N259" t="str">
        <f t="shared" si="10"/>
        <v xml:space="preserve"> 24" MFL3+DEF+SpirALL® MFL+LFM </v>
      </c>
      <c r="O259" t="b">
        <f t="shared" si="11"/>
        <v>0</v>
      </c>
      <c r="S259" t="s">
        <v>2192</v>
      </c>
      <c r="T259">
        <v>113651</v>
      </c>
    </row>
    <row r="260" spans="1:20" ht="45" x14ac:dyDescent="0.25">
      <c r="A260" s="16" t="s">
        <v>1272</v>
      </c>
      <c r="B260" s="16" t="s">
        <v>2193</v>
      </c>
      <c r="C260" s="16" t="s">
        <v>2194</v>
      </c>
      <c r="D260" s="16" t="s">
        <v>1274</v>
      </c>
      <c r="E260" s="16" t="s">
        <v>2195</v>
      </c>
      <c r="F260" s="16" t="s">
        <v>1276</v>
      </c>
      <c r="G260" s="16" t="s">
        <v>1277</v>
      </c>
      <c r="H260" s="16" t="s">
        <v>1276</v>
      </c>
      <c r="I260" s="16" t="s">
        <v>2196</v>
      </c>
      <c r="J260" s="16" t="s">
        <v>1279</v>
      </c>
      <c r="K260" s="16" t="s">
        <v>1276</v>
      </c>
      <c r="L260" s="16" t="s">
        <v>1280</v>
      </c>
      <c r="M260" s="25" t="str">
        <f t="shared" si="9"/>
        <v>113660</v>
      </c>
      <c r="N260" t="str">
        <f t="shared" si="10"/>
        <v xml:space="preserve"> 24" MDS FLEX MFL3+DEF+LFM </v>
      </c>
      <c r="O260" t="b">
        <f t="shared" si="11"/>
        <v>0</v>
      </c>
      <c r="S260" t="s">
        <v>2197</v>
      </c>
      <c r="T260">
        <v>113660</v>
      </c>
    </row>
    <row r="261" spans="1:20" ht="45" x14ac:dyDescent="0.25">
      <c r="A261" s="16" t="s">
        <v>1272</v>
      </c>
      <c r="B261" s="16" t="s">
        <v>2198</v>
      </c>
      <c r="C261" s="16" t="s">
        <v>2199</v>
      </c>
      <c r="D261" s="16" t="s">
        <v>1274</v>
      </c>
      <c r="E261" s="16" t="s">
        <v>2200</v>
      </c>
      <c r="F261" s="16" t="s">
        <v>1276</v>
      </c>
      <c r="G261" s="16" t="s">
        <v>1277</v>
      </c>
      <c r="H261" s="16" t="s">
        <v>1276</v>
      </c>
      <c r="I261" s="16" t="s">
        <v>2201</v>
      </c>
      <c r="J261" s="16" t="s">
        <v>1279</v>
      </c>
      <c r="K261" s="16" t="s">
        <v>1276</v>
      </c>
      <c r="L261" s="16" t="s">
        <v>1280</v>
      </c>
      <c r="M261" s="25" t="str">
        <f t="shared" si="9"/>
        <v>114485</v>
      </c>
      <c r="N261" t="str">
        <f t="shared" si="10"/>
        <v xml:space="preserve"> 24" GMFL2+DEF+XYZ ATEX </v>
      </c>
      <c r="O261" t="b">
        <f t="shared" si="11"/>
        <v>1</v>
      </c>
      <c r="S261" t="s">
        <v>2202</v>
      </c>
      <c r="T261">
        <v>114485</v>
      </c>
    </row>
    <row r="262" spans="1:20" ht="45" x14ac:dyDescent="0.25">
      <c r="A262" s="16" t="s">
        <v>1272</v>
      </c>
      <c r="B262" s="16" t="s">
        <v>2203</v>
      </c>
      <c r="C262" s="16" t="s">
        <v>2204</v>
      </c>
      <c r="D262" s="16" t="s">
        <v>1274</v>
      </c>
      <c r="E262" s="16" t="s">
        <v>2205</v>
      </c>
      <c r="F262" s="16" t="s">
        <v>1276</v>
      </c>
      <c r="G262" s="16" t="s">
        <v>1277</v>
      </c>
      <c r="H262" s="16" t="s">
        <v>1276</v>
      </c>
      <c r="I262" s="16" t="s">
        <v>2206</v>
      </c>
      <c r="J262" s="16" t="s">
        <v>1279</v>
      </c>
      <c r="K262" s="16" t="s">
        <v>1276</v>
      </c>
      <c r="L262" s="16" t="s">
        <v>1280</v>
      </c>
      <c r="M262" s="25" t="str">
        <f t="shared" si="9"/>
        <v>114495</v>
      </c>
      <c r="N262" t="str">
        <f t="shared" si="10"/>
        <v xml:space="preserve"> 24" GMFL2+XYZ </v>
      </c>
      <c r="O262" t="b">
        <f t="shared" si="11"/>
        <v>1</v>
      </c>
      <c r="S262" t="s">
        <v>2207</v>
      </c>
      <c r="T262">
        <v>114495</v>
      </c>
    </row>
    <row r="263" spans="1:20" ht="45" x14ac:dyDescent="0.25">
      <c r="A263" s="16" t="s">
        <v>1272</v>
      </c>
      <c r="B263" s="16" t="s">
        <v>2208</v>
      </c>
      <c r="C263" s="16" t="s">
        <v>2161</v>
      </c>
      <c r="D263" s="16" t="s">
        <v>1274</v>
      </c>
      <c r="E263" s="16" t="s">
        <v>2209</v>
      </c>
      <c r="F263" s="16" t="s">
        <v>1276</v>
      </c>
      <c r="G263" s="16" t="s">
        <v>1277</v>
      </c>
      <c r="H263" s="16" t="s">
        <v>1276</v>
      </c>
      <c r="I263" s="16" t="s">
        <v>2210</v>
      </c>
      <c r="J263" s="16" t="s">
        <v>1279</v>
      </c>
      <c r="K263" s="16" t="s">
        <v>1276</v>
      </c>
      <c r="L263" s="16" t="s">
        <v>1280</v>
      </c>
      <c r="M263" s="25" t="str">
        <f t="shared" ref="M263:M326" si="12">_xlfn.TEXTBEFORE(B263, ",")</f>
        <v>114661</v>
      </c>
      <c r="N263" t="str">
        <f t="shared" ref="N263:N294" si="13">_xlfn.TEXTAFTER(B263, ",")</f>
        <v xml:space="preserve"> 24" DEF (Short) </v>
      </c>
      <c r="O263" t="b">
        <f t="shared" ref="O263:O326" si="14">ISNUMBER(SEARCH("xyz", B263))</f>
        <v>0</v>
      </c>
      <c r="S263" t="s">
        <v>2211</v>
      </c>
      <c r="T263">
        <v>114661</v>
      </c>
    </row>
    <row r="264" spans="1:20" ht="45" x14ac:dyDescent="0.25">
      <c r="A264" s="16" t="s">
        <v>1272</v>
      </c>
      <c r="B264" s="16" t="s">
        <v>2212</v>
      </c>
      <c r="C264" s="16" t="s">
        <v>2213</v>
      </c>
      <c r="D264" s="16" t="s">
        <v>1274</v>
      </c>
      <c r="E264" s="16" t="s">
        <v>2214</v>
      </c>
      <c r="F264" s="16" t="s">
        <v>1276</v>
      </c>
      <c r="G264" s="16" t="s">
        <v>1277</v>
      </c>
      <c r="H264" s="16" t="s">
        <v>1276</v>
      </c>
      <c r="I264" s="16" t="s">
        <v>2215</v>
      </c>
      <c r="J264" s="16" t="s">
        <v>1279</v>
      </c>
      <c r="K264" s="16" t="s">
        <v>1276</v>
      </c>
      <c r="L264" s="16" t="s">
        <v>1280</v>
      </c>
      <c r="M264" s="25" t="str">
        <f t="shared" si="12"/>
        <v>114681</v>
      </c>
      <c r="N264" t="str">
        <f t="shared" si="13"/>
        <v xml:space="preserve"> 24" DEF+XYZ ATEX </v>
      </c>
      <c r="O264" t="b">
        <f t="shared" si="14"/>
        <v>1</v>
      </c>
      <c r="S264" t="s">
        <v>2216</v>
      </c>
      <c r="T264">
        <v>114681</v>
      </c>
    </row>
    <row r="265" spans="1:20" ht="45" x14ac:dyDescent="0.25">
      <c r="A265" s="16" t="s">
        <v>1272</v>
      </c>
      <c r="B265" s="16" t="s">
        <v>2217</v>
      </c>
      <c r="C265" s="16" t="s">
        <v>2204</v>
      </c>
      <c r="D265" s="16" t="s">
        <v>1274</v>
      </c>
      <c r="E265" s="16" t="s">
        <v>2218</v>
      </c>
      <c r="F265" s="16" t="s">
        <v>1276</v>
      </c>
      <c r="G265" s="16" t="s">
        <v>1277</v>
      </c>
      <c r="H265" s="16" t="s">
        <v>1276</v>
      </c>
      <c r="I265" s="16" t="s">
        <v>2219</v>
      </c>
      <c r="J265" s="16" t="s">
        <v>1279</v>
      </c>
      <c r="K265" s="16" t="s">
        <v>1276</v>
      </c>
      <c r="L265" s="16" t="s">
        <v>1280</v>
      </c>
      <c r="M265" s="25" t="str">
        <f t="shared" si="12"/>
        <v>111895</v>
      </c>
      <c r="N265" t="str">
        <f t="shared" si="13"/>
        <v xml:space="preserve"> 24" GMFL2+XYZ (ATEX) </v>
      </c>
      <c r="O265" t="b">
        <f t="shared" si="14"/>
        <v>1</v>
      </c>
      <c r="S265" t="s">
        <v>2220</v>
      </c>
      <c r="T265">
        <v>111895</v>
      </c>
    </row>
    <row r="266" spans="1:20" ht="45" x14ac:dyDescent="0.25">
      <c r="A266" s="16" t="s">
        <v>1272</v>
      </c>
      <c r="B266" s="16" t="s">
        <v>2221</v>
      </c>
      <c r="C266" s="16" t="s">
        <v>2199</v>
      </c>
      <c r="D266" s="16" t="s">
        <v>1274</v>
      </c>
      <c r="E266" s="16" t="s">
        <v>2222</v>
      </c>
      <c r="F266" s="16" t="s">
        <v>1276</v>
      </c>
      <c r="G266" s="16" t="s">
        <v>1277</v>
      </c>
      <c r="H266" s="16" t="s">
        <v>1276</v>
      </c>
      <c r="I266" s="16" t="s">
        <v>2223</v>
      </c>
      <c r="J266" s="16" t="s">
        <v>1279</v>
      </c>
      <c r="K266" s="16" t="s">
        <v>1276</v>
      </c>
      <c r="L266" s="16" t="s">
        <v>1280</v>
      </c>
      <c r="M266" s="25" t="str">
        <f t="shared" si="12"/>
        <v>125460</v>
      </c>
      <c r="N266" t="str">
        <f t="shared" si="13"/>
        <v xml:space="preserve"> 24" DEF2+GMFL+XYZ </v>
      </c>
      <c r="O266" t="b">
        <f t="shared" si="14"/>
        <v>1</v>
      </c>
      <c r="S266" t="s">
        <v>2224</v>
      </c>
      <c r="T266">
        <v>125460</v>
      </c>
    </row>
    <row r="267" spans="1:20" ht="45" x14ac:dyDescent="0.25">
      <c r="A267" s="16" t="s">
        <v>1272</v>
      </c>
      <c r="B267" s="16" t="s">
        <v>2225</v>
      </c>
      <c r="C267" s="16" t="s">
        <v>2226</v>
      </c>
      <c r="D267" s="16" t="s">
        <v>1274</v>
      </c>
      <c r="E267" s="16" t="s">
        <v>2227</v>
      </c>
      <c r="F267" s="16" t="s">
        <v>1276</v>
      </c>
      <c r="G267" s="16" t="s">
        <v>1277</v>
      </c>
      <c r="H267" s="16" t="s">
        <v>1276</v>
      </c>
      <c r="I267" s="16" t="s">
        <v>2228</v>
      </c>
      <c r="J267" s="16" t="s">
        <v>1279</v>
      </c>
      <c r="K267" s="16" t="s">
        <v>1276</v>
      </c>
      <c r="L267" s="16" t="s">
        <v>1280</v>
      </c>
      <c r="M267" s="25" t="str">
        <f t="shared" si="12"/>
        <v>129306</v>
      </c>
      <c r="N267" t="str">
        <f t="shared" si="13"/>
        <v xml:space="preserve"> 24" MDS FLEX MFL+DEF </v>
      </c>
      <c r="O267" t="b">
        <f t="shared" si="14"/>
        <v>0</v>
      </c>
      <c r="S267" t="s">
        <v>2229</v>
      </c>
      <c r="T267">
        <v>129306</v>
      </c>
    </row>
    <row r="268" spans="1:20" ht="45" x14ac:dyDescent="0.25">
      <c r="A268" s="16" t="s">
        <v>1272</v>
      </c>
      <c r="B268" s="16" t="s">
        <v>2230</v>
      </c>
      <c r="C268" s="16" t="s">
        <v>2231</v>
      </c>
      <c r="D268" s="16" t="s">
        <v>1274</v>
      </c>
      <c r="E268" s="16" t="s">
        <v>2232</v>
      </c>
      <c r="F268" s="16" t="s">
        <v>1276</v>
      </c>
      <c r="G268" s="16" t="s">
        <v>1277</v>
      </c>
      <c r="H268" s="16" t="s">
        <v>1276</v>
      </c>
      <c r="I268" s="16" t="s">
        <v>2233</v>
      </c>
      <c r="J268" s="16" t="s">
        <v>1279</v>
      </c>
      <c r="K268" s="16" t="s">
        <v>1276</v>
      </c>
      <c r="L268" s="16" t="s">
        <v>1280</v>
      </c>
      <c r="M268" s="25" t="str">
        <f t="shared" si="12"/>
        <v>129307</v>
      </c>
      <c r="N268" t="str">
        <f t="shared" si="13"/>
        <v xml:space="preserve"> 24" MDS FLEX MFL+DEF+XYZ </v>
      </c>
      <c r="O268" t="b">
        <f t="shared" si="14"/>
        <v>1</v>
      </c>
      <c r="S268" t="s">
        <v>2234</v>
      </c>
      <c r="T268">
        <v>129307</v>
      </c>
    </row>
    <row r="269" spans="1:20" ht="60" x14ac:dyDescent="0.25">
      <c r="A269" s="16" t="s">
        <v>1272</v>
      </c>
      <c r="B269" s="16" t="s">
        <v>2235</v>
      </c>
      <c r="C269" s="16" t="s">
        <v>2236</v>
      </c>
      <c r="D269" s="16" t="s">
        <v>1274</v>
      </c>
      <c r="E269" s="16" t="s">
        <v>2237</v>
      </c>
      <c r="F269" s="16" t="s">
        <v>1276</v>
      </c>
      <c r="G269" s="16" t="s">
        <v>1277</v>
      </c>
      <c r="H269" s="16" t="s">
        <v>1276</v>
      </c>
      <c r="I269" s="16" t="s">
        <v>2238</v>
      </c>
      <c r="J269" s="16" t="s">
        <v>1279</v>
      </c>
      <c r="K269" s="16" t="s">
        <v>1276</v>
      </c>
      <c r="L269" s="16" t="s">
        <v>1280</v>
      </c>
      <c r="M269" s="25" t="str">
        <f t="shared" si="12"/>
        <v>130190</v>
      </c>
      <c r="N269" t="str">
        <f t="shared" si="13"/>
        <v xml:space="preserve"> 24" MDS DEF2+LFM+SMFL3+ULTRA RES MFL, SpirALL MFL </v>
      </c>
      <c r="O269" t="b">
        <f t="shared" si="14"/>
        <v>0</v>
      </c>
      <c r="S269" t="s">
        <v>2239</v>
      </c>
      <c r="T269">
        <v>130190</v>
      </c>
    </row>
    <row r="270" spans="1:20" ht="60" x14ac:dyDescent="0.25">
      <c r="A270" s="16" t="s">
        <v>1272</v>
      </c>
      <c r="B270" s="16" t="s">
        <v>2240</v>
      </c>
      <c r="C270" s="16" t="s">
        <v>2241</v>
      </c>
      <c r="D270" s="16" t="s">
        <v>1274</v>
      </c>
      <c r="E270" s="16" t="s">
        <v>2242</v>
      </c>
      <c r="F270" s="16" t="s">
        <v>1276</v>
      </c>
      <c r="G270" s="16" t="s">
        <v>1277</v>
      </c>
      <c r="H270" s="16" t="s">
        <v>1276</v>
      </c>
      <c r="I270" s="16" t="s">
        <v>2243</v>
      </c>
      <c r="J270" s="16" t="s">
        <v>1279</v>
      </c>
      <c r="K270" s="16" t="s">
        <v>1276</v>
      </c>
      <c r="L270" s="16" t="s">
        <v>1280</v>
      </c>
      <c r="M270" s="25" t="str">
        <f t="shared" si="12"/>
        <v>130191</v>
      </c>
      <c r="N270" t="str">
        <f t="shared" si="13"/>
        <v xml:space="preserve"> 24" MDS DEF2+LFM+SMFL3+ULTRA RES MFL, SpirALL MFL </v>
      </c>
      <c r="O270" t="b">
        <f t="shared" si="14"/>
        <v>0</v>
      </c>
      <c r="S270" t="s">
        <v>2239</v>
      </c>
      <c r="T270">
        <v>130191</v>
      </c>
    </row>
    <row r="271" spans="1:20" ht="60" x14ac:dyDescent="0.25">
      <c r="A271" s="16" t="s">
        <v>1272</v>
      </c>
      <c r="B271" s="16" t="s">
        <v>2244</v>
      </c>
      <c r="C271" s="16" t="s">
        <v>2245</v>
      </c>
      <c r="D271" s="16" t="s">
        <v>1274</v>
      </c>
      <c r="E271" s="16" t="s">
        <v>2246</v>
      </c>
      <c r="F271" s="16" t="s">
        <v>1276</v>
      </c>
      <c r="G271" s="16" t="s">
        <v>1277</v>
      </c>
      <c r="H271" s="16" t="s">
        <v>1276</v>
      </c>
      <c r="I271" s="16" t="s">
        <v>2247</v>
      </c>
      <c r="J271" s="16" t="s">
        <v>1279</v>
      </c>
      <c r="K271" s="16" t="s">
        <v>1276</v>
      </c>
      <c r="L271" s="16" t="s">
        <v>1280</v>
      </c>
      <c r="M271" s="25" t="str">
        <f t="shared" si="12"/>
        <v>130192</v>
      </c>
      <c r="N271" t="str">
        <f t="shared" si="13"/>
        <v xml:space="preserve"> 24" MDS FLEX DEF+LFM+ULTRA RES MFL+XYZ </v>
      </c>
      <c r="O271" t="b">
        <f t="shared" si="14"/>
        <v>1</v>
      </c>
      <c r="S271" t="s">
        <v>2248</v>
      </c>
      <c r="T271">
        <v>130192</v>
      </c>
    </row>
    <row r="272" spans="1:20" ht="60" x14ac:dyDescent="0.25">
      <c r="A272" s="16" t="s">
        <v>1272</v>
      </c>
      <c r="B272" s="16" t="s">
        <v>2249</v>
      </c>
      <c r="C272" s="16" t="s">
        <v>2250</v>
      </c>
      <c r="D272" s="16" t="s">
        <v>1274</v>
      </c>
      <c r="E272" s="16" t="s">
        <v>2251</v>
      </c>
      <c r="F272" s="16" t="s">
        <v>1276</v>
      </c>
      <c r="G272" s="16" t="s">
        <v>1277</v>
      </c>
      <c r="H272" s="16" t="s">
        <v>1276</v>
      </c>
      <c r="I272" s="16" t="s">
        <v>2252</v>
      </c>
      <c r="J272" s="16" t="s">
        <v>1279</v>
      </c>
      <c r="K272" s="16" t="s">
        <v>1276</v>
      </c>
      <c r="L272" s="16" t="s">
        <v>1280</v>
      </c>
      <c r="M272" s="25" t="str">
        <f t="shared" si="12"/>
        <v>130193</v>
      </c>
      <c r="N272" t="str">
        <f t="shared" si="13"/>
        <v xml:space="preserve"> 24" MDS FLEX DEF+LFM+ULTRA RES MFL+XYZ </v>
      </c>
      <c r="O272" t="b">
        <f t="shared" si="14"/>
        <v>1</v>
      </c>
      <c r="S272" t="s">
        <v>2248</v>
      </c>
      <c r="T272">
        <v>130193</v>
      </c>
    </row>
    <row r="273" spans="1:20" ht="60" x14ac:dyDescent="0.25">
      <c r="A273" s="16" t="s">
        <v>1272</v>
      </c>
      <c r="B273" s="16" t="s">
        <v>2253</v>
      </c>
      <c r="C273" s="16" t="s">
        <v>2254</v>
      </c>
      <c r="D273" s="16" t="s">
        <v>1274</v>
      </c>
      <c r="E273" s="16" t="s">
        <v>2255</v>
      </c>
      <c r="F273" s="16" t="s">
        <v>1276</v>
      </c>
      <c r="G273" s="16" t="s">
        <v>1277</v>
      </c>
      <c r="H273" s="16" t="s">
        <v>1276</v>
      </c>
      <c r="I273" s="16" t="s">
        <v>2256</v>
      </c>
      <c r="J273" s="16" t="s">
        <v>1279</v>
      </c>
      <c r="K273" s="16" t="s">
        <v>1276</v>
      </c>
      <c r="L273" s="16" t="s">
        <v>1280</v>
      </c>
      <c r="M273" s="25" t="str">
        <f t="shared" si="12"/>
        <v>130194</v>
      </c>
      <c r="N273" t="str">
        <f t="shared" si="13"/>
        <v xml:space="preserve"> 24" MDS FLEX DEF+ULTRA RES MFL+XYZ </v>
      </c>
      <c r="O273" t="b">
        <f t="shared" si="14"/>
        <v>1</v>
      </c>
      <c r="S273" t="s">
        <v>2257</v>
      </c>
      <c r="T273">
        <v>130194</v>
      </c>
    </row>
    <row r="274" spans="1:20" ht="60" x14ac:dyDescent="0.25">
      <c r="A274" s="16" t="s">
        <v>1272</v>
      </c>
      <c r="B274" s="16" t="s">
        <v>2258</v>
      </c>
      <c r="C274" s="16" t="s">
        <v>2259</v>
      </c>
      <c r="D274" s="16" t="s">
        <v>1274</v>
      </c>
      <c r="E274" s="16" t="s">
        <v>2260</v>
      </c>
      <c r="F274" s="16" t="s">
        <v>1276</v>
      </c>
      <c r="G274" s="16" t="s">
        <v>1277</v>
      </c>
      <c r="H274" s="16" t="s">
        <v>1276</v>
      </c>
      <c r="I274" s="16" t="s">
        <v>2261</v>
      </c>
      <c r="J274" s="16" t="s">
        <v>1279</v>
      </c>
      <c r="K274" s="16" t="s">
        <v>1276</v>
      </c>
      <c r="L274" s="16" t="s">
        <v>1280</v>
      </c>
      <c r="M274" s="25" t="str">
        <f t="shared" si="12"/>
        <v>130195</v>
      </c>
      <c r="N274" t="str">
        <f t="shared" si="13"/>
        <v xml:space="preserve"> 24" MDS FLEX DEF+ULTRA RES MFL </v>
      </c>
      <c r="O274" t="b">
        <f t="shared" si="14"/>
        <v>0</v>
      </c>
      <c r="S274" t="s">
        <v>2262</v>
      </c>
      <c r="T274">
        <v>130195</v>
      </c>
    </row>
    <row r="275" spans="1:20" ht="45" x14ac:dyDescent="0.25">
      <c r="A275" s="16" t="s">
        <v>1272</v>
      </c>
      <c r="B275" s="16" t="s">
        <v>2263</v>
      </c>
      <c r="C275" s="16" t="s">
        <v>2264</v>
      </c>
      <c r="D275" s="16" t="s">
        <v>1274</v>
      </c>
      <c r="E275" s="16" t="s">
        <v>2265</v>
      </c>
      <c r="F275" s="16" t="s">
        <v>1276</v>
      </c>
      <c r="G275" s="16" t="s">
        <v>1277</v>
      </c>
      <c r="H275" s="16" t="s">
        <v>1276</v>
      </c>
      <c r="I275" s="16" t="s">
        <v>2266</v>
      </c>
      <c r="J275" s="16" t="s">
        <v>1279</v>
      </c>
      <c r="K275" s="16" t="s">
        <v>1276</v>
      </c>
      <c r="L275" s="16" t="s">
        <v>1280</v>
      </c>
      <c r="M275" s="25" t="str">
        <f t="shared" si="12"/>
        <v>102861</v>
      </c>
      <c r="N275" t="str">
        <f t="shared" si="13"/>
        <v xml:space="preserve"> 26" K360 </v>
      </c>
      <c r="O275" t="b">
        <f t="shared" si="14"/>
        <v>0</v>
      </c>
      <c r="S275" t="s">
        <v>2267</v>
      </c>
      <c r="T275">
        <v>102861</v>
      </c>
    </row>
    <row r="276" spans="1:20" ht="45" x14ac:dyDescent="0.25">
      <c r="A276" s="16" t="s">
        <v>1272</v>
      </c>
      <c r="B276" s="16" t="s">
        <v>2268</v>
      </c>
      <c r="C276" s="16" t="s">
        <v>2269</v>
      </c>
      <c r="D276" s="16" t="s">
        <v>1274</v>
      </c>
      <c r="E276" s="16" t="s">
        <v>2270</v>
      </c>
      <c r="F276" s="16" t="s">
        <v>1276</v>
      </c>
      <c r="G276" s="16" t="s">
        <v>1277</v>
      </c>
      <c r="H276" s="16" t="s">
        <v>1276</v>
      </c>
      <c r="I276" s="16" t="s">
        <v>2271</v>
      </c>
      <c r="J276" s="16" t="s">
        <v>1279</v>
      </c>
      <c r="K276" s="16" t="s">
        <v>1276</v>
      </c>
      <c r="L276" s="16" t="s">
        <v>1280</v>
      </c>
      <c r="M276" s="25" t="str">
        <f t="shared" si="12"/>
        <v>110251</v>
      </c>
      <c r="N276" t="str">
        <f t="shared" si="13"/>
        <v xml:space="preserve"> 26" GMFL (xHD) </v>
      </c>
      <c r="O276" t="b">
        <f t="shared" si="14"/>
        <v>0</v>
      </c>
      <c r="S276" t="s">
        <v>2272</v>
      </c>
      <c r="T276">
        <v>110251</v>
      </c>
    </row>
    <row r="277" spans="1:20" ht="45" x14ac:dyDescent="0.25">
      <c r="A277" s="16" t="s">
        <v>1272</v>
      </c>
      <c r="B277" s="16" t="s">
        <v>2273</v>
      </c>
      <c r="C277" s="16" t="s">
        <v>2274</v>
      </c>
      <c r="D277" s="16" t="s">
        <v>1274</v>
      </c>
      <c r="E277" s="16" t="s">
        <v>2275</v>
      </c>
      <c r="F277" s="16" t="s">
        <v>1276</v>
      </c>
      <c r="G277" s="16" t="s">
        <v>1277</v>
      </c>
      <c r="H277" s="16" t="s">
        <v>1276</v>
      </c>
      <c r="I277" s="16" t="s">
        <v>2276</v>
      </c>
      <c r="J277" s="16" t="s">
        <v>1279</v>
      </c>
      <c r="K277" s="16" t="s">
        <v>1276</v>
      </c>
      <c r="L277" s="16" t="s">
        <v>1280</v>
      </c>
      <c r="M277" s="25" t="str">
        <f t="shared" si="12"/>
        <v>110890</v>
      </c>
      <c r="N277" t="str">
        <f t="shared" si="13"/>
        <v xml:space="preserve"> 26" DEF (26-30) (xHD) </v>
      </c>
      <c r="O277" t="b">
        <f t="shared" si="14"/>
        <v>0</v>
      </c>
      <c r="S277" t="s">
        <v>2277</v>
      </c>
      <c r="T277">
        <v>110890</v>
      </c>
    </row>
    <row r="278" spans="1:20" ht="45" x14ac:dyDescent="0.25">
      <c r="A278" s="16" t="s">
        <v>1272</v>
      </c>
      <c r="B278" s="16" t="s">
        <v>2278</v>
      </c>
      <c r="C278" s="16" t="s">
        <v>2279</v>
      </c>
      <c r="D278" s="16" t="s">
        <v>1274</v>
      </c>
      <c r="E278" s="16" t="s">
        <v>2280</v>
      </c>
      <c r="F278" s="16" t="s">
        <v>1276</v>
      </c>
      <c r="G278" s="16" t="s">
        <v>1277</v>
      </c>
      <c r="H278" s="16" t="s">
        <v>1276</v>
      </c>
      <c r="I278" s="16" t="s">
        <v>2281</v>
      </c>
      <c r="J278" s="16" t="s">
        <v>1279</v>
      </c>
      <c r="K278" s="16" t="s">
        <v>1276</v>
      </c>
      <c r="L278" s="16" t="s">
        <v>1280</v>
      </c>
      <c r="M278" s="25" t="str">
        <f t="shared" si="12"/>
        <v>114433</v>
      </c>
      <c r="N278" t="str">
        <f t="shared" si="13"/>
        <v xml:space="preserve"> 26" GMFL+DEF+XYZ (xHD) </v>
      </c>
      <c r="O278" t="b">
        <f t="shared" si="14"/>
        <v>1</v>
      </c>
      <c r="S278" t="s">
        <v>2282</v>
      </c>
      <c r="T278">
        <v>114433</v>
      </c>
    </row>
    <row r="279" spans="1:20" ht="45" x14ac:dyDescent="0.25">
      <c r="A279" s="16" t="s">
        <v>1272</v>
      </c>
      <c r="B279" s="16" t="s">
        <v>2283</v>
      </c>
      <c r="C279" s="16" t="s">
        <v>2269</v>
      </c>
      <c r="D279" s="16" t="s">
        <v>1274</v>
      </c>
      <c r="E279" s="16" t="s">
        <v>2284</v>
      </c>
      <c r="F279" s="16" t="s">
        <v>1276</v>
      </c>
      <c r="G279" s="16" t="s">
        <v>1277</v>
      </c>
      <c r="H279" s="16" t="s">
        <v>1276</v>
      </c>
      <c r="I279" s="16" t="s">
        <v>2285</v>
      </c>
      <c r="J279" s="16" t="s">
        <v>1279</v>
      </c>
      <c r="K279" s="16" t="s">
        <v>1276</v>
      </c>
      <c r="L279" s="16" t="s">
        <v>1280</v>
      </c>
      <c r="M279" s="25" t="str">
        <f t="shared" si="12"/>
        <v>114486</v>
      </c>
      <c r="N279" t="str">
        <f t="shared" si="13"/>
        <v xml:space="preserve"> 26" GMFL ATEX </v>
      </c>
      <c r="O279" t="b">
        <f t="shared" si="14"/>
        <v>0</v>
      </c>
      <c r="S279" t="s">
        <v>2286</v>
      </c>
      <c r="T279">
        <v>114486</v>
      </c>
    </row>
    <row r="280" spans="1:20" ht="45" x14ac:dyDescent="0.25">
      <c r="A280" s="16" t="s">
        <v>1272</v>
      </c>
      <c r="B280" s="16" t="s">
        <v>2287</v>
      </c>
      <c r="C280" s="16" t="s">
        <v>2288</v>
      </c>
      <c r="D280" s="16" t="s">
        <v>1274</v>
      </c>
      <c r="E280" s="16" t="s">
        <v>2289</v>
      </c>
      <c r="F280" s="16" t="s">
        <v>1276</v>
      </c>
      <c r="G280" s="16" t="s">
        <v>1277</v>
      </c>
      <c r="H280" s="16" t="s">
        <v>1276</v>
      </c>
      <c r="I280" s="16" t="s">
        <v>2290</v>
      </c>
      <c r="J280" s="16" t="s">
        <v>1279</v>
      </c>
      <c r="K280" s="16" t="s">
        <v>1276</v>
      </c>
      <c r="L280" s="16" t="s">
        <v>1280</v>
      </c>
      <c r="M280" s="25" t="str">
        <f t="shared" si="12"/>
        <v>114879</v>
      </c>
      <c r="N280" t="str">
        <f t="shared" si="13"/>
        <v xml:space="preserve"> 26" DEF+XYZ (xHD) </v>
      </c>
      <c r="O280" t="b">
        <f t="shared" si="14"/>
        <v>1</v>
      </c>
      <c r="S280" t="s">
        <v>2291</v>
      </c>
      <c r="T280">
        <v>114879</v>
      </c>
    </row>
    <row r="281" spans="1:20" ht="45" x14ac:dyDescent="0.25">
      <c r="A281" s="16" t="s">
        <v>1272</v>
      </c>
      <c r="B281" s="16" t="s">
        <v>2292</v>
      </c>
      <c r="C281" s="16" t="s">
        <v>2293</v>
      </c>
      <c r="D281" s="16" t="s">
        <v>1274</v>
      </c>
      <c r="E281" s="16" t="s">
        <v>2294</v>
      </c>
      <c r="F281" s="16" t="s">
        <v>1276</v>
      </c>
      <c r="G281" s="16" t="s">
        <v>1277</v>
      </c>
      <c r="H281" s="16" t="s">
        <v>1276</v>
      </c>
      <c r="I281" s="16" t="s">
        <v>2295</v>
      </c>
      <c r="J281" s="16" t="s">
        <v>1279</v>
      </c>
      <c r="K281" s="16" t="s">
        <v>1276</v>
      </c>
      <c r="L281" s="16" t="s">
        <v>1280</v>
      </c>
      <c r="M281" s="25" t="str">
        <f t="shared" si="12"/>
        <v>120816</v>
      </c>
      <c r="N281" t="str">
        <f t="shared" si="13"/>
        <v xml:space="preserve"> 26" GMFL+DEF (xHD) </v>
      </c>
      <c r="O281" t="b">
        <f t="shared" si="14"/>
        <v>0</v>
      </c>
      <c r="S281" t="s">
        <v>2296</v>
      </c>
      <c r="T281">
        <v>120816</v>
      </c>
    </row>
    <row r="282" spans="1:20" ht="45" x14ac:dyDescent="0.25">
      <c r="A282" s="16" t="s">
        <v>1272</v>
      </c>
      <c r="B282" s="16" t="s">
        <v>2297</v>
      </c>
      <c r="C282" s="16" t="s">
        <v>2298</v>
      </c>
      <c r="D282" s="16" t="s">
        <v>1274</v>
      </c>
      <c r="E282" s="16" t="s">
        <v>2299</v>
      </c>
      <c r="F282" s="16" t="s">
        <v>1276</v>
      </c>
      <c r="G282" s="16" t="s">
        <v>1277</v>
      </c>
      <c r="H282" s="16" t="s">
        <v>1276</v>
      </c>
      <c r="I282" s="16" t="s">
        <v>2300</v>
      </c>
      <c r="J282" s="16" t="s">
        <v>1279</v>
      </c>
      <c r="K282" s="16" t="s">
        <v>1276</v>
      </c>
      <c r="L282" s="16" t="s">
        <v>1280</v>
      </c>
      <c r="M282" s="25" t="str">
        <f t="shared" si="12"/>
        <v>122700</v>
      </c>
      <c r="N282" t="str">
        <f t="shared" si="13"/>
        <v xml:space="preserve"> 26" MFL+DEF2+SMFL+XYZ+LFM </v>
      </c>
      <c r="O282" t="b">
        <f t="shared" si="14"/>
        <v>1</v>
      </c>
      <c r="S282" t="s">
        <v>2301</v>
      </c>
      <c r="T282">
        <v>122700</v>
      </c>
    </row>
    <row r="283" spans="1:20" ht="45" x14ac:dyDescent="0.25">
      <c r="A283" s="16" t="s">
        <v>1272</v>
      </c>
      <c r="B283" s="16" t="s">
        <v>2302</v>
      </c>
      <c r="C283" s="16" t="s">
        <v>2303</v>
      </c>
      <c r="D283" s="16" t="s">
        <v>1274</v>
      </c>
      <c r="E283" s="16" t="s">
        <v>2304</v>
      </c>
      <c r="F283" s="16" t="s">
        <v>1276</v>
      </c>
      <c r="G283" s="16" t="s">
        <v>1277</v>
      </c>
      <c r="H283" s="16" t="s">
        <v>1276</v>
      </c>
      <c r="I283" s="16" t="s">
        <v>2305</v>
      </c>
      <c r="J283" s="16" t="s">
        <v>1279</v>
      </c>
      <c r="K283" s="16" t="s">
        <v>1276</v>
      </c>
      <c r="L283" s="16" t="s">
        <v>1280</v>
      </c>
      <c r="M283" s="25" t="str">
        <f t="shared" si="12"/>
        <v>122701</v>
      </c>
      <c r="N283" t="str">
        <f t="shared" si="13"/>
        <v xml:space="preserve"> 26" MFL+DEF2+SMFL+LFM </v>
      </c>
      <c r="O283" t="b">
        <f t="shared" si="14"/>
        <v>0</v>
      </c>
      <c r="S283" t="s">
        <v>2306</v>
      </c>
      <c r="T283">
        <v>122701</v>
      </c>
    </row>
    <row r="284" spans="1:20" ht="45" x14ac:dyDescent="0.25">
      <c r="A284" s="16" t="s">
        <v>1272</v>
      </c>
      <c r="B284" s="16" t="s">
        <v>2307</v>
      </c>
      <c r="C284" s="16" t="s">
        <v>2308</v>
      </c>
      <c r="D284" s="16" t="s">
        <v>1274</v>
      </c>
      <c r="E284" s="16" t="s">
        <v>2309</v>
      </c>
      <c r="F284" s="16" t="s">
        <v>1276</v>
      </c>
      <c r="G284" s="16" t="s">
        <v>1277</v>
      </c>
      <c r="H284" s="16" t="s">
        <v>1276</v>
      </c>
      <c r="I284" s="16" t="s">
        <v>2310</v>
      </c>
      <c r="J284" s="16" t="s">
        <v>1279</v>
      </c>
      <c r="K284" s="16" t="s">
        <v>1276</v>
      </c>
      <c r="L284" s="16" t="s">
        <v>1280</v>
      </c>
      <c r="M284" s="25" t="str">
        <f t="shared" si="12"/>
        <v>122702</v>
      </c>
      <c r="N284" t="str">
        <f t="shared" si="13"/>
        <v xml:space="preserve"> 26" MDS FLEX MFL+DEF2+XYZ+LFM </v>
      </c>
      <c r="O284" t="b">
        <f t="shared" si="14"/>
        <v>1</v>
      </c>
      <c r="S284" t="s">
        <v>2311</v>
      </c>
      <c r="T284">
        <v>122702</v>
      </c>
    </row>
    <row r="285" spans="1:20" ht="45" x14ac:dyDescent="0.25">
      <c r="A285" s="16" t="s">
        <v>1272</v>
      </c>
      <c r="B285" s="16" t="s">
        <v>2312</v>
      </c>
      <c r="C285" s="16" t="s">
        <v>2313</v>
      </c>
      <c r="D285" s="16" t="s">
        <v>1274</v>
      </c>
      <c r="E285" s="16" t="s">
        <v>2314</v>
      </c>
      <c r="F285" s="16" t="s">
        <v>1276</v>
      </c>
      <c r="G285" s="16" t="s">
        <v>1277</v>
      </c>
      <c r="H285" s="16" t="s">
        <v>1276</v>
      </c>
      <c r="I285" s="16" t="s">
        <v>2315</v>
      </c>
      <c r="J285" s="16" t="s">
        <v>1279</v>
      </c>
      <c r="K285" s="16" t="s">
        <v>1276</v>
      </c>
      <c r="L285" s="16" t="s">
        <v>1280</v>
      </c>
      <c r="M285" s="25" t="str">
        <f t="shared" si="12"/>
        <v>122703</v>
      </c>
      <c r="N285" t="str">
        <f t="shared" si="13"/>
        <v xml:space="preserve"> 26" MDS FLEX MFL+DEF2+LFM </v>
      </c>
      <c r="O285" t="b">
        <f t="shared" si="14"/>
        <v>0</v>
      </c>
      <c r="S285" t="s">
        <v>2316</v>
      </c>
      <c r="T285">
        <v>122703</v>
      </c>
    </row>
    <row r="286" spans="1:20" ht="45" x14ac:dyDescent="0.25">
      <c r="A286" s="16" t="s">
        <v>1272</v>
      </c>
      <c r="B286" s="16" t="s">
        <v>2317</v>
      </c>
      <c r="C286" s="16" t="s">
        <v>2298</v>
      </c>
      <c r="D286" s="16" t="s">
        <v>1274</v>
      </c>
      <c r="E286" s="16" t="s">
        <v>2318</v>
      </c>
      <c r="F286" s="16" t="s">
        <v>1276</v>
      </c>
      <c r="G286" s="16" t="s">
        <v>1277</v>
      </c>
      <c r="H286" s="16" t="s">
        <v>1276</v>
      </c>
      <c r="I286" s="16" t="s">
        <v>2319</v>
      </c>
      <c r="J286" s="16" t="s">
        <v>1279</v>
      </c>
      <c r="K286" s="16" t="s">
        <v>1276</v>
      </c>
      <c r="L286" s="16" t="s">
        <v>1280</v>
      </c>
      <c r="M286" s="25" t="str">
        <f t="shared" si="12"/>
        <v>122710</v>
      </c>
      <c r="N286" t="str">
        <f t="shared" si="13"/>
        <v xml:space="preserve"> 26" MFL+DEF2+SMFL+XYZ+LFM ATEX </v>
      </c>
      <c r="O286" t="b">
        <f t="shared" si="14"/>
        <v>1</v>
      </c>
      <c r="S286" t="s">
        <v>2320</v>
      </c>
      <c r="T286">
        <v>122710</v>
      </c>
    </row>
    <row r="287" spans="1:20" ht="45" x14ac:dyDescent="0.25">
      <c r="A287" s="16" t="s">
        <v>1272</v>
      </c>
      <c r="B287" s="16" t="s">
        <v>2321</v>
      </c>
      <c r="C287" s="16" t="s">
        <v>2303</v>
      </c>
      <c r="D287" s="16" t="s">
        <v>1274</v>
      </c>
      <c r="E287" s="16" t="s">
        <v>2322</v>
      </c>
      <c r="F287" s="16" t="s">
        <v>1276</v>
      </c>
      <c r="G287" s="16" t="s">
        <v>1277</v>
      </c>
      <c r="H287" s="16" t="s">
        <v>1276</v>
      </c>
      <c r="I287" s="16" t="s">
        <v>2323</v>
      </c>
      <c r="J287" s="16" t="s">
        <v>1279</v>
      </c>
      <c r="K287" s="16" t="s">
        <v>1276</v>
      </c>
      <c r="L287" s="16" t="s">
        <v>1280</v>
      </c>
      <c r="M287" s="25" t="str">
        <f t="shared" si="12"/>
        <v>122711</v>
      </c>
      <c r="N287" t="str">
        <f t="shared" si="13"/>
        <v xml:space="preserve"> 26" MFL+DEF2+SMFL+LFM ATEX </v>
      </c>
      <c r="O287" t="b">
        <f t="shared" si="14"/>
        <v>0</v>
      </c>
      <c r="S287" t="s">
        <v>2324</v>
      </c>
      <c r="T287">
        <v>122711</v>
      </c>
    </row>
    <row r="288" spans="1:20" ht="45" x14ac:dyDescent="0.25">
      <c r="A288" s="16" t="s">
        <v>1272</v>
      </c>
      <c r="B288" s="16" t="s">
        <v>2325</v>
      </c>
      <c r="C288" s="16" t="s">
        <v>2326</v>
      </c>
      <c r="D288" s="16" t="s">
        <v>1274</v>
      </c>
      <c r="E288" s="16" t="s">
        <v>2327</v>
      </c>
      <c r="F288" s="16" t="s">
        <v>1276</v>
      </c>
      <c r="G288" s="16" t="s">
        <v>1277</v>
      </c>
      <c r="H288" s="16" t="s">
        <v>1276</v>
      </c>
      <c r="I288" s="16" t="s">
        <v>2328</v>
      </c>
      <c r="J288" s="16" t="s">
        <v>1279</v>
      </c>
      <c r="K288" s="16" t="s">
        <v>1276</v>
      </c>
      <c r="L288" s="16" t="s">
        <v>1280</v>
      </c>
      <c r="M288" s="25" t="str">
        <f t="shared" si="12"/>
        <v>122712</v>
      </c>
      <c r="N288" t="str">
        <f t="shared" si="13"/>
        <v xml:space="preserve"> 26" MDS FLEX MFL+DEF2+XYZ+LFM ATEX </v>
      </c>
      <c r="O288" t="b">
        <f t="shared" si="14"/>
        <v>1</v>
      </c>
      <c r="S288" t="s">
        <v>2329</v>
      </c>
      <c r="T288">
        <v>122712</v>
      </c>
    </row>
    <row r="289" spans="1:20" ht="45" x14ac:dyDescent="0.25">
      <c r="A289" s="16" t="s">
        <v>1272</v>
      </c>
      <c r="B289" s="16" t="s">
        <v>2330</v>
      </c>
      <c r="C289" s="16" t="s">
        <v>2331</v>
      </c>
      <c r="D289" s="16" t="s">
        <v>1274</v>
      </c>
      <c r="E289" s="16" t="s">
        <v>2332</v>
      </c>
      <c r="F289" s="16" t="s">
        <v>1276</v>
      </c>
      <c r="G289" s="16" t="s">
        <v>1277</v>
      </c>
      <c r="H289" s="16" t="s">
        <v>1276</v>
      </c>
      <c r="I289" s="16" t="s">
        <v>2333</v>
      </c>
      <c r="J289" s="16" t="s">
        <v>1279</v>
      </c>
      <c r="K289" s="16" t="s">
        <v>1276</v>
      </c>
      <c r="L289" s="16" t="s">
        <v>1280</v>
      </c>
      <c r="M289" s="25" t="str">
        <f t="shared" si="12"/>
        <v>122713</v>
      </c>
      <c r="N289" t="str">
        <f t="shared" si="13"/>
        <v xml:space="preserve"> 26" MDS FLEX MFL+DEF2+LFM ATEX </v>
      </c>
      <c r="O289" t="b">
        <f t="shared" si="14"/>
        <v>0</v>
      </c>
      <c r="S289" t="s">
        <v>2334</v>
      </c>
      <c r="T289">
        <v>122713</v>
      </c>
    </row>
    <row r="290" spans="1:20" ht="60" x14ac:dyDescent="0.25">
      <c r="A290" s="16" t="s">
        <v>1272</v>
      </c>
      <c r="B290" s="16" t="s">
        <v>2335</v>
      </c>
      <c r="C290" s="16" t="s">
        <v>2274</v>
      </c>
      <c r="D290" s="16" t="s">
        <v>1274</v>
      </c>
      <c r="E290" s="16" t="s">
        <v>2336</v>
      </c>
      <c r="F290" s="16" t="s">
        <v>1276</v>
      </c>
      <c r="G290" s="16" t="s">
        <v>1277</v>
      </c>
      <c r="H290" s="16" t="s">
        <v>1276</v>
      </c>
      <c r="I290" s="16" t="s">
        <v>2337</v>
      </c>
      <c r="J290" s="16" t="s">
        <v>1279</v>
      </c>
      <c r="K290" s="16" t="s">
        <v>1276</v>
      </c>
      <c r="L290" s="16" t="s">
        <v>1280</v>
      </c>
      <c r="M290" s="25" t="str">
        <f t="shared" si="12"/>
        <v>124832</v>
      </c>
      <c r="N290" t="str">
        <f t="shared" si="13"/>
        <v xml:space="preserve"> 26" DEF (Single Body) </v>
      </c>
      <c r="O290" t="b">
        <f t="shared" si="14"/>
        <v>0</v>
      </c>
      <c r="S290" t="s">
        <v>2338</v>
      </c>
      <c r="T290">
        <v>124832</v>
      </c>
    </row>
    <row r="291" spans="1:20" ht="45" x14ac:dyDescent="0.25">
      <c r="A291" s="16" t="s">
        <v>1272</v>
      </c>
      <c r="B291" s="16" t="s">
        <v>2339</v>
      </c>
      <c r="C291" s="16" t="s">
        <v>2340</v>
      </c>
      <c r="D291" s="16" t="s">
        <v>1274</v>
      </c>
      <c r="E291" s="16" t="s">
        <v>2341</v>
      </c>
      <c r="F291" s="16" t="s">
        <v>1276</v>
      </c>
      <c r="G291" s="16" t="s">
        <v>1277</v>
      </c>
      <c r="H291" s="16" t="s">
        <v>1276</v>
      </c>
      <c r="I291" s="16" t="s">
        <v>2342</v>
      </c>
      <c r="J291" s="16" t="s">
        <v>1279</v>
      </c>
      <c r="K291" s="16" t="s">
        <v>1276</v>
      </c>
      <c r="L291" s="16" t="s">
        <v>1280</v>
      </c>
      <c r="M291" s="25" t="str">
        <f t="shared" si="12"/>
        <v>129308</v>
      </c>
      <c r="N291" t="str">
        <f t="shared" si="13"/>
        <v xml:space="preserve"> 26" MDS FLEX MFL+DEF </v>
      </c>
      <c r="O291" t="b">
        <f t="shared" si="14"/>
        <v>0</v>
      </c>
      <c r="S291" t="s">
        <v>2343</v>
      </c>
      <c r="T291">
        <v>129308</v>
      </c>
    </row>
    <row r="292" spans="1:20" ht="45" x14ac:dyDescent="0.25">
      <c r="A292" s="16" t="s">
        <v>1272</v>
      </c>
      <c r="B292" s="16" t="s">
        <v>2344</v>
      </c>
      <c r="C292" s="16" t="s">
        <v>2345</v>
      </c>
      <c r="D292" s="16" t="s">
        <v>1274</v>
      </c>
      <c r="E292" s="16" t="s">
        <v>2346</v>
      </c>
      <c r="F292" s="16" t="s">
        <v>1276</v>
      </c>
      <c r="G292" s="16" t="s">
        <v>1277</v>
      </c>
      <c r="H292" s="16" t="s">
        <v>1276</v>
      </c>
      <c r="I292" s="16" t="s">
        <v>2347</v>
      </c>
      <c r="J292" s="16" t="s">
        <v>1279</v>
      </c>
      <c r="K292" s="16" t="s">
        <v>1276</v>
      </c>
      <c r="L292" s="16" t="s">
        <v>1280</v>
      </c>
      <c r="M292" s="25" t="str">
        <f t="shared" si="12"/>
        <v>129309</v>
      </c>
      <c r="N292" t="str">
        <f t="shared" si="13"/>
        <v xml:space="preserve"> 26" MDS FLEX MFL+DEF+XYZ </v>
      </c>
      <c r="O292" t="b">
        <f t="shared" si="14"/>
        <v>1</v>
      </c>
      <c r="S292" t="s">
        <v>2348</v>
      </c>
      <c r="T292">
        <v>129309</v>
      </c>
    </row>
    <row r="293" spans="1:20" ht="45" x14ac:dyDescent="0.25">
      <c r="A293" s="16" t="s">
        <v>1272</v>
      </c>
      <c r="B293" s="16" t="s">
        <v>2349</v>
      </c>
      <c r="C293" s="16" t="s">
        <v>2350</v>
      </c>
      <c r="D293" s="16" t="s">
        <v>1274</v>
      </c>
      <c r="E293" s="16" t="s">
        <v>2351</v>
      </c>
      <c r="F293" s="16" t="s">
        <v>1276</v>
      </c>
      <c r="G293" s="16" t="s">
        <v>1277</v>
      </c>
      <c r="H293" s="16" t="s">
        <v>1276</v>
      </c>
      <c r="I293" s="16" t="s">
        <v>2352</v>
      </c>
      <c r="J293" s="16" t="s">
        <v>1279</v>
      </c>
      <c r="K293" s="16" t="s">
        <v>1276</v>
      </c>
      <c r="L293" s="16" t="s">
        <v>1280</v>
      </c>
      <c r="M293" s="25" t="str">
        <f t="shared" si="12"/>
        <v>104140</v>
      </c>
      <c r="N293" t="str">
        <f t="shared" si="13"/>
        <v xml:space="preserve"> 28" K360 </v>
      </c>
      <c r="O293" t="b">
        <f t="shared" si="14"/>
        <v>0</v>
      </c>
      <c r="S293" t="s">
        <v>2353</v>
      </c>
      <c r="T293">
        <v>104140</v>
      </c>
    </row>
    <row r="294" spans="1:20" ht="45" x14ac:dyDescent="0.25">
      <c r="A294" s="16" t="s">
        <v>1272</v>
      </c>
      <c r="B294" s="16" t="s">
        <v>2354</v>
      </c>
      <c r="C294" s="16" t="s">
        <v>2355</v>
      </c>
      <c r="D294" s="16" t="s">
        <v>1274</v>
      </c>
      <c r="E294" s="16" t="s">
        <v>2356</v>
      </c>
      <c r="F294" s="16" t="s">
        <v>1276</v>
      </c>
      <c r="G294" s="16" t="s">
        <v>1277</v>
      </c>
      <c r="H294" s="16" t="s">
        <v>1276</v>
      </c>
      <c r="I294" s="16" t="s">
        <v>2357</v>
      </c>
      <c r="J294" s="16" t="s">
        <v>1279</v>
      </c>
      <c r="K294" s="16" t="s">
        <v>1276</v>
      </c>
      <c r="L294" s="16" t="s">
        <v>1280</v>
      </c>
      <c r="M294" s="25" t="str">
        <f t="shared" si="12"/>
        <v>113574</v>
      </c>
      <c r="N294" t="str">
        <f t="shared" si="13"/>
        <v xml:space="preserve"> 28" DEF+XYZ (xHD) </v>
      </c>
      <c r="O294" t="b">
        <f t="shared" si="14"/>
        <v>1</v>
      </c>
      <c r="S294" t="s">
        <v>2358</v>
      </c>
      <c r="T294">
        <v>113574</v>
      </c>
    </row>
    <row r="295" spans="1:20" ht="45" x14ac:dyDescent="0.25">
      <c r="A295" s="16" t="s">
        <v>1272</v>
      </c>
      <c r="B295" s="16" t="s">
        <v>2359</v>
      </c>
      <c r="C295" s="16" t="s">
        <v>2360</v>
      </c>
      <c r="D295" s="16" t="s">
        <v>1274</v>
      </c>
      <c r="E295" s="16" t="s">
        <v>2361</v>
      </c>
      <c r="F295" s="16" t="s">
        <v>1276</v>
      </c>
      <c r="G295" s="16" t="s">
        <v>1277</v>
      </c>
      <c r="H295" s="16" t="s">
        <v>1276</v>
      </c>
      <c r="I295" s="16" t="s">
        <v>2362</v>
      </c>
      <c r="J295" s="16" t="s">
        <v>1279</v>
      </c>
      <c r="K295" s="16" t="s">
        <v>1276</v>
      </c>
      <c r="L295" s="16" t="s">
        <v>1280</v>
      </c>
      <c r="M295" s="25" t="str">
        <f t="shared" si="12"/>
        <v>113608</v>
      </c>
      <c r="N295" t="str">
        <f t="shared" ref="N295:N326" si="15">_xlfn.TEXTAFTER(B295, ",")</f>
        <v xml:space="preserve"> 28" GMFL ATEX </v>
      </c>
      <c r="O295" t="b">
        <f t="shared" si="14"/>
        <v>0</v>
      </c>
      <c r="S295" t="s">
        <v>2363</v>
      </c>
      <c r="T295">
        <v>113608</v>
      </c>
    </row>
    <row r="296" spans="1:20" ht="45" x14ac:dyDescent="0.25">
      <c r="A296" s="16" t="s">
        <v>1272</v>
      </c>
      <c r="B296" s="16" t="s">
        <v>2364</v>
      </c>
      <c r="C296" s="16" t="s">
        <v>2365</v>
      </c>
      <c r="D296" s="16" t="s">
        <v>1274</v>
      </c>
      <c r="E296" s="16" t="s">
        <v>2366</v>
      </c>
      <c r="F296" s="16" t="s">
        <v>1276</v>
      </c>
      <c r="G296" s="16" t="s">
        <v>1277</v>
      </c>
      <c r="H296" s="16" t="s">
        <v>1276</v>
      </c>
      <c r="I296" s="16" t="s">
        <v>2367</v>
      </c>
      <c r="J296" s="16" t="s">
        <v>1279</v>
      </c>
      <c r="K296" s="16" t="s">
        <v>1276</v>
      </c>
      <c r="L296" s="16" t="s">
        <v>1280</v>
      </c>
      <c r="M296" s="25" t="str">
        <f t="shared" si="12"/>
        <v>114420</v>
      </c>
      <c r="N296" t="str">
        <f t="shared" si="15"/>
        <v xml:space="preserve"> 28" GMFL+DEF+XYZ (xHD) </v>
      </c>
      <c r="O296" t="b">
        <f t="shared" si="14"/>
        <v>1</v>
      </c>
      <c r="S296" t="s">
        <v>2368</v>
      </c>
      <c r="T296">
        <v>114420</v>
      </c>
    </row>
    <row r="297" spans="1:20" ht="45" x14ac:dyDescent="0.25">
      <c r="A297" s="16" t="s">
        <v>1272</v>
      </c>
      <c r="B297" s="16" t="s">
        <v>2369</v>
      </c>
      <c r="C297" s="16" t="s">
        <v>2370</v>
      </c>
      <c r="D297" s="16" t="s">
        <v>1274</v>
      </c>
      <c r="E297" s="16" t="s">
        <v>2371</v>
      </c>
      <c r="F297" s="16" t="s">
        <v>1276</v>
      </c>
      <c r="G297" s="16" t="s">
        <v>1277</v>
      </c>
      <c r="H297" s="16" t="s">
        <v>1276</v>
      </c>
      <c r="I297" s="16" t="s">
        <v>2372</v>
      </c>
      <c r="J297" s="16" t="s">
        <v>1279</v>
      </c>
      <c r="K297" s="16" t="s">
        <v>1276</v>
      </c>
      <c r="L297" s="16" t="s">
        <v>1280</v>
      </c>
      <c r="M297" s="25" t="str">
        <f t="shared" si="12"/>
        <v>104141</v>
      </c>
      <c r="N297" t="str">
        <f t="shared" si="15"/>
        <v xml:space="preserve"> 30" K360 </v>
      </c>
      <c r="O297" t="b">
        <f t="shared" si="14"/>
        <v>0</v>
      </c>
      <c r="S297" t="s">
        <v>2373</v>
      </c>
      <c r="T297">
        <v>104141</v>
      </c>
    </row>
    <row r="298" spans="1:20" ht="45" x14ac:dyDescent="0.25">
      <c r="A298" s="16" t="s">
        <v>1272</v>
      </c>
      <c r="B298" s="16" t="s">
        <v>2374</v>
      </c>
      <c r="C298" s="16" t="s">
        <v>2375</v>
      </c>
      <c r="D298" s="16" t="s">
        <v>1274</v>
      </c>
      <c r="E298" s="16" t="s">
        <v>2376</v>
      </c>
      <c r="F298" s="16" t="s">
        <v>1276</v>
      </c>
      <c r="G298" s="16" t="s">
        <v>1277</v>
      </c>
      <c r="H298" s="16" t="s">
        <v>1276</v>
      </c>
      <c r="I298" s="16" t="s">
        <v>2377</v>
      </c>
      <c r="J298" s="16" t="s">
        <v>1279</v>
      </c>
      <c r="K298" s="16" t="s">
        <v>1276</v>
      </c>
      <c r="L298" s="16" t="s">
        <v>1280</v>
      </c>
      <c r="M298" s="25" t="str">
        <f t="shared" si="12"/>
        <v>109938</v>
      </c>
      <c r="N298" t="str">
        <f t="shared" si="15"/>
        <v xml:space="preserve"> 30" GMFL2 (HW) </v>
      </c>
      <c r="O298" t="b">
        <f t="shared" si="14"/>
        <v>0</v>
      </c>
      <c r="S298" t="s">
        <v>2378</v>
      </c>
      <c r="T298">
        <v>109938</v>
      </c>
    </row>
    <row r="299" spans="1:20" ht="45" x14ac:dyDescent="0.25">
      <c r="A299" s="16" t="s">
        <v>1272</v>
      </c>
      <c r="B299" s="16" t="s">
        <v>2379</v>
      </c>
      <c r="C299" s="16" t="s">
        <v>2375</v>
      </c>
      <c r="D299" s="16" t="s">
        <v>1274</v>
      </c>
      <c r="E299" s="16" t="s">
        <v>2380</v>
      </c>
      <c r="F299" s="16" t="s">
        <v>1276</v>
      </c>
      <c r="G299" s="16" t="s">
        <v>1277</v>
      </c>
      <c r="H299" s="16" t="s">
        <v>1276</v>
      </c>
      <c r="I299" s="16" t="s">
        <v>2381</v>
      </c>
      <c r="J299" s="16" t="s">
        <v>1279</v>
      </c>
      <c r="K299" s="16" t="s">
        <v>1276</v>
      </c>
      <c r="L299" s="16" t="s">
        <v>1280</v>
      </c>
      <c r="M299" s="25" t="str">
        <f t="shared" si="12"/>
        <v>110486</v>
      </c>
      <c r="N299" t="str">
        <f t="shared" si="15"/>
        <v xml:space="preserve"> 30" GMFL (28-30) (xHD) </v>
      </c>
      <c r="O299" t="b">
        <f t="shared" si="14"/>
        <v>0</v>
      </c>
      <c r="S299" t="s">
        <v>2382</v>
      </c>
      <c r="T299">
        <v>110486</v>
      </c>
    </row>
    <row r="300" spans="1:20" ht="45" x14ac:dyDescent="0.25">
      <c r="A300" s="16" t="s">
        <v>1272</v>
      </c>
      <c r="B300" s="16" t="s">
        <v>2383</v>
      </c>
      <c r="C300" s="16" t="s">
        <v>2384</v>
      </c>
      <c r="D300" s="16" t="s">
        <v>1274</v>
      </c>
      <c r="E300" s="16" t="s">
        <v>2385</v>
      </c>
      <c r="F300" s="16" t="s">
        <v>1276</v>
      </c>
      <c r="G300" s="16" t="s">
        <v>1277</v>
      </c>
      <c r="H300" s="16" t="s">
        <v>1276</v>
      </c>
      <c r="I300" s="16" t="s">
        <v>2386</v>
      </c>
      <c r="J300" s="16" t="s">
        <v>1279</v>
      </c>
      <c r="K300" s="16" t="s">
        <v>1276</v>
      </c>
      <c r="L300" s="16" t="s">
        <v>1280</v>
      </c>
      <c r="M300" s="25" t="str">
        <f t="shared" si="12"/>
        <v>111694</v>
      </c>
      <c r="N300" t="str">
        <f t="shared" si="15"/>
        <v xml:space="preserve"> 30" DEF (26-30) (xHD) </v>
      </c>
      <c r="O300" t="b">
        <f t="shared" si="14"/>
        <v>0</v>
      </c>
      <c r="S300" t="s">
        <v>2387</v>
      </c>
      <c r="T300">
        <v>111694</v>
      </c>
    </row>
    <row r="301" spans="1:20" ht="45" x14ac:dyDescent="0.25">
      <c r="A301" s="16" t="s">
        <v>1272</v>
      </c>
      <c r="B301" s="16" t="s">
        <v>2388</v>
      </c>
      <c r="C301" s="16" t="s">
        <v>2389</v>
      </c>
      <c r="D301" s="16" t="s">
        <v>1274</v>
      </c>
      <c r="E301" s="16" t="s">
        <v>2390</v>
      </c>
      <c r="F301" s="16" t="s">
        <v>1276</v>
      </c>
      <c r="G301" s="16" t="s">
        <v>1277</v>
      </c>
      <c r="H301" s="16" t="s">
        <v>1276</v>
      </c>
      <c r="I301" s="16" t="s">
        <v>2391</v>
      </c>
      <c r="J301" s="16" t="s">
        <v>1279</v>
      </c>
      <c r="K301" s="16" t="s">
        <v>1276</v>
      </c>
      <c r="L301" s="16" t="s">
        <v>1280</v>
      </c>
      <c r="M301" s="25" t="str">
        <f t="shared" si="12"/>
        <v>111782</v>
      </c>
      <c r="N301" t="str">
        <f t="shared" si="15"/>
        <v xml:space="preserve"> 30" GMFL+DEF (xHD) </v>
      </c>
      <c r="O301" t="b">
        <f t="shared" si="14"/>
        <v>0</v>
      </c>
      <c r="S301" t="s">
        <v>2392</v>
      </c>
      <c r="T301">
        <v>111782</v>
      </c>
    </row>
    <row r="302" spans="1:20" ht="45" x14ac:dyDescent="0.25">
      <c r="A302" s="16" t="s">
        <v>1272</v>
      </c>
      <c r="B302" s="16" t="s">
        <v>2393</v>
      </c>
      <c r="C302" s="16" t="s">
        <v>2394</v>
      </c>
      <c r="D302" s="16" t="s">
        <v>1274</v>
      </c>
      <c r="E302" s="16" t="s">
        <v>2395</v>
      </c>
      <c r="F302" s="16" t="s">
        <v>1276</v>
      </c>
      <c r="G302" s="16" t="s">
        <v>1277</v>
      </c>
      <c r="H302" s="16" t="s">
        <v>1276</v>
      </c>
      <c r="I302" s="16" t="s">
        <v>2396</v>
      </c>
      <c r="J302" s="16" t="s">
        <v>1279</v>
      </c>
      <c r="K302" s="16" t="s">
        <v>1276</v>
      </c>
      <c r="L302" s="16" t="s">
        <v>1280</v>
      </c>
      <c r="M302" s="25" t="str">
        <f t="shared" si="12"/>
        <v>113922</v>
      </c>
      <c r="N302" t="str">
        <f t="shared" si="15"/>
        <v xml:space="preserve"> 30" GMFL+DEF+XYZ (xHD) </v>
      </c>
      <c r="O302" t="b">
        <f t="shared" si="14"/>
        <v>1</v>
      </c>
      <c r="S302" t="s">
        <v>2397</v>
      </c>
      <c r="T302">
        <v>113922</v>
      </c>
    </row>
    <row r="303" spans="1:20" ht="45" x14ac:dyDescent="0.25">
      <c r="A303" s="16" t="s">
        <v>1272</v>
      </c>
      <c r="B303" s="16" t="s">
        <v>2398</v>
      </c>
      <c r="C303" s="16" t="s">
        <v>2375</v>
      </c>
      <c r="D303" s="16" t="s">
        <v>1274</v>
      </c>
      <c r="E303" s="16" t="s">
        <v>2399</v>
      </c>
      <c r="F303" s="16" t="s">
        <v>1276</v>
      </c>
      <c r="G303" s="16" t="s">
        <v>1277</v>
      </c>
      <c r="H303" s="16" t="s">
        <v>1276</v>
      </c>
      <c r="I303" s="16" t="s">
        <v>2400</v>
      </c>
      <c r="J303" s="16" t="s">
        <v>1279</v>
      </c>
      <c r="K303" s="16" t="s">
        <v>1276</v>
      </c>
      <c r="L303" s="16" t="s">
        <v>1280</v>
      </c>
      <c r="M303" s="25" t="str">
        <f t="shared" si="12"/>
        <v>114533</v>
      </c>
      <c r="N303" t="str">
        <f t="shared" si="15"/>
        <v xml:space="preserve"> 30" GMFL ATEX </v>
      </c>
      <c r="O303" t="b">
        <f t="shared" si="14"/>
        <v>0</v>
      </c>
      <c r="S303" t="s">
        <v>2401</v>
      </c>
      <c r="T303">
        <v>114533</v>
      </c>
    </row>
    <row r="304" spans="1:20" ht="45" x14ac:dyDescent="0.25">
      <c r="A304" s="16" t="s">
        <v>1272</v>
      </c>
      <c r="B304" s="16" t="s">
        <v>2402</v>
      </c>
      <c r="C304" s="16" t="s">
        <v>2403</v>
      </c>
      <c r="D304" s="16" t="s">
        <v>1274</v>
      </c>
      <c r="E304" s="16" t="s">
        <v>2404</v>
      </c>
      <c r="F304" s="16" t="s">
        <v>1276</v>
      </c>
      <c r="G304" s="16" t="s">
        <v>1277</v>
      </c>
      <c r="H304" s="16" t="s">
        <v>1276</v>
      </c>
      <c r="I304" s="16" t="s">
        <v>2405</v>
      </c>
      <c r="J304" s="16" t="s">
        <v>1279</v>
      </c>
      <c r="K304" s="16" t="s">
        <v>1276</v>
      </c>
      <c r="L304" s="16" t="s">
        <v>1280</v>
      </c>
      <c r="M304" s="25" t="str">
        <f t="shared" si="12"/>
        <v>114596</v>
      </c>
      <c r="N304" t="str">
        <f t="shared" si="15"/>
        <v xml:space="preserve"> 30" DEF+XYZ ATEX </v>
      </c>
      <c r="O304" t="b">
        <f t="shared" si="14"/>
        <v>1</v>
      </c>
      <c r="S304" t="s">
        <v>2406</v>
      </c>
      <c r="T304">
        <v>114596</v>
      </c>
    </row>
    <row r="305" spans="1:20" ht="45" x14ac:dyDescent="0.25">
      <c r="A305" s="16" t="s">
        <v>1272</v>
      </c>
      <c r="B305" s="16" t="s">
        <v>2407</v>
      </c>
      <c r="C305" s="16" t="s">
        <v>2403</v>
      </c>
      <c r="D305" s="16" t="s">
        <v>1274</v>
      </c>
      <c r="E305" s="16" t="s">
        <v>2408</v>
      </c>
      <c r="F305" s="16" t="s">
        <v>1276</v>
      </c>
      <c r="G305" s="16" t="s">
        <v>1277</v>
      </c>
      <c r="H305" s="16" t="s">
        <v>1276</v>
      </c>
      <c r="I305" s="16" t="s">
        <v>2409</v>
      </c>
      <c r="J305" s="16" t="s">
        <v>1279</v>
      </c>
      <c r="K305" s="16" t="s">
        <v>1276</v>
      </c>
      <c r="L305" s="16" t="s">
        <v>1280</v>
      </c>
      <c r="M305" s="25" t="str">
        <f t="shared" si="12"/>
        <v>114682</v>
      </c>
      <c r="N305" t="str">
        <f t="shared" si="15"/>
        <v xml:space="preserve"> 30" DEF+XYZ (xHD) </v>
      </c>
      <c r="O305" t="b">
        <f t="shared" si="14"/>
        <v>1</v>
      </c>
      <c r="S305" t="s">
        <v>2410</v>
      </c>
      <c r="T305">
        <v>114682</v>
      </c>
    </row>
    <row r="306" spans="1:20" ht="45" x14ac:dyDescent="0.25">
      <c r="A306" s="16" t="s">
        <v>1272</v>
      </c>
      <c r="B306" s="16" t="s">
        <v>2411</v>
      </c>
      <c r="C306" s="16" t="s">
        <v>2384</v>
      </c>
      <c r="D306" s="16" t="s">
        <v>1274</v>
      </c>
      <c r="E306" s="16" t="s">
        <v>2412</v>
      </c>
      <c r="F306" s="16" t="s">
        <v>1276</v>
      </c>
      <c r="G306" s="16" t="s">
        <v>1277</v>
      </c>
      <c r="H306" s="16" t="s">
        <v>1276</v>
      </c>
      <c r="I306" s="16" t="s">
        <v>2413</v>
      </c>
      <c r="J306" s="16" t="s">
        <v>1279</v>
      </c>
      <c r="K306" s="16" t="s">
        <v>1276</v>
      </c>
      <c r="L306" s="16" t="s">
        <v>1280</v>
      </c>
      <c r="M306" s="25" t="str">
        <f t="shared" si="12"/>
        <v>115171</v>
      </c>
      <c r="N306" t="str">
        <f t="shared" si="15"/>
        <v xml:space="preserve"> 30" DEF (xHD) (Short) </v>
      </c>
      <c r="O306" t="b">
        <f t="shared" si="14"/>
        <v>0</v>
      </c>
      <c r="S306" t="s">
        <v>2414</v>
      </c>
      <c r="T306">
        <v>115171</v>
      </c>
    </row>
    <row r="307" spans="1:20" ht="45" x14ac:dyDescent="0.25">
      <c r="A307" s="16" t="s">
        <v>1272</v>
      </c>
      <c r="B307" s="16" t="s">
        <v>2415</v>
      </c>
      <c r="C307" s="16" t="s">
        <v>2416</v>
      </c>
      <c r="D307" s="16" t="s">
        <v>1274</v>
      </c>
      <c r="E307" s="16" t="s">
        <v>2417</v>
      </c>
      <c r="F307" s="16" t="s">
        <v>1276</v>
      </c>
      <c r="G307" s="16" t="s">
        <v>1277</v>
      </c>
      <c r="H307" s="16" t="s">
        <v>1276</v>
      </c>
      <c r="I307" s="16" t="s">
        <v>2418</v>
      </c>
      <c r="J307" s="16" t="s">
        <v>1279</v>
      </c>
      <c r="K307" s="16" t="s">
        <v>1276</v>
      </c>
      <c r="L307" s="16" t="s">
        <v>1280</v>
      </c>
      <c r="M307" s="25" t="str">
        <f t="shared" si="12"/>
        <v>115600-01-02-02-01</v>
      </c>
      <c r="N307" t="str">
        <f t="shared" si="15"/>
        <v xml:space="preserve"> 30" MFL+DEF+SpirALL® MFL+LFM+XYZ </v>
      </c>
      <c r="O307" t="b">
        <f t="shared" si="14"/>
        <v>1</v>
      </c>
      <c r="S307" t="s">
        <v>2419</v>
      </c>
      <c r="T307" s="25" t="s">
        <v>1108</v>
      </c>
    </row>
    <row r="308" spans="1:20" ht="45" x14ac:dyDescent="0.25">
      <c r="A308" s="16" t="s">
        <v>1272</v>
      </c>
      <c r="B308" s="16" t="s">
        <v>2420</v>
      </c>
      <c r="C308" s="16" t="s">
        <v>2421</v>
      </c>
      <c r="D308" s="16" t="s">
        <v>1274</v>
      </c>
      <c r="E308" s="16" t="s">
        <v>2422</v>
      </c>
      <c r="F308" s="16" t="s">
        <v>1276</v>
      </c>
      <c r="G308" s="16" t="s">
        <v>1277</v>
      </c>
      <c r="H308" s="16" t="s">
        <v>1276</v>
      </c>
      <c r="I308" s="16" t="s">
        <v>2423</v>
      </c>
      <c r="J308" s="16" t="s">
        <v>1279</v>
      </c>
      <c r="K308" s="16" t="s">
        <v>1276</v>
      </c>
      <c r="L308" s="16" t="s">
        <v>1280</v>
      </c>
      <c r="M308" s="25" t="str">
        <f t="shared" si="12"/>
        <v>115600-01-00-02-01</v>
      </c>
      <c r="N308" t="str">
        <f t="shared" si="15"/>
        <v xml:space="preserve"> 30" MDS FLEX MFL+DEF+LFM+XYZ </v>
      </c>
      <c r="O308" t="b">
        <f t="shared" si="14"/>
        <v>1</v>
      </c>
      <c r="S308" t="s">
        <v>2424</v>
      </c>
      <c r="T308" s="25" t="s">
        <v>1084</v>
      </c>
    </row>
    <row r="309" spans="1:20" ht="45" x14ac:dyDescent="0.25">
      <c r="A309" s="16" t="s">
        <v>1272</v>
      </c>
      <c r="B309" s="16" t="s">
        <v>2425</v>
      </c>
      <c r="C309" s="16" t="s">
        <v>2426</v>
      </c>
      <c r="D309" s="16" t="s">
        <v>1274</v>
      </c>
      <c r="E309" s="16" t="s">
        <v>2427</v>
      </c>
      <c r="F309" s="16" t="s">
        <v>1276</v>
      </c>
      <c r="G309" s="16" t="s">
        <v>1277</v>
      </c>
      <c r="H309" s="16" t="s">
        <v>1276</v>
      </c>
      <c r="I309" s="16" t="s">
        <v>2428</v>
      </c>
      <c r="J309" s="16" t="s">
        <v>1279</v>
      </c>
      <c r="K309" s="16" t="s">
        <v>1276</v>
      </c>
      <c r="L309" s="16" t="s">
        <v>1280</v>
      </c>
      <c r="M309" s="25" t="str">
        <f t="shared" si="12"/>
        <v>115600-01-00-01-01</v>
      </c>
      <c r="N309" t="str">
        <f t="shared" si="15"/>
        <v xml:space="preserve"> 30" MDS FLEX MFL+DEF+LFM </v>
      </c>
      <c r="O309" t="b">
        <f t="shared" si="14"/>
        <v>0</v>
      </c>
      <c r="S309" t="s">
        <v>2429</v>
      </c>
      <c r="T309" s="25" t="s">
        <v>1125</v>
      </c>
    </row>
    <row r="310" spans="1:20" ht="45" x14ac:dyDescent="0.25">
      <c r="A310" s="16" t="s">
        <v>1272</v>
      </c>
      <c r="B310" s="16" t="s">
        <v>2430</v>
      </c>
      <c r="C310" s="16" t="s">
        <v>2431</v>
      </c>
      <c r="D310" s="16" t="s">
        <v>1274</v>
      </c>
      <c r="E310" s="16" t="s">
        <v>2432</v>
      </c>
      <c r="F310" s="16" t="s">
        <v>1276</v>
      </c>
      <c r="G310" s="16" t="s">
        <v>1277</v>
      </c>
      <c r="H310" s="16" t="s">
        <v>1276</v>
      </c>
      <c r="I310" s="16" t="s">
        <v>2433</v>
      </c>
      <c r="J310" s="16" t="s">
        <v>1279</v>
      </c>
      <c r="K310" s="16" t="s">
        <v>1276</v>
      </c>
      <c r="L310" s="16" t="s">
        <v>1280</v>
      </c>
      <c r="M310" s="25" t="str">
        <f t="shared" si="12"/>
        <v>115600-01-02-01-01</v>
      </c>
      <c r="N310" t="str">
        <f t="shared" si="15"/>
        <v xml:space="preserve"> 30" MFL+DEF+LFM+SMFL </v>
      </c>
      <c r="O310" t="b">
        <f t="shared" si="14"/>
        <v>0</v>
      </c>
      <c r="S310" t="s">
        <v>2434</v>
      </c>
      <c r="T310" s="25" t="s">
        <v>1094</v>
      </c>
    </row>
    <row r="311" spans="1:20" ht="45" x14ac:dyDescent="0.25">
      <c r="A311" s="16" t="s">
        <v>1272</v>
      </c>
      <c r="B311" s="16" t="s">
        <v>2435</v>
      </c>
      <c r="C311" s="16" t="s">
        <v>2403</v>
      </c>
      <c r="D311" s="16" t="s">
        <v>1274</v>
      </c>
      <c r="E311" s="16" t="s">
        <v>2436</v>
      </c>
      <c r="F311" s="16" t="s">
        <v>1276</v>
      </c>
      <c r="G311" s="16" t="s">
        <v>1277</v>
      </c>
      <c r="H311" s="16" t="s">
        <v>1276</v>
      </c>
      <c r="I311" s="16" t="s">
        <v>2437</v>
      </c>
      <c r="J311" s="16" t="s">
        <v>1279</v>
      </c>
      <c r="K311" s="16" t="s">
        <v>1276</v>
      </c>
      <c r="L311" s="16" t="s">
        <v>1280</v>
      </c>
      <c r="M311" s="25" t="str">
        <f t="shared" si="12"/>
        <v>124764</v>
      </c>
      <c r="N311" t="str">
        <f t="shared" si="15"/>
        <v xml:space="preserve"> 30" DEF+XYZ (Single Body) </v>
      </c>
      <c r="O311" t="b">
        <f t="shared" si="14"/>
        <v>1</v>
      </c>
      <c r="S311" t="s">
        <v>2438</v>
      </c>
      <c r="T311">
        <v>124764</v>
      </c>
    </row>
    <row r="312" spans="1:20" ht="45" x14ac:dyDescent="0.25">
      <c r="A312" s="16" t="s">
        <v>1272</v>
      </c>
      <c r="B312" s="16" t="s">
        <v>2439</v>
      </c>
      <c r="C312" s="16" t="s">
        <v>2440</v>
      </c>
      <c r="D312" s="16" t="s">
        <v>1274</v>
      </c>
      <c r="E312" s="16" t="s">
        <v>2441</v>
      </c>
      <c r="F312" s="16" t="s">
        <v>1276</v>
      </c>
      <c r="G312" s="16" t="s">
        <v>1277</v>
      </c>
      <c r="H312" s="16" t="s">
        <v>1276</v>
      </c>
      <c r="I312" s="16" t="s">
        <v>2442</v>
      </c>
      <c r="J312" s="16" t="s">
        <v>1279</v>
      </c>
      <c r="K312" s="16" t="s">
        <v>1276</v>
      </c>
      <c r="L312" s="16" t="s">
        <v>1280</v>
      </c>
      <c r="M312" s="25" t="str">
        <f t="shared" si="12"/>
        <v>129310</v>
      </c>
      <c r="N312" t="str">
        <f t="shared" si="15"/>
        <v xml:space="preserve"> 30" MDS FLEX MFL+DEF </v>
      </c>
      <c r="O312" t="b">
        <f t="shared" si="14"/>
        <v>0</v>
      </c>
      <c r="S312" t="s">
        <v>2443</v>
      </c>
      <c r="T312">
        <v>129310</v>
      </c>
    </row>
    <row r="313" spans="1:20" ht="45" x14ac:dyDescent="0.25">
      <c r="A313" s="16" t="s">
        <v>1272</v>
      </c>
      <c r="B313" s="16" t="s">
        <v>2444</v>
      </c>
      <c r="C313" s="16" t="s">
        <v>2445</v>
      </c>
      <c r="D313" s="16" t="s">
        <v>1274</v>
      </c>
      <c r="E313" s="16" t="s">
        <v>2446</v>
      </c>
      <c r="F313" s="16" t="s">
        <v>1276</v>
      </c>
      <c r="G313" s="16" t="s">
        <v>1277</v>
      </c>
      <c r="H313" s="16" t="s">
        <v>1276</v>
      </c>
      <c r="I313" s="16" t="s">
        <v>2447</v>
      </c>
      <c r="J313" s="16" t="s">
        <v>1279</v>
      </c>
      <c r="K313" s="16" t="s">
        <v>1276</v>
      </c>
      <c r="L313" s="16" t="s">
        <v>1280</v>
      </c>
      <c r="M313" s="25" t="str">
        <f t="shared" si="12"/>
        <v>129311</v>
      </c>
      <c r="N313" t="str">
        <f t="shared" si="15"/>
        <v xml:space="preserve"> 30" MDS FLEX MFL+DEF+XYZ </v>
      </c>
      <c r="O313" t="b">
        <f t="shared" si="14"/>
        <v>1</v>
      </c>
      <c r="S313" t="s">
        <v>2448</v>
      </c>
      <c r="T313">
        <v>129311</v>
      </c>
    </row>
    <row r="314" spans="1:20" ht="60" x14ac:dyDescent="0.25">
      <c r="A314" s="16" t="s">
        <v>1272</v>
      </c>
      <c r="B314" s="16" t="s">
        <v>2449</v>
      </c>
      <c r="C314" s="16" t="s">
        <v>2450</v>
      </c>
      <c r="D314" s="16" t="s">
        <v>1274</v>
      </c>
      <c r="E314" s="16" t="s">
        <v>2451</v>
      </c>
      <c r="F314" s="16" t="s">
        <v>1276</v>
      </c>
      <c r="G314" s="16" t="s">
        <v>1277</v>
      </c>
      <c r="H314" s="16" t="s">
        <v>1276</v>
      </c>
      <c r="I314" s="16" t="s">
        <v>2452</v>
      </c>
      <c r="J314" s="16" t="s">
        <v>1279</v>
      </c>
      <c r="K314" s="16" t="s">
        <v>1276</v>
      </c>
      <c r="L314" s="16" t="s">
        <v>1280</v>
      </c>
      <c r="M314" s="25" t="str">
        <f t="shared" si="12"/>
        <v>130197</v>
      </c>
      <c r="N314" t="str">
        <f t="shared" si="15"/>
        <v xml:space="preserve"> 30" DEF+ULTRA RES MFL+LFM+SMFL </v>
      </c>
      <c r="O314" t="b">
        <f t="shared" si="14"/>
        <v>0</v>
      </c>
      <c r="S314" t="s">
        <v>2453</v>
      </c>
      <c r="T314">
        <v>130197</v>
      </c>
    </row>
    <row r="315" spans="1:20" ht="60" x14ac:dyDescent="0.25">
      <c r="A315" s="16" t="s">
        <v>1272</v>
      </c>
      <c r="B315" s="16" t="s">
        <v>2454</v>
      </c>
      <c r="C315" s="16" t="s">
        <v>2455</v>
      </c>
      <c r="D315" s="16" t="s">
        <v>1274</v>
      </c>
      <c r="E315" s="16" t="s">
        <v>2456</v>
      </c>
      <c r="F315" s="16" t="s">
        <v>1276</v>
      </c>
      <c r="G315" s="16" t="s">
        <v>1277</v>
      </c>
      <c r="H315" s="16" t="s">
        <v>1276</v>
      </c>
      <c r="I315" s="16" t="s">
        <v>2457</v>
      </c>
      <c r="J315" s="16" t="s">
        <v>1279</v>
      </c>
      <c r="K315" s="16" t="s">
        <v>1276</v>
      </c>
      <c r="L315" s="16" t="s">
        <v>1280</v>
      </c>
      <c r="M315" s="25" t="str">
        <f t="shared" si="12"/>
        <v>130199</v>
      </c>
      <c r="N315" t="str">
        <f t="shared" si="15"/>
        <v xml:space="preserve"> 30" MDS FLEX DEF+ULTRA RES MFL+LFM </v>
      </c>
      <c r="O315" t="b">
        <f t="shared" si="14"/>
        <v>0</v>
      </c>
      <c r="S315" t="s">
        <v>2458</v>
      </c>
      <c r="T315">
        <v>130199</v>
      </c>
    </row>
    <row r="316" spans="1:20" ht="60" x14ac:dyDescent="0.25">
      <c r="A316" s="16" t="s">
        <v>1272</v>
      </c>
      <c r="B316" s="16" t="s">
        <v>2459</v>
      </c>
      <c r="C316" s="16" t="s">
        <v>2460</v>
      </c>
      <c r="D316" s="16" t="s">
        <v>1274</v>
      </c>
      <c r="E316" s="16" t="s">
        <v>2461</v>
      </c>
      <c r="F316" s="16" t="s">
        <v>1276</v>
      </c>
      <c r="G316" s="16" t="s">
        <v>1277</v>
      </c>
      <c r="H316" s="16" t="s">
        <v>1276</v>
      </c>
      <c r="I316" s="16" t="s">
        <v>2462</v>
      </c>
      <c r="J316" s="16" t="s">
        <v>1279</v>
      </c>
      <c r="K316" s="16" t="s">
        <v>1276</v>
      </c>
      <c r="L316" s="16" t="s">
        <v>1280</v>
      </c>
      <c r="M316" s="25" t="str">
        <f t="shared" si="12"/>
        <v>130196</v>
      </c>
      <c r="N316" t="str">
        <f t="shared" si="15"/>
        <v xml:space="preserve"> 30" DEF+LFM+SpirALL MFL+ULTRA RES MFL+XYZ </v>
      </c>
      <c r="O316" t="b">
        <f t="shared" si="14"/>
        <v>1</v>
      </c>
      <c r="S316" t="s">
        <v>2463</v>
      </c>
      <c r="T316">
        <v>130196</v>
      </c>
    </row>
    <row r="317" spans="1:20" ht="60" x14ac:dyDescent="0.25">
      <c r="A317" s="16" t="s">
        <v>1272</v>
      </c>
      <c r="B317" s="16" t="s">
        <v>2464</v>
      </c>
      <c r="C317" s="16" t="s">
        <v>2465</v>
      </c>
      <c r="D317" s="16" t="s">
        <v>1274</v>
      </c>
      <c r="E317" s="16" t="s">
        <v>2466</v>
      </c>
      <c r="F317" s="16" t="s">
        <v>1276</v>
      </c>
      <c r="G317" s="16" t="s">
        <v>1277</v>
      </c>
      <c r="H317" s="16" t="s">
        <v>1276</v>
      </c>
      <c r="I317" s="16" t="s">
        <v>2467</v>
      </c>
      <c r="J317" s="16" t="s">
        <v>1279</v>
      </c>
      <c r="K317" s="16" t="s">
        <v>1276</v>
      </c>
      <c r="L317" s="16" t="s">
        <v>1280</v>
      </c>
      <c r="M317" s="25" t="str">
        <f t="shared" si="12"/>
        <v>130201</v>
      </c>
      <c r="N317" t="str">
        <f t="shared" si="15"/>
        <v xml:space="preserve"> 30" MDS FLEX DEF+ULTRA RES MFL </v>
      </c>
      <c r="O317" t="b">
        <f t="shared" si="14"/>
        <v>0</v>
      </c>
      <c r="S317" t="s">
        <v>2468</v>
      </c>
      <c r="T317">
        <v>130201</v>
      </c>
    </row>
    <row r="318" spans="1:20" ht="60" x14ac:dyDescent="0.25">
      <c r="A318" s="16" t="s">
        <v>1272</v>
      </c>
      <c r="B318" s="16" t="s">
        <v>2469</v>
      </c>
      <c r="C318" s="16" t="s">
        <v>2470</v>
      </c>
      <c r="D318" s="16" t="s">
        <v>1274</v>
      </c>
      <c r="E318" s="16" t="s">
        <v>2471</v>
      </c>
      <c r="F318" s="16" t="s">
        <v>1276</v>
      </c>
      <c r="G318" s="16" t="s">
        <v>1277</v>
      </c>
      <c r="H318" s="16" t="s">
        <v>1276</v>
      </c>
      <c r="I318" s="16" t="s">
        <v>2472</v>
      </c>
      <c r="J318" s="16" t="s">
        <v>1279</v>
      </c>
      <c r="K318" s="16" t="s">
        <v>1276</v>
      </c>
      <c r="L318" s="16" t="s">
        <v>1280</v>
      </c>
      <c r="M318" s="25" t="str">
        <f t="shared" si="12"/>
        <v>130200</v>
      </c>
      <c r="N318" t="str">
        <f t="shared" si="15"/>
        <v xml:space="preserve"> 30" MDS FLEX DEF+ULTRA RES MFL+XYZ </v>
      </c>
      <c r="O318" t="b">
        <f t="shared" si="14"/>
        <v>1</v>
      </c>
      <c r="S318" t="s">
        <v>2473</v>
      </c>
      <c r="T318">
        <v>130200</v>
      </c>
    </row>
    <row r="319" spans="1:20" ht="45" x14ac:dyDescent="0.25">
      <c r="A319" s="16" t="s">
        <v>1272</v>
      </c>
      <c r="B319" s="16" t="s">
        <v>2474</v>
      </c>
      <c r="C319" s="16" t="s">
        <v>2475</v>
      </c>
      <c r="D319" s="16" t="s">
        <v>1274</v>
      </c>
      <c r="E319" s="16" t="s">
        <v>2476</v>
      </c>
      <c r="F319" s="16" t="s">
        <v>1276</v>
      </c>
      <c r="G319" s="16" t="s">
        <v>1277</v>
      </c>
      <c r="H319" s="16" t="s">
        <v>1276</v>
      </c>
      <c r="I319" s="16" t="s">
        <v>2477</v>
      </c>
      <c r="J319" s="16" t="s">
        <v>1279</v>
      </c>
      <c r="K319" s="16" t="s">
        <v>1276</v>
      </c>
      <c r="L319" s="16" t="s">
        <v>1280</v>
      </c>
      <c r="M319" s="25" t="str">
        <f t="shared" si="12"/>
        <v>113606</v>
      </c>
      <c r="N319" t="str">
        <f t="shared" si="15"/>
        <v xml:space="preserve"> 32" DEF ATEX </v>
      </c>
      <c r="O319" t="b">
        <f t="shared" si="14"/>
        <v>0</v>
      </c>
      <c r="S319" t="s">
        <v>2478</v>
      </c>
      <c r="T319">
        <v>113606</v>
      </c>
    </row>
    <row r="320" spans="1:20" ht="45" x14ac:dyDescent="0.25">
      <c r="A320" s="16" t="s">
        <v>1272</v>
      </c>
      <c r="B320" s="16" t="s">
        <v>2479</v>
      </c>
      <c r="C320" s="16" t="s">
        <v>2480</v>
      </c>
      <c r="D320" s="16" t="s">
        <v>1274</v>
      </c>
      <c r="E320" s="16" t="s">
        <v>2481</v>
      </c>
      <c r="F320" s="16" t="s">
        <v>1276</v>
      </c>
      <c r="G320" s="16" t="s">
        <v>1277</v>
      </c>
      <c r="H320" s="16" t="s">
        <v>1276</v>
      </c>
      <c r="I320" s="16" t="s">
        <v>2482</v>
      </c>
      <c r="J320" s="16" t="s">
        <v>1279</v>
      </c>
      <c r="K320" s="16" t="s">
        <v>1276</v>
      </c>
      <c r="L320" s="16" t="s">
        <v>1280</v>
      </c>
      <c r="M320" s="25" t="str">
        <f t="shared" si="12"/>
        <v>113946</v>
      </c>
      <c r="N320" t="str">
        <f t="shared" si="15"/>
        <v xml:space="preserve"> 32" DEF+XYZ ATEX </v>
      </c>
      <c r="O320" t="b">
        <f t="shared" si="14"/>
        <v>1</v>
      </c>
      <c r="S320" t="s">
        <v>2483</v>
      </c>
      <c r="T320">
        <v>113946</v>
      </c>
    </row>
    <row r="321" spans="1:20" ht="45" x14ac:dyDescent="0.25">
      <c r="A321" s="16" t="s">
        <v>1272</v>
      </c>
      <c r="B321" s="16" t="s">
        <v>2484</v>
      </c>
      <c r="C321" s="16" t="s">
        <v>2485</v>
      </c>
      <c r="D321" s="16" t="s">
        <v>1274</v>
      </c>
      <c r="E321" s="16" t="s">
        <v>2486</v>
      </c>
      <c r="F321" s="16" t="s">
        <v>1276</v>
      </c>
      <c r="G321" s="16" t="s">
        <v>1277</v>
      </c>
      <c r="H321" s="16" t="s">
        <v>1276</v>
      </c>
      <c r="I321" s="16" t="s">
        <v>2487</v>
      </c>
      <c r="J321" s="16" t="s">
        <v>1279</v>
      </c>
      <c r="K321" s="16" t="s">
        <v>1276</v>
      </c>
      <c r="L321" s="16" t="s">
        <v>1280</v>
      </c>
      <c r="M321" s="25" t="str">
        <f t="shared" si="12"/>
        <v>114409</v>
      </c>
      <c r="N321" t="str">
        <f t="shared" si="15"/>
        <v xml:space="preserve"> 32" GMFL+DEF+XYZ (xHD) </v>
      </c>
      <c r="O321" t="b">
        <f t="shared" si="14"/>
        <v>1</v>
      </c>
      <c r="S321" t="s">
        <v>2488</v>
      </c>
      <c r="T321">
        <v>114409</v>
      </c>
    </row>
    <row r="322" spans="1:20" ht="45" x14ac:dyDescent="0.25">
      <c r="A322" s="16" t="s">
        <v>1272</v>
      </c>
      <c r="B322" s="16" t="s">
        <v>2489</v>
      </c>
      <c r="C322" s="16" t="s">
        <v>2480</v>
      </c>
      <c r="D322" s="16" t="s">
        <v>1274</v>
      </c>
      <c r="E322" s="16" t="s">
        <v>2490</v>
      </c>
      <c r="F322" s="16" t="s">
        <v>1276</v>
      </c>
      <c r="G322" s="16" t="s">
        <v>1277</v>
      </c>
      <c r="H322" s="16" t="s">
        <v>1276</v>
      </c>
      <c r="I322" s="16" t="s">
        <v>2491</v>
      </c>
      <c r="J322" s="16" t="s">
        <v>1279</v>
      </c>
      <c r="K322" s="16" t="s">
        <v>1276</v>
      </c>
      <c r="L322" s="16" t="s">
        <v>1280</v>
      </c>
      <c r="M322" s="25" t="str">
        <f t="shared" si="12"/>
        <v>114724</v>
      </c>
      <c r="N322" t="str">
        <f t="shared" si="15"/>
        <v xml:space="preserve"> 32" DEF+XYZ (xHD) </v>
      </c>
      <c r="O322" t="b">
        <f t="shared" si="14"/>
        <v>1</v>
      </c>
      <c r="S322" t="s">
        <v>2492</v>
      </c>
      <c r="T322">
        <v>114724</v>
      </c>
    </row>
    <row r="323" spans="1:20" ht="45" x14ac:dyDescent="0.25">
      <c r="A323" s="16" t="s">
        <v>1272</v>
      </c>
      <c r="B323" s="16" t="s">
        <v>2493</v>
      </c>
      <c r="C323" s="16" t="s">
        <v>2475</v>
      </c>
      <c r="D323" s="16" t="s">
        <v>1274</v>
      </c>
      <c r="E323" s="16" t="s">
        <v>2494</v>
      </c>
      <c r="F323" s="16" t="s">
        <v>1276</v>
      </c>
      <c r="G323" s="16" t="s">
        <v>1277</v>
      </c>
      <c r="H323" s="16" t="s">
        <v>1276</v>
      </c>
      <c r="I323" s="16" t="s">
        <v>2495</v>
      </c>
      <c r="J323" s="16" t="s">
        <v>1279</v>
      </c>
      <c r="K323" s="16" t="s">
        <v>1276</v>
      </c>
      <c r="L323" s="16" t="s">
        <v>1280</v>
      </c>
      <c r="M323" s="25" t="str">
        <f t="shared" si="12"/>
        <v>115475</v>
      </c>
      <c r="N323" t="str">
        <f t="shared" si="15"/>
        <v xml:space="preserve"> 32" DEF (xHD) </v>
      </c>
      <c r="O323" t="b">
        <f t="shared" si="14"/>
        <v>0</v>
      </c>
      <c r="S323" t="s">
        <v>2496</v>
      </c>
      <c r="T323">
        <v>115475</v>
      </c>
    </row>
    <row r="324" spans="1:20" ht="45" x14ac:dyDescent="0.25">
      <c r="A324" s="16" t="s">
        <v>1272</v>
      </c>
      <c r="B324" s="16" t="s">
        <v>2497</v>
      </c>
      <c r="C324" s="16" t="s">
        <v>2498</v>
      </c>
      <c r="D324" s="16" t="s">
        <v>1274</v>
      </c>
      <c r="E324" s="16" t="s">
        <v>2499</v>
      </c>
      <c r="F324" s="16" t="s">
        <v>1276</v>
      </c>
      <c r="G324" s="16" t="s">
        <v>1277</v>
      </c>
      <c r="H324" s="16" t="s">
        <v>1276</v>
      </c>
      <c r="I324" s="16" t="s">
        <v>2500</v>
      </c>
      <c r="J324" s="16" t="s">
        <v>1279</v>
      </c>
      <c r="K324" s="16" t="s">
        <v>1276</v>
      </c>
      <c r="L324" s="16" t="s">
        <v>1280</v>
      </c>
      <c r="M324" s="25" t="str">
        <f t="shared" si="12"/>
        <v>102446</v>
      </c>
      <c r="N324" t="str">
        <f t="shared" si="15"/>
        <v xml:space="preserve"> 32" K360 </v>
      </c>
      <c r="O324" t="b">
        <f t="shared" si="14"/>
        <v>0</v>
      </c>
      <c r="S324" t="s">
        <v>2501</v>
      </c>
      <c r="T324">
        <v>102446</v>
      </c>
    </row>
    <row r="325" spans="1:20" ht="45" x14ac:dyDescent="0.25">
      <c r="A325" s="16" t="s">
        <v>1272</v>
      </c>
      <c r="B325" s="16" t="s">
        <v>2502</v>
      </c>
      <c r="C325" s="16" t="s">
        <v>2503</v>
      </c>
      <c r="D325" s="16" t="s">
        <v>1274</v>
      </c>
      <c r="E325" s="16" t="s">
        <v>2504</v>
      </c>
      <c r="F325" s="16" t="s">
        <v>1276</v>
      </c>
      <c r="G325" s="16" t="s">
        <v>1277</v>
      </c>
      <c r="H325" s="16" t="s">
        <v>1276</v>
      </c>
      <c r="I325" s="16" t="s">
        <v>2505</v>
      </c>
      <c r="J325" s="16" t="s">
        <v>1279</v>
      </c>
      <c r="K325" s="16" t="s">
        <v>1276</v>
      </c>
      <c r="L325" s="16" t="s">
        <v>1280</v>
      </c>
      <c r="M325" s="25" t="str">
        <f t="shared" si="12"/>
        <v>114382</v>
      </c>
      <c r="N325" t="str">
        <f t="shared" si="15"/>
        <v xml:space="preserve"> 34" GMFL+DEF+XYZ (xHD) </v>
      </c>
      <c r="O325" t="b">
        <f t="shared" si="14"/>
        <v>1</v>
      </c>
      <c r="S325" t="s">
        <v>2506</v>
      </c>
      <c r="T325">
        <v>114382</v>
      </c>
    </row>
    <row r="326" spans="1:20" ht="45" x14ac:dyDescent="0.25">
      <c r="A326" s="16" t="s">
        <v>1272</v>
      </c>
      <c r="B326" s="16" t="s">
        <v>2507</v>
      </c>
      <c r="C326" s="16" t="s">
        <v>2508</v>
      </c>
      <c r="D326" s="16" t="s">
        <v>1274</v>
      </c>
      <c r="E326" s="16" t="s">
        <v>2509</v>
      </c>
      <c r="F326" s="16" t="s">
        <v>1276</v>
      </c>
      <c r="G326" s="16" t="s">
        <v>1277</v>
      </c>
      <c r="H326" s="16" t="s">
        <v>1276</v>
      </c>
      <c r="I326" s="16" t="s">
        <v>2510</v>
      </c>
      <c r="J326" s="16" t="s">
        <v>1279</v>
      </c>
      <c r="K326" s="16" t="s">
        <v>1276</v>
      </c>
      <c r="L326" s="16" t="s">
        <v>1280</v>
      </c>
      <c r="M326" s="25" t="str">
        <f t="shared" si="12"/>
        <v>114683</v>
      </c>
      <c r="N326" t="str">
        <f t="shared" si="15"/>
        <v xml:space="preserve"> 34" DEF+XYZ (xHD) </v>
      </c>
      <c r="O326" t="b">
        <f t="shared" si="14"/>
        <v>1</v>
      </c>
      <c r="S326" t="s">
        <v>2511</v>
      </c>
      <c r="T326">
        <v>114683</v>
      </c>
    </row>
    <row r="327" spans="1:20" ht="45" x14ac:dyDescent="0.25">
      <c r="A327" s="16" t="s">
        <v>1272</v>
      </c>
      <c r="B327" s="16" t="s">
        <v>2512</v>
      </c>
      <c r="C327" s="16" t="s">
        <v>2513</v>
      </c>
      <c r="D327" s="16" t="s">
        <v>1274</v>
      </c>
      <c r="E327" s="16" t="s">
        <v>2514</v>
      </c>
      <c r="F327" s="16" t="s">
        <v>1276</v>
      </c>
      <c r="G327" s="16" t="s">
        <v>1277</v>
      </c>
      <c r="H327" s="16" t="s">
        <v>1276</v>
      </c>
      <c r="I327" s="16" t="s">
        <v>2515</v>
      </c>
      <c r="J327" s="16" t="s">
        <v>1279</v>
      </c>
      <c r="K327" s="16" t="s">
        <v>1276</v>
      </c>
      <c r="L327" s="16" t="s">
        <v>1280</v>
      </c>
      <c r="M327" s="25" t="str">
        <f t="shared" ref="M327:M354" si="16">_xlfn.TEXTBEFORE(B327, ",")</f>
        <v>120839</v>
      </c>
      <c r="N327" t="str">
        <f t="shared" ref="N327:N354" si="17">_xlfn.TEXTAFTER(B327, ",")</f>
        <v xml:space="preserve"> 34" DEF (xHD) </v>
      </c>
      <c r="O327" t="b">
        <f t="shared" ref="O327:O357" si="18">ISNUMBER(SEARCH("xyz", B327))</f>
        <v>0</v>
      </c>
      <c r="S327" t="s">
        <v>2516</v>
      </c>
      <c r="T327">
        <v>120839</v>
      </c>
    </row>
    <row r="328" spans="1:20" ht="45" x14ac:dyDescent="0.25">
      <c r="A328" s="16" t="s">
        <v>1272</v>
      </c>
      <c r="B328" s="16" t="s">
        <v>2517</v>
      </c>
      <c r="C328" s="16" t="s">
        <v>2518</v>
      </c>
      <c r="D328" s="16" t="s">
        <v>1274</v>
      </c>
      <c r="E328" s="16" t="s">
        <v>2519</v>
      </c>
      <c r="F328" s="16" t="s">
        <v>1276</v>
      </c>
      <c r="G328" s="16" t="s">
        <v>1277</v>
      </c>
      <c r="H328" s="16" t="s">
        <v>1276</v>
      </c>
      <c r="I328" s="16" t="s">
        <v>2520</v>
      </c>
      <c r="J328" s="16" t="s">
        <v>1279</v>
      </c>
      <c r="K328" s="16" t="s">
        <v>1276</v>
      </c>
      <c r="L328" s="16" t="s">
        <v>1280</v>
      </c>
      <c r="M328" s="25" t="str">
        <f t="shared" si="16"/>
        <v>104143</v>
      </c>
      <c r="N328" t="str">
        <f t="shared" si="17"/>
        <v xml:space="preserve"> 36" K360 (32-38) </v>
      </c>
      <c r="O328" t="b">
        <f t="shared" si="18"/>
        <v>0</v>
      </c>
      <c r="S328" t="s">
        <v>2521</v>
      </c>
      <c r="T328">
        <v>104143</v>
      </c>
    </row>
    <row r="329" spans="1:20" ht="45" x14ac:dyDescent="0.25">
      <c r="A329" s="16" t="s">
        <v>1272</v>
      </c>
      <c r="B329" s="16" t="s">
        <v>2522</v>
      </c>
      <c r="C329" s="16" t="s">
        <v>2523</v>
      </c>
      <c r="D329" s="16" t="s">
        <v>1274</v>
      </c>
      <c r="E329" s="16" t="s">
        <v>2524</v>
      </c>
      <c r="F329" s="16" t="s">
        <v>1276</v>
      </c>
      <c r="G329" s="16" t="s">
        <v>1277</v>
      </c>
      <c r="H329" s="16" t="s">
        <v>1276</v>
      </c>
      <c r="I329" s="16" t="s">
        <v>2525</v>
      </c>
      <c r="J329" s="16" t="s">
        <v>1279</v>
      </c>
      <c r="K329" s="16" t="s">
        <v>1276</v>
      </c>
      <c r="L329" s="16" t="s">
        <v>1280</v>
      </c>
      <c r="M329" s="25" t="str">
        <f t="shared" si="16"/>
        <v>107400</v>
      </c>
      <c r="N329" t="str">
        <f t="shared" si="17"/>
        <v xml:space="preserve"> 48x36" DEF+XYZ DUAL DIAMETER </v>
      </c>
      <c r="O329" t="b">
        <f t="shared" si="18"/>
        <v>1</v>
      </c>
      <c r="S329" t="s">
        <v>2526</v>
      </c>
      <c r="T329">
        <v>107400</v>
      </c>
    </row>
    <row r="330" spans="1:20" ht="45" x14ac:dyDescent="0.25">
      <c r="A330" s="16" t="s">
        <v>1272</v>
      </c>
      <c r="B330" s="16" t="s">
        <v>2527</v>
      </c>
      <c r="C330" s="16" t="s">
        <v>2528</v>
      </c>
      <c r="D330" s="16" t="s">
        <v>1274</v>
      </c>
      <c r="E330" s="16" t="s">
        <v>2529</v>
      </c>
      <c r="F330" s="16" t="s">
        <v>1276</v>
      </c>
      <c r="G330" s="16" t="s">
        <v>1277</v>
      </c>
      <c r="H330" s="16" t="s">
        <v>1276</v>
      </c>
      <c r="I330" s="16" t="s">
        <v>2530</v>
      </c>
      <c r="J330" s="16" t="s">
        <v>1279</v>
      </c>
      <c r="K330" s="16" t="s">
        <v>1276</v>
      </c>
      <c r="L330" s="16" t="s">
        <v>1280</v>
      </c>
      <c r="M330" s="25" t="str">
        <f t="shared" si="16"/>
        <v>110067</v>
      </c>
      <c r="N330" t="str">
        <f t="shared" si="17"/>
        <v xml:space="preserve"> 36" DEF (Short) </v>
      </c>
      <c r="O330" t="b">
        <f t="shared" si="18"/>
        <v>0</v>
      </c>
      <c r="S330" t="s">
        <v>2531</v>
      </c>
      <c r="T330">
        <v>110067</v>
      </c>
    </row>
    <row r="331" spans="1:20" ht="45" x14ac:dyDescent="0.25">
      <c r="A331" s="16" t="s">
        <v>1272</v>
      </c>
      <c r="B331" s="16" t="s">
        <v>2532</v>
      </c>
      <c r="C331" s="16" t="s">
        <v>2533</v>
      </c>
      <c r="D331" s="16" t="s">
        <v>1274</v>
      </c>
      <c r="E331" s="16" t="s">
        <v>2534</v>
      </c>
      <c r="F331" s="16" t="s">
        <v>1276</v>
      </c>
      <c r="G331" s="16" t="s">
        <v>1277</v>
      </c>
      <c r="H331" s="16" t="s">
        <v>1276</v>
      </c>
      <c r="I331" s="16" t="s">
        <v>2535</v>
      </c>
      <c r="J331" s="16" t="s">
        <v>1279</v>
      </c>
      <c r="K331" s="16" t="s">
        <v>1276</v>
      </c>
      <c r="L331" s="16" t="s">
        <v>1280</v>
      </c>
      <c r="M331" s="25" t="str">
        <f t="shared" si="16"/>
        <v>110533</v>
      </c>
      <c r="N331" t="str">
        <f t="shared" si="17"/>
        <v xml:space="preserve"> 36" GMFL (xHD) </v>
      </c>
      <c r="O331" t="b">
        <f t="shared" si="18"/>
        <v>0</v>
      </c>
      <c r="S331" t="s">
        <v>2536</v>
      </c>
      <c r="T331">
        <v>110533</v>
      </c>
    </row>
    <row r="332" spans="1:20" ht="45" x14ac:dyDescent="0.25">
      <c r="A332" s="16" t="s">
        <v>1272</v>
      </c>
      <c r="B332" s="16" t="s">
        <v>2537</v>
      </c>
      <c r="C332" s="16" t="s">
        <v>2533</v>
      </c>
      <c r="D332" s="16" t="s">
        <v>1274</v>
      </c>
      <c r="E332" s="16" t="s">
        <v>2538</v>
      </c>
      <c r="F332" s="16" t="s">
        <v>1276</v>
      </c>
      <c r="G332" s="16" t="s">
        <v>1277</v>
      </c>
      <c r="H332" s="16" t="s">
        <v>1276</v>
      </c>
      <c r="I332" s="16" t="s">
        <v>2539</v>
      </c>
      <c r="J332" s="16" t="s">
        <v>1279</v>
      </c>
      <c r="K332" s="16" t="s">
        <v>1276</v>
      </c>
      <c r="L332" s="16" t="s">
        <v>1280</v>
      </c>
      <c r="M332" s="25" t="str">
        <f t="shared" si="16"/>
        <v>111601</v>
      </c>
      <c r="N332" t="str">
        <f t="shared" si="17"/>
        <v xml:space="preserve"> 36" GMFL (32-36) ATEX </v>
      </c>
      <c r="O332" t="b">
        <f t="shared" si="18"/>
        <v>0</v>
      </c>
      <c r="S332" t="s">
        <v>2540</v>
      </c>
      <c r="T332">
        <v>111601</v>
      </c>
    </row>
    <row r="333" spans="1:20" ht="45" x14ac:dyDescent="0.25">
      <c r="A333" s="16" t="s">
        <v>1272</v>
      </c>
      <c r="B333" s="16" t="s">
        <v>2541</v>
      </c>
      <c r="C333" s="16" t="s">
        <v>2542</v>
      </c>
      <c r="D333" s="16" t="s">
        <v>1274</v>
      </c>
      <c r="E333" s="16" t="s">
        <v>2543</v>
      </c>
      <c r="F333" s="16" t="s">
        <v>1276</v>
      </c>
      <c r="G333" s="16" t="s">
        <v>1277</v>
      </c>
      <c r="H333" s="16" t="s">
        <v>1276</v>
      </c>
      <c r="I333" s="16" t="s">
        <v>2544</v>
      </c>
      <c r="J333" s="16" t="s">
        <v>1279</v>
      </c>
      <c r="K333" s="16" t="s">
        <v>1276</v>
      </c>
      <c r="L333" s="16" t="s">
        <v>1280</v>
      </c>
      <c r="M333" s="25" t="str">
        <f t="shared" si="16"/>
        <v>112573</v>
      </c>
      <c r="N333" t="str">
        <f t="shared" si="17"/>
        <v xml:space="preserve"> 36" GMFL+DEF (xHD) </v>
      </c>
      <c r="O333" t="b">
        <f t="shared" si="18"/>
        <v>0</v>
      </c>
      <c r="S333" t="s">
        <v>2545</v>
      </c>
      <c r="T333">
        <v>112573</v>
      </c>
    </row>
    <row r="334" spans="1:20" ht="45" x14ac:dyDescent="0.25">
      <c r="A334" s="16" t="s">
        <v>1272</v>
      </c>
      <c r="B334" s="16" t="s">
        <v>2546</v>
      </c>
      <c r="C334" s="16" t="s">
        <v>2528</v>
      </c>
      <c r="D334" s="16" t="s">
        <v>1274</v>
      </c>
      <c r="E334" s="16" t="s">
        <v>2547</v>
      </c>
      <c r="F334" s="16" t="s">
        <v>1276</v>
      </c>
      <c r="G334" s="16" t="s">
        <v>1277</v>
      </c>
      <c r="H334" s="16" t="s">
        <v>1276</v>
      </c>
      <c r="I334" s="16" t="s">
        <v>2548</v>
      </c>
      <c r="J334" s="16" t="s">
        <v>1279</v>
      </c>
      <c r="K334" s="16" t="s">
        <v>1276</v>
      </c>
      <c r="L334" s="16" t="s">
        <v>1280</v>
      </c>
      <c r="M334" s="25" t="str">
        <f t="shared" si="16"/>
        <v>112574</v>
      </c>
      <c r="N334" t="str">
        <f t="shared" si="17"/>
        <v xml:space="preserve"> 36" DEF (xHD) </v>
      </c>
      <c r="O334" t="b">
        <f t="shared" si="18"/>
        <v>0</v>
      </c>
      <c r="S334" t="s">
        <v>2549</v>
      </c>
      <c r="T334">
        <v>112574</v>
      </c>
    </row>
    <row r="335" spans="1:20" ht="45" x14ac:dyDescent="0.25">
      <c r="A335" s="16" t="s">
        <v>1272</v>
      </c>
      <c r="B335" s="16" t="s">
        <v>2550</v>
      </c>
      <c r="C335" s="16" t="s">
        <v>2551</v>
      </c>
      <c r="D335" s="16" t="s">
        <v>1274</v>
      </c>
      <c r="E335" s="16" t="s">
        <v>2552</v>
      </c>
      <c r="F335" s="16" t="s">
        <v>1276</v>
      </c>
      <c r="G335" s="16" t="s">
        <v>1277</v>
      </c>
      <c r="H335" s="16" t="s">
        <v>1276</v>
      </c>
      <c r="I335" s="16" t="s">
        <v>2553</v>
      </c>
      <c r="J335" s="16" t="s">
        <v>1279</v>
      </c>
      <c r="K335" s="16" t="s">
        <v>1276</v>
      </c>
      <c r="L335" s="16" t="s">
        <v>1280</v>
      </c>
      <c r="M335" s="25" t="str">
        <f t="shared" si="16"/>
        <v>113592</v>
      </c>
      <c r="N335" t="str">
        <f t="shared" si="17"/>
        <v xml:space="preserve"> 36" DEF+XYZ (xHD) </v>
      </c>
      <c r="O335" t="b">
        <f t="shared" si="18"/>
        <v>1</v>
      </c>
      <c r="S335" t="s">
        <v>2554</v>
      </c>
      <c r="T335">
        <v>113592</v>
      </c>
    </row>
    <row r="336" spans="1:20" ht="45" x14ac:dyDescent="0.25">
      <c r="A336" s="16" t="s">
        <v>1272</v>
      </c>
      <c r="B336" s="16" t="s">
        <v>2555</v>
      </c>
      <c r="C336" s="16" t="s">
        <v>2528</v>
      </c>
      <c r="D336" s="16" t="s">
        <v>1274</v>
      </c>
      <c r="E336" s="16" t="s">
        <v>2556</v>
      </c>
      <c r="F336" s="16" t="s">
        <v>1276</v>
      </c>
      <c r="G336" s="16" t="s">
        <v>1277</v>
      </c>
      <c r="H336" s="16" t="s">
        <v>1276</v>
      </c>
      <c r="I336" s="16" t="s">
        <v>2557</v>
      </c>
      <c r="J336" s="16" t="s">
        <v>1279</v>
      </c>
      <c r="K336" s="16" t="s">
        <v>1276</v>
      </c>
      <c r="L336" s="16" t="s">
        <v>1280</v>
      </c>
      <c r="M336" s="25" t="str">
        <f t="shared" si="16"/>
        <v>113945</v>
      </c>
      <c r="N336" t="str">
        <f t="shared" si="17"/>
        <v xml:space="preserve"> 36" DEF ATEX </v>
      </c>
      <c r="O336" t="b">
        <f t="shared" si="18"/>
        <v>0</v>
      </c>
      <c r="S336" t="s">
        <v>2558</v>
      </c>
      <c r="T336">
        <v>113945</v>
      </c>
    </row>
    <row r="337" spans="1:20" ht="45" x14ac:dyDescent="0.25">
      <c r="A337" s="16" t="s">
        <v>1272</v>
      </c>
      <c r="B337" s="16" t="s">
        <v>2559</v>
      </c>
      <c r="C337" s="16" t="s">
        <v>2560</v>
      </c>
      <c r="D337" s="16" t="s">
        <v>1274</v>
      </c>
      <c r="E337" s="16" t="s">
        <v>2561</v>
      </c>
      <c r="F337" s="16" t="s">
        <v>1276</v>
      </c>
      <c r="G337" s="16" t="s">
        <v>1277</v>
      </c>
      <c r="H337" s="16" t="s">
        <v>1276</v>
      </c>
      <c r="I337" s="16" t="s">
        <v>2562</v>
      </c>
      <c r="J337" s="16" t="s">
        <v>1279</v>
      </c>
      <c r="K337" s="16" t="s">
        <v>1276</v>
      </c>
      <c r="L337" s="16" t="s">
        <v>1280</v>
      </c>
      <c r="M337" s="25" t="str">
        <f t="shared" si="16"/>
        <v>114349</v>
      </c>
      <c r="N337" t="str">
        <f t="shared" si="17"/>
        <v xml:space="preserve"> 36" GMFL+DEF+XYZ (xHD) </v>
      </c>
      <c r="O337" t="b">
        <f t="shared" si="18"/>
        <v>1</v>
      </c>
      <c r="S337" t="s">
        <v>2563</v>
      </c>
      <c r="T337">
        <v>114349</v>
      </c>
    </row>
    <row r="338" spans="1:20" ht="45" x14ac:dyDescent="0.25">
      <c r="A338" s="16" t="s">
        <v>1272</v>
      </c>
      <c r="B338" s="16" t="s">
        <v>2564</v>
      </c>
      <c r="C338" s="16" t="s">
        <v>2551</v>
      </c>
      <c r="D338" s="16" t="s">
        <v>1274</v>
      </c>
      <c r="E338" s="16" t="s">
        <v>2565</v>
      </c>
      <c r="F338" s="16" t="s">
        <v>1276</v>
      </c>
      <c r="G338" s="16" t="s">
        <v>1277</v>
      </c>
      <c r="H338" s="16" t="s">
        <v>1276</v>
      </c>
      <c r="I338" s="16" t="s">
        <v>2566</v>
      </c>
      <c r="J338" s="16" t="s">
        <v>1279</v>
      </c>
      <c r="K338" s="16" t="s">
        <v>1276</v>
      </c>
      <c r="L338" s="16" t="s">
        <v>1280</v>
      </c>
      <c r="M338" s="25" t="str">
        <f t="shared" si="16"/>
        <v>114364</v>
      </c>
      <c r="N338" t="str">
        <f t="shared" si="17"/>
        <v xml:space="preserve"> 36" DEF+XYZ ATEX </v>
      </c>
      <c r="O338" t="b">
        <f t="shared" si="18"/>
        <v>1</v>
      </c>
      <c r="S338" t="s">
        <v>2567</v>
      </c>
      <c r="T338">
        <v>114364</v>
      </c>
    </row>
    <row r="339" spans="1:20" ht="45" x14ac:dyDescent="0.25">
      <c r="A339" s="16" t="s">
        <v>1272</v>
      </c>
      <c r="B339" s="16" t="s">
        <v>2568</v>
      </c>
      <c r="C339" s="16" t="s">
        <v>2551</v>
      </c>
      <c r="D339" s="16" t="s">
        <v>1274</v>
      </c>
      <c r="E339" s="16" t="s">
        <v>2569</v>
      </c>
      <c r="F339" s="16" t="s">
        <v>1276</v>
      </c>
      <c r="G339" s="16" t="s">
        <v>1277</v>
      </c>
      <c r="H339" s="16" t="s">
        <v>1276</v>
      </c>
      <c r="I339" s="16" t="s">
        <v>2570</v>
      </c>
      <c r="J339" s="16" t="s">
        <v>1279</v>
      </c>
      <c r="K339" s="16" t="s">
        <v>1276</v>
      </c>
      <c r="L339" s="16" t="s">
        <v>1280</v>
      </c>
      <c r="M339" s="25" t="str">
        <f t="shared" si="16"/>
        <v>126101</v>
      </c>
      <c r="N339" t="str">
        <f t="shared" si="17"/>
        <v xml:space="preserve"> 36" DEF+XYZ (Single Body) </v>
      </c>
      <c r="O339" t="b">
        <f t="shared" si="18"/>
        <v>1</v>
      </c>
      <c r="S339" t="s">
        <v>2571</v>
      </c>
      <c r="T339">
        <v>126101</v>
      </c>
    </row>
    <row r="340" spans="1:20" ht="45" x14ac:dyDescent="0.25">
      <c r="A340" s="16" t="s">
        <v>1272</v>
      </c>
      <c r="B340" s="16" t="s">
        <v>2572</v>
      </c>
      <c r="C340" s="16" t="s">
        <v>2573</v>
      </c>
      <c r="D340" s="16" t="s">
        <v>1274</v>
      </c>
      <c r="E340" s="16" t="s">
        <v>2574</v>
      </c>
      <c r="F340" s="16" t="s">
        <v>1276</v>
      </c>
      <c r="G340" s="16" t="s">
        <v>1277</v>
      </c>
      <c r="H340" s="16" t="s">
        <v>1276</v>
      </c>
      <c r="I340" s="16" t="s">
        <v>2575</v>
      </c>
      <c r="J340" s="16" t="s">
        <v>1279</v>
      </c>
      <c r="K340" s="16" t="s">
        <v>1276</v>
      </c>
      <c r="L340" s="16" t="s">
        <v>1280</v>
      </c>
      <c r="M340" s="25" t="str">
        <f t="shared" si="16"/>
        <v>101600</v>
      </c>
      <c r="N340" t="str">
        <f t="shared" si="17"/>
        <v xml:space="preserve"> 42" K360 (40-48) </v>
      </c>
      <c r="O340" t="b">
        <f t="shared" si="18"/>
        <v>0</v>
      </c>
      <c r="S340" t="s">
        <v>2576</v>
      </c>
      <c r="T340">
        <v>101600</v>
      </c>
    </row>
    <row r="341" spans="1:20" ht="45" x14ac:dyDescent="0.25">
      <c r="A341" s="16" t="s">
        <v>1272</v>
      </c>
      <c r="B341" s="16" t="s">
        <v>2577</v>
      </c>
      <c r="C341" s="16" t="s">
        <v>2578</v>
      </c>
      <c r="D341" s="16" t="s">
        <v>1274</v>
      </c>
      <c r="E341" s="16" t="s">
        <v>2579</v>
      </c>
      <c r="F341" s="16" t="s">
        <v>1276</v>
      </c>
      <c r="G341" s="16" t="s">
        <v>1277</v>
      </c>
      <c r="H341" s="16" t="s">
        <v>1276</v>
      </c>
      <c r="I341" s="16" t="s">
        <v>2580</v>
      </c>
      <c r="J341" s="16" t="s">
        <v>1279</v>
      </c>
      <c r="K341" s="16" t="s">
        <v>1276</v>
      </c>
      <c r="L341" s="16" t="s">
        <v>1280</v>
      </c>
      <c r="M341" s="25" t="str">
        <f t="shared" si="16"/>
        <v>110179</v>
      </c>
      <c r="N341" t="str">
        <f t="shared" si="17"/>
        <v xml:space="preserve"> 42" DEF (Short) </v>
      </c>
      <c r="O341" t="b">
        <f t="shared" si="18"/>
        <v>0</v>
      </c>
      <c r="S341" t="s">
        <v>2581</v>
      </c>
      <c r="T341">
        <v>110179</v>
      </c>
    </row>
    <row r="342" spans="1:20" ht="45" x14ac:dyDescent="0.25">
      <c r="A342" s="16" t="s">
        <v>1272</v>
      </c>
      <c r="B342" s="16" t="s">
        <v>2582</v>
      </c>
      <c r="C342" s="16" t="s">
        <v>2583</v>
      </c>
      <c r="D342" s="16" t="s">
        <v>1274</v>
      </c>
      <c r="E342" s="16" t="s">
        <v>2584</v>
      </c>
      <c r="F342" s="16" t="s">
        <v>1276</v>
      </c>
      <c r="G342" s="16" t="s">
        <v>1277</v>
      </c>
      <c r="H342" s="16" t="s">
        <v>1276</v>
      </c>
      <c r="I342" s="16" t="s">
        <v>2585</v>
      </c>
      <c r="J342" s="16" t="s">
        <v>1279</v>
      </c>
      <c r="K342" s="16" t="s">
        <v>1276</v>
      </c>
      <c r="L342" s="16" t="s">
        <v>1280</v>
      </c>
      <c r="M342" s="25" t="str">
        <f t="shared" si="16"/>
        <v>111622</v>
      </c>
      <c r="N342" t="str">
        <f t="shared" si="17"/>
        <v xml:space="preserve"> 42" GMFL (xHD) </v>
      </c>
      <c r="O342" t="b">
        <f t="shared" si="18"/>
        <v>0</v>
      </c>
      <c r="S342" t="s">
        <v>2586</v>
      </c>
      <c r="T342">
        <v>111622</v>
      </c>
    </row>
    <row r="343" spans="1:20" ht="45" x14ac:dyDescent="0.25">
      <c r="A343" s="16" t="s">
        <v>1272</v>
      </c>
      <c r="B343" s="16" t="s">
        <v>2587</v>
      </c>
      <c r="C343" s="16" t="s">
        <v>1198</v>
      </c>
      <c r="D343" s="16" t="s">
        <v>1274</v>
      </c>
      <c r="E343" s="16" t="s">
        <v>2588</v>
      </c>
      <c r="F343" s="16" t="s">
        <v>1276</v>
      </c>
      <c r="G343" s="16" t="s">
        <v>1277</v>
      </c>
      <c r="H343" s="16" t="s">
        <v>1276</v>
      </c>
      <c r="I343" s="16" t="s">
        <v>2589</v>
      </c>
      <c r="J343" s="16" t="s">
        <v>1279</v>
      </c>
      <c r="K343" s="16" t="s">
        <v>1276</v>
      </c>
      <c r="L343" s="16" t="s">
        <v>1280</v>
      </c>
      <c r="M343" s="25" t="str">
        <f t="shared" si="16"/>
        <v>113557</v>
      </c>
      <c r="N343" t="str">
        <f t="shared" si="17"/>
        <v xml:space="preserve"> 42" GMFL+DEF+XYZ (xHD) </v>
      </c>
      <c r="O343" t="b">
        <f t="shared" si="18"/>
        <v>1</v>
      </c>
      <c r="S343" t="s">
        <v>2590</v>
      </c>
      <c r="T343">
        <v>113557</v>
      </c>
    </row>
    <row r="344" spans="1:20" ht="45" x14ac:dyDescent="0.25">
      <c r="A344" s="16" t="s">
        <v>1272</v>
      </c>
      <c r="B344" s="16" t="s">
        <v>2591</v>
      </c>
      <c r="C344" s="16" t="s">
        <v>2592</v>
      </c>
      <c r="D344" s="16" t="s">
        <v>1274</v>
      </c>
      <c r="E344" s="16" t="s">
        <v>2593</v>
      </c>
      <c r="F344" s="16" t="s">
        <v>1276</v>
      </c>
      <c r="G344" s="16" t="s">
        <v>1277</v>
      </c>
      <c r="H344" s="16" t="s">
        <v>1276</v>
      </c>
      <c r="I344" s="16" t="s">
        <v>2594</v>
      </c>
      <c r="J344" s="16" t="s">
        <v>1279</v>
      </c>
      <c r="K344" s="16" t="s">
        <v>1276</v>
      </c>
      <c r="L344" s="16" t="s">
        <v>1280</v>
      </c>
      <c r="M344" s="25" t="str">
        <f t="shared" si="16"/>
        <v>113590</v>
      </c>
      <c r="N344" t="str">
        <f t="shared" si="17"/>
        <v xml:space="preserve"> 42" DEF+XYZ (xHD) </v>
      </c>
      <c r="O344" t="b">
        <f t="shared" si="18"/>
        <v>1</v>
      </c>
      <c r="S344" t="s">
        <v>2595</v>
      </c>
      <c r="T344">
        <v>113590</v>
      </c>
    </row>
    <row r="345" spans="1:20" ht="45" x14ac:dyDescent="0.25">
      <c r="A345" s="16" t="s">
        <v>1272</v>
      </c>
      <c r="B345" s="16" t="s">
        <v>2596</v>
      </c>
      <c r="C345" s="16" t="s">
        <v>1198</v>
      </c>
      <c r="D345" s="16" t="s">
        <v>1274</v>
      </c>
      <c r="E345" s="16" t="s">
        <v>2597</v>
      </c>
      <c r="F345" s="16" t="s">
        <v>1276</v>
      </c>
      <c r="G345" s="16" t="s">
        <v>1277</v>
      </c>
      <c r="H345" s="16" t="s">
        <v>1276</v>
      </c>
      <c r="I345" s="16" t="s">
        <v>2598</v>
      </c>
      <c r="J345" s="16" t="s">
        <v>1279</v>
      </c>
      <c r="K345" s="16" t="s">
        <v>1276</v>
      </c>
      <c r="L345" s="16" t="s">
        <v>1280</v>
      </c>
      <c r="M345" s="25" t="str">
        <f t="shared" si="16"/>
        <v>114655</v>
      </c>
      <c r="N345" t="str">
        <f t="shared" si="17"/>
        <v xml:space="preserve"> 42" GMFL+DEF+XYZ (xHD) </v>
      </c>
      <c r="O345" t="b">
        <f t="shared" si="18"/>
        <v>1</v>
      </c>
      <c r="S345" t="s">
        <v>2590</v>
      </c>
      <c r="T345">
        <v>114655</v>
      </c>
    </row>
    <row r="346" spans="1:20" ht="45" x14ac:dyDescent="0.25">
      <c r="A346" s="16" t="s">
        <v>1272</v>
      </c>
      <c r="B346" s="16" t="s">
        <v>2599</v>
      </c>
      <c r="C346" s="16" t="s">
        <v>2583</v>
      </c>
      <c r="D346" s="16" t="s">
        <v>1274</v>
      </c>
      <c r="E346" s="16" t="s">
        <v>2600</v>
      </c>
      <c r="F346" s="16" t="s">
        <v>1276</v>
      </c>
      <c r="G346" s="16" t="s">
        <v>1277</v>
      </c>
      <c r="H346" s="16" t="s">
        <v>1276</v>
      </c>
      <c r="I346" s="16" t="s">
        <v>2601</v>
      </c>
      <c r="J346" s="16" t="s">
        <v>1279</v>
      </c>
      <c r="K346" s="16" t="s">
        <v>1276</v>
      </c>
      <c r="L346" s="16" t="s">
        <v>1280</v>
      </c>
      <c r="M346" s="25" t="str">
        <f t="shared" si="16"/>
        <v>116951</v>
      </c>
      <c r="N346" t="str">
        <f t="shared" si="17"/>
        <v xml:space="preserve"> 42" GMFL ATEX </v>
      </c>
      <c r="O346" t="b">
        <f t="shared" si="18"/>
        <v>0</v>
      </c>
      <c r="S346" t="s">
        <v>2602</v>
      </c>
      <c r="T346">
        <v>116951</v>
      </c>
    </row>
    <row r="347" spans="1:20" ht="45" x14ac:dyDescent="0.25">
      <c r="A347" s="16" t="s">
        <v>1272</v>
      </c>
      <c r="B347" s="16" t="s">
        <v>2603</v>
      </c>
      <c r="C347" s="16" t="s">
        <v>1198</v>
      </c>
      <c r="D347" s="16" t="s">
        <v>1274</v>
      </c>
      <c r="E347" s="16" t="s">
        <v>2604</v>
      </c>
      <c r="F347" s="16" t="s">
        <v>1276</v>
      </c>
      <c r="G347" s="16" t="s">
        <v>1277</v>
      </c>
      <c r="H347" s="16" t="s">
        <v>1276</v>
      </c>
      <c r="I347" s="16" t="s">
        <v>2605</v>
      </c>
      <c r="J347" s="16" t="s">
        <v>1279</v>
      </c>
      <c r="K347" s="16" t="s">
        <v>1276</v>
      </c>
      <c r="L347" s="16" t="s">
        <v>1280</v>
      </c>
      <c r="M347" s="25" t="str">
        <f t="shared" si="16"/>
        <v>116952</v>
      </c>
      <c r="N347" t="str">
        <f t="shared" si="17"/>
        <v xml:space="preserve"> 42" GMFL+DEF+XYZ ATEX </v>
      </c>
      <c r="O347" t="b">
        <f t="shared" si="18"/>
        <v>1</v>
      </c>
      <c r="S347" t="s">
        <v>2606</v>
      </c>
      <c r="T347">
        <v>116952</v>
      </c>
    </row>
    <row r="348" spans="1:20" ht="45" x14ac:dyDescent="0.25">
      <c r="A348" s="16" t="s">
        <v>1272</v>
      </c>
      <c r="B348" s="16" t="s">
        <v>2607</v>
      </c>
      <c r="C348" s="16" t="s">
        <v>2578</v>
      </c>
      <c r="D348" s="16" t="s">
        <v>1274</v>
      </c>
      <c r="E348" s="16" t="s">
        <v>2608</v>
      </c>
      <c r="F348" s="16" t="s">
        <v>1276</v>
      </c>
      <c r="G348" s="16" t="s">
        <v>1277</v>
      </c>
      <c r="H348" s="16" t="s">
        <v>1276</v>
      </c>
      <c r="I348" s="16" t="s">
        <v>2609</v>
      </c>
      <c r="J348" s="16" t="s">
        <v>1279</v>
      </c>
      <c r="K348" s="16" t="s">
        <v>1276</v>
      </c>
      <c r="L348" s="16" t="s">
        <v>1280</v>
      </c>
      <c r="M348" s="25" t="str">
        <f t="shared" si="16"/>
        <v>111884-03</v>
      </c>
      <c r="N348" t="str">
        <f t="shared" si="17"/>
        <v xml:space="preserve"> 42" DEF (38-42) (xHD) </v>
      </c>
      <c r="O348" t="b">
        <f t="shared" si="18"/>
        <v>0</v>
      </c>
      <c r="S348" t="s">
        <v>2610</v>
      </c>
      <c r="T348" s="25" t="s">
        <v>2611</v>
      </c>
    </row>
    <row r="349" spans="1:20" ht="45" x14ac:dyDescent="0.25">
      <c r="A349" s="16" t="s">
        <v>1272</v>
      </c>
      <c r="B349" s="16" t="s">
        <v>2612</v>
      </c>
      <c r="C349" s="16" t="s">
        <v>2578</v>
      </c>
      <c r="D349" s="16" t="s">
        <v>1274</v>
      </c>
      <c r="E349" s="16" t="s">
        <v>2613</v>
      </c>
      <c r="F349" s="16" t="s">
        <v>1276</v>
      </c>
      <c r="G349" s="16" t="s">
        <v>1277</v>
      </c>
      <c r="H349" s="16" t="s">
        <v>1276</v>
      </c>
      <c r="I349" s="16" t="s">
        <v>2614</v>
      </c>
      <c r="J349" s="16" t="s">
        <v>1279</v>
      </c>
      <c r="K349" s="16" t="s">
        <v>1276</v>
      </c>
      <c r="L349" s="16" t="s">
        <v>1280</v>
      </c>
      <c r="M349" s="25" t="str">
        <f t="shared" si="16"/>
        <v>116950-03</v>
      </c>
      <c r="N349" t="str">
        <f t="shared" si="17"/>
        <v xml:space="preserve"> 42" DEF ATEX </v>
      </c>
      <c r="O349" t="b">
        <f t="shared" si="18"/>
        <v>0</v>
      </c>
      <c r="S349" t="s">
        <v>2615</v>
      </c>
      <c r="T349" s="25" t="s">
        <v>1189</v>
      </c>
    </row>
    <row r="350" spans="1:20" ht="45" x14ac:dyDescent="0.25">
      <c r="A350" s="16" t="s">
        <v>1272</v>
      </c>
      <c r="B350" s="16" t="s">
        <v>2616</v>
      </c>
      <c r="C350" s="16" t="s">
        <v>2617</v>
      </c>
      <c r="D350" s="16" t="s">
        <v>1274</v>
      </c>
      <c r="E350" s="16" t="s">
        <v>2618</v>
      </c>
      <c r="F350" s="16" t="s">
        <v>1276</v>
      </c>
      <c r="G350" s="16" t="s">
        <v>1277</v>
      </c>
      <c r="H350" s="16" t="s">
        <v>1276</v>
      </c>
      <c r="I350" s="16" t="s">
        <v>2619</v>
      </c>
      <c r="J350" s="16" t="s">
        <v>1279</v>
      </c>
      <c r="K350" s="16" t="s">
        <v>1276</v>
      </c>
      <c r="L350" s="16" t="s">
        <v>1280</v>
      </c>
      <c r="M350" s="25" t="str">
        <f t="shared" si="16"/>
        <v>127865</v>
      </c>
      <c r="N350" t="str">
        <f t="shared" si="17"/>
        <v xml:space="preserve"> 42" DEF+GMFL </v>
      </c>
      <c r="O350" t="b">
        <f t="shared" si="18"/>
        <v>0</v>
      </c>
      <c r="S350" t="s">
        <v>2620</v>
      </c>
      <c r="T350">
        <v>127865</v>
      </c>
    </row>
    <row r="351" spans="1:20" ht="45" x14ac:dyDescent="0.25">
      <c r="A351" s="16" t="s">
        <v>1272</v>
      </c>
      <c r="B351" s="16" t="s">
        <v>2621</v>
      </c>
      <c r="C351" s="16" t="s">
        <v>2622</v>
      </c>
      <c r="D351" s="16" t="s">
        <v>1274</v>
      </c>
      <c r="E351" s="16" t="s">
        <v>2623</v>
      </c>
      <c r="F351" s="16" t="s">
        <v>1276</v>
      </c>
      <c r="G351" s="16" t="s">
        <v>1277</v>
      </c>
      <c r="H351" s="16" t="s">
        <v>1276</v>
      </c>
      <c r="I351" s="16" t="s">
        <v>2624</v>
      </c>
      <c r="J351" s="16" t="s">
        <v>1279</v>
      </c>
      <c r="K351" s="16" t="s">
        <v>1276</v>
      </c>
      <c r="L351" s="16" t="s">
        <v>1280</v>
      </c>
      <c r="M351" s="25" t="str">
        <f t="shared" si="16"/>
        <v>101852</v>
      </c>
      <c r="N351" t="str">
        <f t="shared" si="17"/>
        <v xml:space="preserve"> 48" K360 (40-48) </v>
      </c>
      <c r="O351" t="b">
        <f t="shared" si="18"/>
        <v>0</v>
      </c>
      <c r="S351" t="s">
        <v>2625</v>
      </c>
      <c r="T351">
        <v>101852</v>
      </c>
    </row>
    <row r="352" spans="1:20" ht="45" x14ac:dyDescent="0.25">
      <c r="A352" s="16" t="s">
        <v>1272</v>
      </c>
      <c r="B352" s="16" t="s">
        <v>2626</v>
      </c>
      <c r="C352" s="16" t="s">
        <v>2627</v>
      </c>
      <c r="D352" s="16" t="s">
        <v>1274</v>
      </c>
      <c r="E352" s="16" t="s">
        <v>2628</v>
      </c>
      <c r="F352" s="16" t="s">
        <v>1276</v>
      </c>
      <c r="G352" s="16" t="s">
        <v>1277</v>
      </c>
      <c r="H352" s="16" t="s">
        <v>1276</v>
      </c>
      <c r="I352" s="16" t="s">
        <v>2629</v>
      </c>
      <c r="J352" s="16" t="s">
        <v>1279</v>
      </c>
      <c r="K352" s="16" t="s">
        <v>1276</v>
      </c>
      <c r="L352" s="16" t="s">
        <v>1280</v>
      </c>
      <c r="M352" s="25" t="str">
        <f t="shared" si="16"/>
        <v>103550</v>
      </c>
      <c r="N352" t="str">
        <f t="shared" si="17"/>
        <v xml:space="preserve"> 48" GMFL </v>
      </c>
      <c r="O352" t="b">
        <f t="shared" si="18"/>
        <v>0</v>
      </c>
      <c r="S352" t="s">
        <v>2630</v>
      </c>
      <c r="T352">
        <v>103550</v>
      </c>
    </row>
    <row r="353" spans="1:34" ht="45" x14ac:dyDescent="0.25">
      <c r="A353" s="16" t="s">
        <v>1272</v>
      </c>
      <c r="B353" s="16" t="s">
        <v>2631</v>
      </c>
      <c r="C353" s="16" t="s">
        <v>2632</v>
      </c>
      <c r="D353" s="16" t="s">
        <v>1274</v>
      </c>
      <c r="E353" s="16" t="s">
        <v>2633</v>
      </c>
      <c r="F353" s="16" t="s">
        <v>1276</v>
      </c>
      <c r="G353" s="16" t="s">
        <v>1277</v>
      </c>
      <c r="H353" s="16" t="s">
        <v>1276</v>
      </c>
      <c r="I353" s="16" t="s">
        <v>2634</v>
      </c>
      <c r="J353" s="16" t="s">
        <v>1279</v>
      </c>
      <c r="K353" s="16" t="s">
        <v>1276</v>
      </c>
      <c r="L353" s="16" t="s">
        <v>1280</v>
      </c>
      <c r="M353" s="25" t="str">
        <f t="shared" si="16"/>
        <v>123249</v>
      </c>
      <c r="N353" t="str">
        <f t="shared" si="17"/>
        <v xml:space="preserve"> 48" GMFL DEF XYZ </v>
      </c>
      <c r="O353" t="b">
        <f t="shared" si="18"/>
        <v>1</v>
      </c>
      <c r="S353" t="s">
        <v>2635</v>
      </c>
      <c r="T353">
        <v>123249</v>
      </c>
    </row>
    <row r="354" spans="1:34" ht="45" x14ac:dyDescent="0.25">
      <c r="A354" s="16" t="s">
        <v>1272</v>
      </c>
      <c r="B354" s="16" t="s">
        <v>2636</v>
      </c>
      <c r="C354" s="16" t="s">
        <v>2637</v>
      </c>
      <c r="D354" s="16" t="s">
        <v>1274</v>
      </c>
      <c r="E354" s="16" t="s">
        <v>2638</v>
      </c>
      <c r="F354" s="16" t="s">
        <v>1276</v>
      </c>
      <c r="G354" s="16" t="s">
        <v>1277</v>
      </c>
      <c r="H354" s="16" t="s">
        <v>1276</v>
      </c>
      <c r="I354" s="16" t="s">
        <v>2639</v>
      </c>
      <c r="J354" s="16" t="s">
        <v>1279</v>
      </c>
      <c r="K354" s="16" t="s">
        <v>1276</v>
      </c>
      <c r="L354" s="16" t="s">
        <v>1280</v>
      </c>
      <c r="M354" s="25" t="str">
        <f t="shared" si="16"/>
        <v>123170</v>
      </c>
      <c r="N354" t="str">
        <f t="shared" si="17"/>
        <v xml:space="preserve"> 48" GMFL+DEF </v>
      </c>
      <c r="O354" t="b">
        <f t="shared" si="18"/>
        <v>0</v>
      </c>
      <c r="S354" t="s">
        <v>2640</v>
      </c>
      <c r="T354">
        <v>123170</v>
      </c>
    </row>
    <row r="355" spans="1:34" x14ac:dyDescent="0.25">
      <c r="A355" s="16" t="s">
        <v>1272</v>
      </c>
      <c r="B355" s="16" t="s">
        <v>2641</v>
      </c>
      <c r="C355" s="16" t="s">
        <v>1174</v>
      </c>
      <c r="M355" s="25" t="str">
        <f t="shared" ref="M355:M356" si="19">_xlfn.TEXTBEFORE(B355, ",")</f>
        <v>114653</v>
      </c>
      <c r="N355" t="str">
        <f t="shared" ref="N355:N356" si="20">_xlfn.TEXTAFTER(B355, ",")</f>
        <v xml:space="preserve"> 40" GMFL+DEF+XYZ (xHD) </v>
      </c>
      <c r="O355" t="b">
        <f t="shared" si="18"/>
        <v>1</v>
      </c>
      <c r="S355" t="s">
        <v>1173</v>
      </c>
      <c r="T355">
        <v>114653</v>
      </c>
    </row>
    <row r="356" spans="1:34" x14ac:dyDescent="0.25">
      <c r="A356" s="32" t="s">
        <v>1272</v>
      </c>
      <c r="B356" t="s">
        <v>2642</v>
      </c>
      <c r="C356" t="s">
        <v>1117</v>
      </c>
      <c r="M356" s="25" t="str">
        <f t="shared" si="19"/>
        <v>130198</v>
      </c>
      <c r="N356" t="str">
        <f t="shared" si="20"/>
        <v xml:space="preserve"> MDS FLEX DEF+LFM+ULTRA RES MFL+XYZ </v>
      </c>
      <c r="O356" t="b">
        <f t="shared" si="18"/>
        <v>1</v>
      </c>
      <c r="S356" t="s">
        <v>2643</v>
      </c>
      <c r="T356">
        <v>130198</v>
      </c>
    </row>
    <row r="357" spans="1:34" x14ac:dyDescent="0.25">
      <c r="A357" s="32" t="s">
        <v>1272</v>
      </c>
      <c r="B357" t="s">
        <v>2644</v>
      </c>
      <c r="C357" t="s">
        <v>2645</v>
      </c>
      <c r="M357" s="25" t="str">
        <f t="shared" ref="M357" si="21">_xlfn.TEXTBEFORE(B357, ",")</f>
        <v>126498</v>
      </c>
      <c r="N357" t="str">
        <f t="shared" ref="N357" si="22">_xlfn.TEXTAFTER(B357, ",")</f>
        <v xml:space="preserve"> 31" MFL+DEF+LFM+SMFL </v>
      </c>
      <c r="O357" t="b">
        <f t="shared" si="18"/>
        <v>0</v>
      </c>
      <c r="S357" t="s">
        <v>2646</v>
      </c>
      <c r="T357">
        <v>126498</v>
      </c>
    </row>
    <row r="359" spans="1:34" ht="75" x14ac:dyDescent="0.25">
      <c r="A359" s="17" t="s">
        <v>1257</v>
      </c>
      <c r="B359" s="17" t="s">
        <v>1258</v>
      </c>
      <c r="C359" s="17" t="s">
        <v>1259</v>
      </c>
      <c r="D359" s="17" t="s">
        <v>2647</v>
      </c>
      <c r="E359" s="17" t="s">
        <v>2648</v>
      </c>
      <c r="F359" s="17" t="s">
        <v>2649</v>
      </c>
      <c r="G359" s="17" t="s">
        <v>2650</v>
      </c>
      <c r="H359" s="17" t="s">
        <v>2651</v>
      </c>
      <c r="I359" s="17" t="s">
        <v>2652</v>
      </c>
      <c r="J359" s="17" t="s">
        <v>2653</v>
      </c>
      <c r="K359" s="17" t="s">
        <v>2654</v>
      </c>
      <c r="L359" s="17" t="s">
        <v>2655</v>
      </c>
      <c r="M359" s="28" t="s">
        <v>2656</v>
      </c>
      <c r="N359" s="17" t="s">
        <v>1260</v>
      </c>
      <c r="O359" s="17" t="s">
        <v>2657</v>
      </c>
      <c r="P359" s="17" t="s">
        <v>1261</v>
      </c>
      <c r="Q359" s="17" t="s">
        <v>2658</v>
      </c>
      <c r="R359" s="17" t="s">
        <v>2659</v>
      </c>
      <c r="S359" s="17" t="s">
        <v>2660</v>
      </c>
      <c r="T359" s="26" t="s">
        <v>2661</v>
      </c>
      <c r="U359" s="17" t="s">
        <v>1262</v>
      </c>
      <c r="V359" s="17" t="s">
        <v>2662</v>
      </c>
      <c r="W359" s="17" t="s">
        <v>2663</v>
      </c>
      <c r="X359" s="17" t="s">
        <v>2664</v>
      </c>
      <c r="Y359" s="17" t="s">
        <v>2665</v>
      </c>
      <c r="Z359" s="17" t="s">
        <v>2666</v>
      </c>
      <c r="AA359" s="17" t="s">
        <v>2667</v>
      </c>
      <c r="AB359" s="17" t="s">
        <v>1263</v>
      </c>
      <c r="AC359" s="17" t="s">
        <v>1264</v>
      </c>
      <c r="AD359" s="17" t="s">
        <v>1265</v>
      </c>
      <c r="AE359" s="17" t="s">
        <v>1266</v>
      </c>
      <c r="AF359" s="17" t="s">
        <v>1267</v>
      </c>
      <c r="AG359" s="17" t="s">
        <v>1268</v>
      </c>
      <c r="AH359" s="17" t="s">
        <v>2668</v>
      </c>
    </row>
    <row r="360" spans="1:34" ht="45" x14ac:dyDescent="0.25">
      <c r="A360" s="16" t="s">
        <v>1272</v>
      </c>
      <c r="B360" s="16" t="s">
        <v>1659</v>
      </c>
      <c r="C360" s="16" t="s">
        <v>703</v>
      </c>
      <c r="D360" s="16"/>
      <c r="E360" s="16"/>
      <c r="F360" s="16"/>
      <c r="G360" s="16"/>
      <c r="H360" s="16"/>
      <c r="I360" s="16"/>
      <c r="J360" s="16"/>
      <c r="K360" s="16"/>
      <c r="L360" s="16"/>
      <c r="M360" s="30"/>
      <c r="N360" s="16" t="s">
        <v>1274</v>
      </c>
      <c r="O360" s="16"/>
      <c r="P360" s="16" t="s">
        <v>2669</v>
      </c>
      <c r="Q360" s="16" t="s">
        <v>2670</v>
      </c>
      <c r="R360" s="16" t="s">
        <v>2670</v>
      </c>
      <c r="S360" s="16"/>
      <c r="T360" s="27"/>
      <c r="U360" s="16" t="s">
        <v>1276</v>
      </c>
      <c r="V360" s="16"/>
      <c r="W360" s="16" t="s">
        <v>2671</v>
      </c>
      <c r="X360" s="16"/>
      <c r="Y360" s="16"/>
      <c r="Z360" s="16"/>
      <c r="AA360" s="16"/>
      <c r="AB360" s="16" t="s">
        <v>1277</v>
      </c>
      <c r="AC360" s="16" t="s">
        <v>1276</v>
      </c>
      <c r="AD360" s="16" t="s">
        <v>2672</v>
      </c>
      <c r="AE360" s="16" t="s">
        <v>1279</v>
      </c>
      <c r="AF360" s="16" t="s">
        <v>1276</v>
      </c>
      <c r="AG360" s="16" t="s">
        <v>1280</v>
      </c>
      <c r="AH360" s="16"/>
    </row>
    <row r="361" spans="1:34" ht="45" x14ac:dyDescent="0.25">
      <c r="A361" s="16" t="s">
        <v>1272</v>
      </c>
      <c r="B361" s="16" t="s">
        <v>1661</v>
      </c>
      <c r="C361" s="16" t="s">
        <v>669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30"/>
      <c r="N361" s="16" t="s">
        <v>1274</v>
      </c>
      <c r="O361" s="16"/>
      <c r="P361" s="16" t="s">
        <v>1662</v>
      </c>
      <c r="Q361" s="16" t="s">
        <v>2670</v>
      </c>
      <c r="R361" s="16" t="s">
        <v>2670</v>
      </c>
      <c r="S361" s="16"/>
      <c r="T361" s="27"/>
      <c r="U361" s="16" t="s">
        <v>1276</v>
      </c>
      <c r="V361" s="16"/>
      <c r="W361" s="16" t="s">
        <v>2673</v>
      </c>
      <c r="X361" s="16"/>
      <c r="Y361" s="16"/>
      <c r="Z361" s="16"/>
      <c r="AA361" s="16"/>
      <c r="AB361" s="16" t="s">
        <v>1277</v>
      </c>
      <c r="AC361" s="16" t="s">
        <v>1276</v>
      </c>
      <c r="AD361" s="16" t="s">
        <v>1663</v>
      </c>
      <c r="AE361" s="16" t="s">
        <v>1279</v>
      </c>
      <c r="AF361" s="16" t="s">
        <v>1276</v>
      </c>
      <c r="AG361" s="16" t="s">
        <v>1280</v>
      </c>
      <c r="AH361" s="16"/>
    </row>
    <row r="362" spans="1:34" ht="60" x14ac:dyDescent="0.25">
      <c r="A362" s="16" t="s">
        <v>1272</v>
      </c>
      <c r="B362" s="16" t="s">
        <v>1664</v>
      </c>
      <c r="C362" s="16" t="s">
        <v>582</v>
      </c>
      <c r="D362" s="16"/>
      <c r="E362" s="16"/>
      <c r="F362" s="16"/>
      <c r="G362" s="16"/>
      <c r="H362" s="16"/>
      <c r="I362" s="16"/>
      <c r="J362" s="16"/>
      <c r="K362" s="16"/>
      <c r="L362" s="16"/>
      <c r="M362" s="30"/>
      <c r="N362" s="16" t="s">
        <v>1274</v>
      </c>
      <c r="O362" s="16"/>
      <c r="P362" s="16" t="s">
        <v>1665</v>
      </c>
      <c r="Q362" s="16" t="s">
        <v>2670</v>
      </c>
      <c r="R362" s="16" t="s">
        <v>2670</v>
      </c>
      <c r="S362" s="16"/>
      <c r="T362" s="27"/>
      <c r="U362" s="16" t="s">
        <v>1276</v>
      </c>
      <c r="V362" s="16"/>
      <c r="W362" s="16" t="s">
        <v>2674</v>
      </c>
      <c r="X362" s="16"/>
      <c r="Y362" s="16"/>
      <c r="Z362" s="16"/>
      <c r="AA362" s="16"/>
      <c r="AB362" s="16" t="s">
        <v>1277</v>
      </c>
      <c r="AC362" s="16" t="s">
        <v>1276</v>
      </c>
      <c r="AD362" s="16" t="s">
        <v>1666</v>
      </c>
      <c r="AE362" s="16" t="s">
        <v>1279</v>
      </c>
      <c r="AF362" s="16" t="s">
        <v>1276</v>
      </c>
      <c r="AG362" s="16" t="s">
        <v>1280</v>
      </c>
      <c r="AH362" s="16"/>
    </row>
    <row r="363" spans="1:34" ht="45" x14ac:dyDescent="0.25">
      <c r="A363" s="16" t="s">
        <v>1272</v>
      </c>
      <c r="B363" s="16" t="s">
        <v>1810</v>
      </c>
      <c r="C363" s="16" t="s">
        <v>818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30"/>
      <c r="N363" s="16" t="s">
        <v>1274</v>
      </c>
      <c r="O363" s="16"/>
      <c r="P363" s="16" t="s">
        <v>1811</v>
      </c>
      <c r="Q363" s="16" t="s">
        <v>2670</v>
      </c>
      <c r="R363" s="16" t="s">
        <v>2670</v>
      </c>
      <c r="S363" s="16"/>
      <c r="T363" s="27"/>
      <c r="U363" s="16" t="s">
        <v>1276</v>
      </c>
      <c r="V363" s="16"/>
      <c r="W363" s="16" t="s">
        <v>2673</v>
      </c>
      <c r="X363" s="16"/>
      <c r="Y363" s="16"/>
      <c r="Z363" s="16"/>
      <c r="AA363" s="16"/>
      <c r="AB363" s="16" t="s">
        <v>1277</v>
      </c>
      <c r="AC363" s="16" t="s">
        <v>1276</v>
      </c>
      <c r="AD363" s="16" t="s">
        <v>1812</v>
      </c>
      <c r="AE363" s="16" t="s">
        <v>1279</v>
      </c>
      <c r="AF363" s="16" t="s">
        <v>1276</v>
      </c>
      <c r="AG363" s="16" t="s">
        <v>1280</v>
      </c>
      <c r="AH363" s="16"/>
    </row>
    <row r="364" spans="1:34" ht="45" x14ac:dyDescent="0.25">
      <c r="A364" s="16" t="s">
        <v>1272</v>
      </c>
      <c r="B364" s="16" t="s">
        <v>1813</v>
      </c>
      <c r="C364" s="16" t="s">
        <v>876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30"/>
      <c r="N364" s="16" t="s">
        <v>1274</v>
      </c>
      <c r="O364" s="16"/>
      <c r="P364" s="16" t="s">
        <v>1814</v>
      </c>
      <c r="Q364" s="16" t="s">
        <v>2670</v>
      </c>
      <c r="R364" s="16" t="s">
        <v>2670</v>
      </c>
      <c r="S364" s="16"/>
      <c r="T364" s="27"/>
      <c r="U364" s="16" t="s">
        <v>1276</v>
      </c>
      <c r="V364" s="16"/>
      <c r="W364" s="16" t="s">
        <v>2675</v>
      </c>
      <c r="X364" s="16"/>
      <c r="Y364" s="16"/>
      <c r="Z364" s="16"/>
      <c r="AA364" s="16"/>
      <c r="AB364" s="16" t="s">
        <v>1277</v>
      </c>
      <c r="AC364" s="16" t="s">
        <v>1276</v>
      </c>
      <c r="AD364" s="16" t="s">
        <v>1815</v>
      </c>
      <c r="AE364" s="16" t="s">
        <v>1279</v>
      </c>
      <c r="AF364" s="16" t="s">
        <v>1276</v>
      </c>
      <c r="AG364" s="16" t="s">
        <v>1280</v>
      </c>
      <c r="AH364" s="16"/>
    </row>
    <row r="365" spans="1:34" ht="45" x14ac:dyDescent="0.25">
      <c r="A365" s="16" t="s">
        <v>1272</v>
      </c>
      <c r="B365" s="16" t="s">
        <v>2169</v>
      </c>
      <c r="C365" s="16" t="s">
        <v>2170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30"/>
      <c r="N365" s="16" t="s">
        <v>1274</v>
      </c>
      <c r="O365" s="16"/>
      <c r="P365" s="16" t="s">
        <v>2171</v>
      </c>
      <c r="Q365" s="16" t="s">
        <v>2670</v>
      </c>
      <c r="R365" s="16" t="s">
        <v>2670</v>
      </c>
      <c r="S365" s="16"/>
      <c r="T365" s="27"/>
      <c r="U365" s="16" t="s">
        <v>1276</v>
      </c>
      <c r="V365" s="16"/>
      <c r="W365" s="16" t="s">
        <v>2673</v>
      </c>
      <c r="X365" s="16"/>
      <c r="Y365" s="16"/>
      <c r="Z365" s="16"/>
      <c r="AA365" s="16"/>
      <c r="AB365" s="16" t="s">
        <v>1277</v>
      </c>
      <c r="AC365" s="16" t="s">
        <v>1276</v>
      </c>
      <c r="AD365" s="16" t="s">
        <v>2172</v>
      </c>
      <c r="AE365" s="16" t="s">
        <v>1279</v>
      </c>
      <c r="AF365" s="16" t="s">
        <v>1276</v>
      </c>
      <c r="AG365" s="16" t="s">
        <v>1280</v>
      </c>
      <c r="AH365" s="16"/>
    </row>
    <row r="366" spans="1:34" ht="45" x14ac:dyDescent="0.25">
      <c r="A366" s="16" t="s">
        <v>1272</v>
      </c>
      <c r="B366" s="16" t="s">
        <v>1660</v>
      </c>
      <c r="C366" s="16" t="s">
        <v>609</v>
      </c>
      <c r="D366" s="16"/>
      <c r="E366" s="16"/>
      <c r="F366" s="16"/>
      <c r="G366" s="16"/>
      <c r="H366" s="16"/>
      <c r="I366" s="16"/>
      <c r="J366" s="16"/>
      <c r="K366" s="16"/>
      <c r="L366" s="16"/>
      <c r="M366" s="30"/>
      <c r="N366" s="16" t="s">
        <v>1274</v>
      </c>
      <c r="O366" s="16"/>
      <c r="P366" s="16" t="s">
        <v>2676</v>
      </c>
      <c r="Q366" s="16" t="s">
        <v>2670</v>
      </c>
      <c r="R366" s="16" t="s">
        <v>2670</v>
      </c>
      <c r="S366" s="16"/>
      <c r="T366" s="27"/>
      <c r="U366" s="16" t="s">
        <v>1276</v>
      </c>
      <c r="V366" s="16"/>
      <c r="W366" s="16" t="s">
        <v>2671</v>
      </c>
      <c r="X366" s="16"/>
      <c r="Y366" s="16"/>
      <c r="Z366" s="16"/>
      <c r="AA366" s="16"/>
      <c r="AB366" s="16" t="s">
        <v>1277</v>
      </c>
      <c r="AC366" s="16" t="s">
        <v>1276</v>
      </c>
      <c r="AD366" s="16" t="s">
        <v>2677</v>
      </c>
      <c r="AE366" s="16" t="s">
        <v>1279</v>
      </c>
      <c r="AF366" s="16" t="s">
        <v>1276</v>
      </c>
      <c r="AG366" s="16" t="s">
        <v>1280</v>
      </c>
      <c r="AH366" s="16"/>
    </row>
    <row r="367" spans="1:34" ht="45" x14ac:dyDescent="0.25">
      <c r="A367" s="16" t="s">
        <v>1272</v>
      </c>
      <c r="B367" s="16" t="s">
        <v>2183</v>
      </c>
      <c r="C367" s="16" t="s">
        <v>2184</v>
      </c>
      <c r="D367" s="16"/>
      <c r="E367" s="16"/>
      <c r="F367" s="16"/>
      <c r="G367" s="16"/>
      <c r="H367" s="16"/>
      <c r="I367" s="16"/>
      <c r="J367" s="16"/>
      <c r="K367" s="16"/>
      <c r="L367" s="16"/>
      <c r="M367" s="30"/>
      <c r="N367" s="16" t="s">
        <v>1274</v>
      </c>
      <c r="O367" s="16"/>
      <c r="P367" s="16" t="s">
        <v>2185</v>
      </c>
      <c r="Q367" s="16" t="s">
        <v>2670</v>
      </c>
      <c r="R367" s="16" t="s">
        <v>2670</v>
      </c>
      <c r="S367" s="16"/>
      <c r="T367" s="27"/>
      <c r="U367" s="16" t="s">
        <v>1276</v>
      </c>
      <c r="V367" s="16"/>
      <c r="W367" s="16" t="s">
        <v>2673</v>
      </c>
      <c r="X367" s="16"/>
      <c r="Y367" s="16"/>
      <c r="Z367" s="16"/>
      <c r="AA367" s="16"/>
      <c r="AB367" s="16" t="s">
        <v>1277</v>
      </c>
      <c r="AC367" s="16" t="s">
        <v>1276</v>
      </c>
      <c r="AD367" s="16" t="s">
        <v>2186</v>
      </c>
      <c r="AE367" s="16" t="s">
        <v>1279</v>
      </c>
      <c r="AF367" s="16" t="s">
        <v>1276</v>
      </c>
      <c r="AG367" s="16" t="s">
        <v>1280</v>
      </c>
      <c r="AH367" s="16"/>
    </row>
    <row r="368" spans="1:34" ht="60" x14ac:dyDescent="0.25">
      <c r="A368" s="16" t="s">
        <v>1272</v>
      </c>
      <c r="B368" s="16" t="s">
        <v>1975</v>
      </c>
      <c r="C368" s="16" t="s">
        <v>1976</v>
      </c>
      <c r="D368" s="16"/>
      <c r="E368" s="16"/>
      <c r="F368" s="16"/>
      <c r="G368" s="16"/>
      <c r="H368" s="16"/>
      <c r="I368" s="16"/>
      <c r="J368" s="16"/>
      <c r="K368" s="16"/>
      <c r="L368" s="16"/>
      <c r="M368" s="30"/>
      <c r="N368" s="16" t="s">
        <v>1274</v>
      </c>
      <c r="O368" s="16"/>
      <c r="P368" s="16" t="s">
        <v>1977</v>
      </c>
      <c r="Q368" s="16" t="s">
        <v>2670</v>
      </c>
      <c r="R368" s="16" t="s">
        <v>2670</v>
      </c>
      <c r="S368" s="16"/>
      <c r="T368" s="27"/>
      <c r="U368" s="16" t="s">
        <v>1276</v>
      </c>
      <c r="V368" s="16"/>
      <c r="W368" s="16" t="s">
        <v>2673</v>
      </c>
      <c r="X368" s="16"/>
      <c r="Y368" s="16"/>
      <c r="Z368" s="16"/>
      <c r="AA368" s="16"/>
      <c r="AB368" s="16" t="s">
        <v>1277</v>
      </c>
      <c r="AC368" s="16" t="s">
        <v>1276</v>
      </c>
      <c r="AD368" s="16" t="s">
        <v>1978</v>
      </c>
      <c r="AE368" s="16" t="s">
        <v>1279</v>
      </c>
      <c r="AF368" s="16" t="s">
        <v>1276</v>
      </c>
      <c r="AG368" s="16" t="s">
        <v>1280</v>
      </c>
      <c r="AH368" s="16"/>
    </row>
    <row r="369" spans="1:34" ht="45" x14ac:dyDescent="0.25">
      <c r="A369" s="16" t="s">
        <v>1272</v>
      </c>
      <c r="B369" s="16" t="s">
        <v>1980</v>
      </c>
      <c r="C369" s="16" t="s">
        <v>1981</v>
      </c>
      <c r="D369" s="16"/>
      <c r="E369" s="16"/>
      <c r="F369" s="16"/>
      <c r="G369" s="16"/>
      <c r="H369" s="16"/>
      <c r="I369" s="16"/>
      <c r="J369" s="16"/>
      <c r="K369" s="16"/>
      <c r="L369" s="16"/>
      <c r="M369" s="30"/>
      <c r="N369" s="16" t="s">
        <v>1274</v>
      </c>
      <c r="O369" s="16"/>
      <c r="P369" s="16" t="s">
        <v>1982</v>
      </c>
      <c r="Q369" s="16" t="s">
        <v>2670</v>
      </c>
      <c r="R369" s="16" t="s">
        <v>2670</v>
      </c>
      <c r="S369" s="16"/>
      <c r="T369" s="27"/>
      <c r="U369" s="16" t="s">
        <v>1276</v>
      </c>
      <c r="V369" s="16"/>
      <c r="W369" s="16" t="s">
        <v>2673</v>
      </c>
      <c r="X369" s="16"/>
      <c r="Y369" s="16"/>
      <c r="Z369" s="16"/>
      <c r="AA369" s="16"/>
      <c r="AB369" s="16" t="s">
        <v>1277</v>
      </c>
      <c r="AC369" s="16" t="s">
        <v>1276</v>
      </c>
      <c r="AD369" s="16" t="s">
        <v>1983</v>
      </c>
      <c r="AE369" s="16" t="s">
        <v>1279</v>
      </c>
      <c r="AF369" s="16" t="s">
        <v>1276</v>
      </c>
      <c r="AG369" s="16" t="s">
        <v>1280</v>
      </c>
      <c r="AH369" s="16"/>
    </row>
    <row r="370" spans="1:34" ht="45" x14ac:dyDescent="0.25">
      <c r="A370" s="16" t="s">
        <v>1272</v>
      </c>
      <c r="B370" s="16" t="s">
        <v>2188</v>
      </c>
      <c r="C370" s="16" t="s">
        <v>2189</v>
      </c>
      <c r="D370" s="16"/>
      <c r="E370" s="16"/>
      <c r="F370" s="16"/>
      <c r="G370" s="16"/>
      <c r="H370" s="16"/>
      <c r="I370" s="16"/>
      <c r="J370" s="16"/>
      <c r="K370" s="16"/>
      <c r="L370" s="16"/>
      <c r="M370" s="30"/>
      <c r="N370" s="16" t="s">
        <v>1274</v>
      </c>
      <c r="O370" s="16"/>
      <c r="P370" s="16" t="s">
        <v>2190</v>
      </c>
      <c r="Q370" s="16" t="s">
        <v>2670</v>
      </c>
      <c r="R370" s="16" t="s">
        <v>2670</v>
      </c>
      <c r="S370" s="16"/>
      <c r="T370" s="27"/>
      <c r="U370" s="16" t="s">
        <v>1276</v>
      </c>
      <c r="V370" s="16"/>
      <c r="W370" s="16" t="s">
        <v>2671</v>
      </c>
      <c r="X370" s="16"/>
      <c r="Y370" s="16"/>
      <c r="Z370" s="16"/>
      <c r="AA370" s="16"/>
      <c r="AB370" s="16" t="s">
        <v>1277</v>
      </c>
      <c r="AC370" s="16" t="s">
        <v>1276</v>
      </c>
      <c r="AD370" s="16" t="s">
        <v>2191</v>
      </c>
      <c r="AE370" s="16" t="s">
        <v>1279</v>
      </c>
      <c r="AF370" s="16" t="s">
        <v>1276</v>
      </c>
      <c r="AG370" s="16" t="s">
        <v>1280</v>
      </c>
      <c r="AH370" s="16"/>
    </row>
    <row r="371" spans="1:34" ht="45" x14ac:dyDescent="0.25">
      <c r="A371" s="16" t="s">
        <v>1272</v>
      </c>
      <c r="B371" s="16" t="s">
        <v>2193</v>
      </c>
      <c r="C371" s="16" t="s">
        <v>2194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30"/>
      <c r="N371" s="16" t="s">
        <v>1274</v>
      </c>
      <c r="O371" s="16"/>
      <c r="P371" s="16" t="s">
        <v>2195</v>
      </c>
      <c r="Q371" s="16" t="s">
        <v>2670</v>
      </c>
      <c r="R371" s="16" t="s">
        <v>2670</v>
      </c>
      <c r="S371" s="16"/>
      <c r="T371" s="27"/>
      <c r="U371" s="16" t="s">
        <v>1276</v>
      </c>
      <c r="V371" s="16"/>
      <c r="W371" s="16" t="s">
        <v>2674</v>
      </c>
      <c r="X371" s="16"/>
      <c r="Y371" s="16"/>
      <c r="Z371" s="16"/>
      <c r="AA371" s="16"/>
      <c r="AB371" s="16" t="s">
        <v>1277</v>
      </c>
      <c r="AC371" s="16" t="s">
        <v>1276</v>
      </c>
      <c r="AD371" s="16" t="s">
        <v>2196</v>
      </c>
      <c r="AE371" s="16" t="s">
        <v>1279</v>
      </c>
      <c r="AF371" s="16" t="s">
        <v>1276</v>
      </c>
      <c r="AG371" s="16" t="s">
        <v>1280</v>
      </c>
      <c r="AH371" s="16"/>
    </row>
    <row r="372" spans="1:34" ht="45" x14ac:dyDescent="0.25">
      <c r="A372" s="16" t="s">
        <v>1272</v>
      </c>
      <c r="B372" s="16" t="s">
        <v>1995</v>
      </c>
      <c r="C372" s="16" t="s">
        <v>1996</v>
      </c>
      <c r="D372" s="16"/>
      <c r="E372" s="16"/>
      <c r="F372" s="16"/>
      <c r="G372" s="16"/>
      <c r="H372" s="16"/>
      <c r="I372" s="16"/>
      <c r="J372" s="16"/>
      <c r="K372" s="16"/>
      <c r="L372" s="16"/>
      <c r="M372" s="30"/>
      <c r="N372" s="16" t="s">
        <v>1274</v>
      </c>
      <c r="O372" s="16"/>
      <c r="P372" s="16" t="s">
        <v>1997</v>
      </c>
      <c r="Q372" s="16" t="s">
        <v>2670</v>
      </c>
      <c r="R372" s="16" t="s">
        <v>2670</v>
      </c>
      <c r="S372" s="16"/>
      <c r="T372" s="27"/>
      <c r="U372" s="16" t="s">
        <v>1276</v>
      </c>
      <c r="V372" s="16"/>
      <c r="W372" s="16" t="s">
        <v>2673</v>
      </c>
      <c r="X372" s="16"/>
      <c r="Y372" s="16"/>
      <c r="Z372" s="16"/>
      <c r="AA372" s="16"/>
      <c r="AB372" s="16" t="s">
        <v>1277</v>
      </c>
      <c r="AC372" s="16" t="s">
        <v>1276</v>
      </c>
      <c r="AD372" s="16" t="s">
        <v>1998</v>
      </c>
      <c r="AE372" s="16" t="s">
        <v>1279</v>
      </c>
      <c r="AF372" s="16" t="s">
        <v>1276</v>
      </c>
      <c r="AG372" s="16" t="s">
        <v>1280</v>
      </c>
      <c r="AH372" s="16"/>
    </row>
    <row r="373" spans="1:34" ht="45" x14ac:dyDescent="0.25">
      <c r="A373" s="16" t="s">
        <v>1272</v>
      </c>
      <c r="B373" s="16" t="s">
        <v>2000</v>
      </c>
      <c r="C373" s="16" t="s">
        <v>2001</v>
      </c>
      <c r="D373" s="16"/>
      <c r="E373" s="16"/>
      <c r="F373" s="16"/>
      <c r="G373" s="16"/>
      <c r="H373" s="16"/>
      <c r="I373" s="16"/>
      <c r="J373" s="16"/>
      <c r="K373" s="16"/>
      <c r="L373" s="16"/>
      <c r="M373" s="30"/>
      <c r="N373" s="16" t="s">
        <v>1274</v>
      </c>
      <c r="O373" s="16"/>
      <c r="P373" s="16" t="s">
        <v>2002</v>
      </c>
      <c r="Q373" s="16" t="s">
        <v>2670</v>
      </c>
      <c r="R373" s="16" t="s">
        <v>2670</v>
      </c>
      <c r="S373" s="16"/>
      <c r="T373" s="27"/>
      <c r="U373" s="16" t="s">
        <v>1276</v>
      </c>
      <c r="V373" s="16"/>
      <c r="W373" s="16" t="s">
        <v>2674</v>
      </c>
      <c r="X373" s="16"/>
      <c r="Y373" s="16"/>
      <c r="Z373" s="16"/>
      <c r="AA373" s="16"/>
      <c r="AB373" s="16" t="s">
        <v>1277</v>
      </c>
      <c r="AC373" s="16" t="s">
        <v>1276</v>
      </c>
      <c r="AD373" s="16" t="s">
        <v>2003</v>
      </c>
      <c r="AE373" s="16" t="s">
        <v>1279</v>
      </c>
      <c r="AF373" s="16" t="s">
        <v>1276</v>
      </c>
      <c r="AG373" s="16" t="s">
        <v>1280</v>
      </c>
      <c r="AH373" s="16"/>
    </row>
    <row r="374" spans="1:34" ht="45" x14ac:dyDescent="0.25">
      <c r="A374" s="16" t="s">
        <v>1272</v>
      </c>
      <c r="B374" s="16" t="s">
        <v>2415</v>
      </c>
      <c r="C374" s="16" t="s">
        <v>2416</v>
      </c>
      <c r="D374" s="16"/>
      <c r="E374" s="16"/>
      <c r="F374" s="16"/>
      <c r="G374" s="16"/>
      <c r="H374" s="16"/>
      <c r="I374" s="16"/>
      <c r="J374" s="16"/>
      <c r="K374" s="16"/>
      <c r="L374" s="16"/>
      <c r="M374" s="30"/>
      <c r="N374" s="16" t="s">
        <v>1274</v>
      </c>
      <c r="O374" s="16"/>
      <c r="P374" s="16" t="s">
        <v>2417</v>
      </c>
      <c r="Q374" s="16" t="s">
        <v>2670</v>
      </c>
      <c r="R374" s="16" t="s">
        <v>2670</v>
      </c>
      <c r="S374" s="16"/>
      <c r="T374" s="27"/>
      <c r="U374" s="16" t="s">
        <v>1276</v>
      </c>
      <c r="V374" s="16"/>
      <c r="W374" s="16" t="s">
        <v>2673</v>
      </c>
      <c r="X374" s="16"/>
      <c r="Y374" s="16"/>
      <c r="Z374" s="16"/>
      <c r="AA374" s="16"/>
      <c r="AB374" s="16" t="s">
        <v>1277</v>
      </c>
      <c r="AC374" s="16" t="s">
        <v>1276</v>
      </c>
      <c r="AD374" s="16" t="s">
        <v>2418</v>
      </c>
      <c r="AE374" s="16" t="s">
        <v>1279</v>
      </c>
      <c r="AF374" s="16" t="s">
        <v>1276</v>
      </c>
      <c r="AG374" s="16" t="s">
        <v>1280</v>
      </c>
      <c r="AH374" s="16"/>
    </row>
    <row r="375" spans="1:34" ht="45" x14ac:dyDescent="0.25">
      <c r="A375" s="16" t="s">
        <v>1272</v>
      </c>
      <c r="B375" s="16" t="s">
        <v>2420</v>
      </c>
      <c r="C375" s="16" t="s">
        <v>2421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30"/>
      <c r="N375" s="16" t="s">
        <v>1274</v>
      </c>
      <c r="O375" s="16"/>
      <c r="P375" s="16" t="s">
        <v>2422</v>
      </c>
      <c r="Q375" s="16" t="s">
        <v>2670</v>
      </c>
      <c r="R375" s="16" t="s">
        <v>2670</v>
      </c>
      <c r="S375" s="16"/>
      <c r="T375" s="27"/>
      <c r="U375" s="16" t="s">
        <v>1276</v>
      </c>
      <c r="V375" s="16"/>
      <c r="W375" s="16" t="s">
        <v>2678</v>
      </c>
      <c r="X375" s="16"/>
      <c r="Y375" s="16"/>
      <c r="Z375" s="16"/>
      <c r="AA375" s="16"/>
      <c r="AB375" s="16" t="s">
        <v>1277</v>
      </c>
      <c r="AC375" s="16" t="s">
        <v>1276</v>
      </c>
      <c r="AD375" s="16" t="s">
        <v>2423</v>
      </c>
      <c r="AE375" s="16" t="s">
        <v>1279</v>
      </c>
      <c r="AF375" s="16" t="s">
        <v>1276</v>
      </c>
      <c r="AG375" s="16" t="s">
        <v>1280</v>
      </c>
      <c r="AH375" s="16"/>
    </row>
    <row r="376" spans="1:34" ht="45" x14ac:dyDescent="0.25">
      <c r="A376" s="16" t="s">
        <v>1272</v>
      </c>
      <c r="B376" s="16" t="s">
        <v>2425</v>
      </c>
      <c r="C376" s="16" t="s">
        <v>2426</v>
      </c>
      <c r="D376" s="16"/>
      <c r="E376" s="16"/>
      <c r="F376" s="16"/>
      <c r="G376" s="16"/>
      <c r="H376" s="16"/>
      <c r="I376" s="16"/>
      <c r="J376" s="16"/>
      <c r="K376" s="16"/>
      <c r="L376" s="16"/>
      <c r="M376" s="30"/>
      <c r="N376" s="16" t="s">
        <v>1274</v>
      </c>
      <c r="O376" s="16"/>
      <c r="P376" s="16" t="s">
        <v>2427</v>
      </c>
      <c r="Q376" s="16" t="s">
        <v>2670</v>
      </c>
      <c r="R376" s="16" t="s">
        <v>2670</v>
      </c>
      <c r="S376" s="16"/>
      <c r="T376" s="27"/>
      <c r="U376" s="16" t="s">
        <v>1276</v>
      </c>
      <c r="V376" s="16"/>
      <c r="W376" s="16" t="s">
        <v>2675</v>
      </c>
      <c r="X376" s="16"/>
      <c r="Y376" s="16"/>
      <c r="Z376" s="16"/>
      <c r="AA376" s="16"/>
      <c r="AB376" s="16" t="s">
        <v>1277</v>
      </c>
      <c r="AC376" s="16" t="s">
        <v>1276</v>
      </c>
      <c r="AD376" s="16" t="s">
        <v>2428</v>
      </c>
      <c r="AE376" s="16" t="s">
        <v>1279</v>
      </c>
      <c r="AF376" s="16" t="s">
        <v>1276</v>
      </c>
      <c r="AG376" s="16" t="s">
        <v>1280</v>
      </c>
      <c r="AH376" s="16"/>
    </row>
    <row r="377" spans="1:34" ht="45" x14ac:dyDescent="0.25">
      <c r="A377" s="16" t="s">
        <v>1272</v>
      </c>
      <c r="B377" s="16" t="s">
        <v>2430</v>
      </c>
      <c r="C377" s="16" t="s">
        <v>2431</v>
      </c>
      <c r="D377" s="16"/>
      <c r="E377" s="16"/>
      <c r="F377" s="16"/>
      <c r="G377" s="16"/>
      <c r="H377" s="16"/>
      <c r="I377" s="16"/>
      <c r="J377" s="16"/>
      <c r="K377" s="16"/>
      <c r="L377" s="16"/>
      <c r="M377" s="30"/>
      <c r="N377" s="16" t="s">
        <v>1274</v>
      </c>
      <c r="O377" s="16"/>
      <c r="P377" s="16" t="s">
        <v>2432</v>
      </c>
      <c r="Q377" s="16" t="s">
        <v>2670</v>
      </c>
      <c r="R377" s="16" t="s">
        <v>2670</v>
      </c>
      <c r="S377" s="16"/>
      <c r="T377" s="27"/>
      <c r="U377" s="16" t="s">
        <v>1276</v>
      </c>
      <c r="V377" s="16"/>
      <c r="W377" s="16" t="s">
        <v>2673</v>
      </c>
      <c r="X377" s="16"/>
      <c r="Y377" s="16"/>
      <c r="Z377" s="16"/>
      <c r="AA377" s="16"/>
      <c r="AB377" s="16" t="s">
        <v>1277</v>
      </c>
      <c r="AC377" s="16" t="s">
        <v>1276</v>
      </c>
      <c r="AD377" s="16" t="s">
        <v>2433</v>
      </c>
      <c r="AE377" s="16" t="s">
        <v>1279</v>
      </c>
      <c r="AF377" s="16" t="s">
        <v>1276</v>
      </c>
      <c r="AG377" s="16" t="s">
        <v>1280</v>
      </c>
      <c r="AH377" s="16"/>
    </row>
    <row r="378" spans="1:34" ht="45" x14ac:dyDescent="0.25">
      <c r="A378" s="16" t="s">
        <v>1272</v>
      </c>
      <c r="B378" s="16" t="s">
        <v>1839</v>
      </c>
      <c r="C378" s="16" t="s">
        <v>790</v>
      </c>
      <c r="D378" s="16"/>
      <c r="E378" s="16"/>
      <c r="F378" s="16"/>
      <c r="G378" s="16"/>
      <c r="H378" s="16"/>
      <c r="I378" s="16"/>
      <c r="J378" s="16"/>
      <c r="K378" s="16"/>
      <c r="L378" s="16"/>
      <c r="M378" s="30"/>
      <c r="N378" s="16" t="s">
        <v>1274</v>
      </c>
      <c r="O378" s="16"/>
      <c r="P378" s="16" t="s">
        <v>1840</v>
      </c>
      <c r="Q378" s="16" t="s">
        <v>2670</v>
      </c>
      <c r="R378" s="16" t="s">
        <v>2670</v>
      </c>
      <c r="S378" s="16"/>
      <c r="T378" s="27"/>
      <c r="U378" s="16" t="s">
        <v>1276</v>
      </c>
      <c r="V378" s="16"/>
      <c r="W378" s="16" t="s">
        <v>2673</v>
      </c>
      <c r="X378" s="16"/>
      <c r="Y378" s="16"/>
      <c r="Z378" s="16"/>
      <c r="AA378" s="16"/>
      <c r="AB378" s="16" t="s">
        <v>1277</v>
      </c>
      <c r="AC378" s="16" t="s">
        <v>1276</v>
      </c>
      <c r="AD378" s="16" t="s">
        <v>1841</v>
      </c>
      <c r="AE378" s="16" t="s">
        <v>1279</v>
      </c>
      <c r="AF378" s="16" t="s">
        <v>1276</v>
      </c>
      <c r="AG378" s="16" t="s">
        <v>1280</v>
      </c>
      <c r="AH378" s="16"/>
    </row>
    <row r="379" spans="1:34" ht="45" x14ac:dyDescent="0.25">
      <c r="A379" s="16" t="s">
        <v>1272</v>
      </c>
      <c r="B379" s="16" t="s">
        <v>1456</v>
      </c>
      <c r="C379" s="16" t="s">
        <v>372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30"/>
      <c r="N379" s="16" t="s">
        <v>1274</v>
      </c>
      <c r="O379" s="16"/>
      <c r="P379" s="16" t="s">
        <v>1457</v>
      </c>
      <c r="Q379" s="16" t="s">
        <v>2670</v>
      </c>
      <c r="R379" s="16" t="s">
        <v>2670</v>
      </c>
      <c r="S379" s="16"/>
      <c r="T379" s="27"/>
      <c r="U379" s="16" t="s">
        <v>1276</v>
      </c>
      <c r="V379" s="16"/>
      <c r="W379" s="16" t="s">
        <v>2675</v>
      </c>
      <c r="X379" s="16"/>
      <c r="Y379" s="16"/>
      <c r="Z379" s="16"/>
      <c r="AA379" s="16"/>
      <c r="AB379" s="16" t="s">
        <v>1277</v>
      </c>
      <c r="AC379" s="16" t="s">
        <v>1276</v>
      </c>
      <c r="AD379" s="16" t="s">
        <v>1458</v>
      </c>
      <c r="AE379" s="16" t="s">
        <v>1279</v>
      </c>
      <c r="AF379" s="16" t="s">
        <v>1276</v>
      </c>
      <c r="AG379" s="16" t="s">
        <v>1280</v>
      </c>
      <c r="AH379" s="16"/>
    </row>
    <row r="380" spans="1:34" ht="45" x14ac:dyDescent="0.25">
      <c r="A380" s="16" t="s">
        <v>1272</v>
      </c>
      <c r="B380" s="16" t="s">
        <v>1459</v>
      </c>
      <c r="C380" s="16" t="s">
        <v>274</v>
      </c>
      <c r="D380" s="16"/>
      <c r="E380" s="16"/>
      <c r="F380" s="16"/>
      <c r="G380" s="16"/>
      <c r="H380" s="16"/>
      <c r="I380" s="16"/>
      <c r="J380" s="16"/>
      <c r="K380" s="16"/>
      <c r="L380" s="16"/>
      <c r="M380" s="30"/>
      <c r="N380" s="16" t="s">
        <v>1274</v>
      </c>
      <c r="O380" s="16"/>
      <c r="P380" s="16" t="s">
        <v>1460</v>
      </c>
      <c r="Q380" s="16" t="s">
        <v>2670</v>
      </c>
      <c r="R380" s="16" t="s">
        <v>2670</v>
      </c>
      <c r="S380" s="16"/>
      <c r="T380" s="27"/>
      <c r="U380" s="16" t="s">
        <v>1276</v>
      </c>
      <c r="V380" s="16"/>
      <c r="W380" s="16" t="s">
        <v>2679</v>
      </c>
      <c r="X380" s="16"/>
      <c r="Y380" s="16"/>
      <c r="Z380" s="16"/>
      <c r="AA380" s="16"/>
      <c r="AB380" s="16" t="s">
        <v>1277</v>
      </c>
      <c r="AC380" s="16" t="s">
        <v>1276</v>
      </c>
      <c r="AD380" s="16" t="s">
        <v>1461</v>
      </c>
      <c r="AE380" s="16" t="s">
        <v>1279</v>
      </c>
      <c r="AF380" s="16" t="s">
        <v>1276</v>
      </c>
      <c r="AG380" s="16" t="s">
        <v>1280</v>
      </c>
      <c r="AH380" s="16"/>
    </row>
    <row r="381" spans="1:34" ht="45" x14ac:dyDescent="0.25">
      <c r="A381" s="16" t="s">
        <v>1272</v>
      </c>
      <c r="B381" s="16" t="s">
        <v>1462</v>
      </c>
      <c r="C381" s="16" t="s">
        <v>412</v>
      </c>
      <c r="D381" s="16"/>
      <c r="E381" s="16"/>
      <c r="F381" s="16"/>
      <c r="G381" s="16"/>
      <c r="H381" s="16"/>
      <c r="I381" s="16"/>
      <c r="J381" s="16"/>
      <c r="K381" s="16"/>
      <c r="L381" s="16"/>
      <c r="M381" s="30"/>
      <c r="N381" s="16" t="s">
        <v>1274</v>
      </c>
      <c r="O381" s="16"/>
      <c r="P381" s="16" t="s">
        <v>1463</v>
      </c>
      <c r="Q381" s="16" t="s">
        <v>2670</v>
      </c>
      <c r="R381" s="16" t="s">
        <v>2670</v>
      </c>
      <c r="S381" s="16"/>
      <c r="T381" s="27"/>
      <c r="U381" s="16" t="s">
        <v>1276</v>
      </c>
      <c r="V381" s="16"/>
      <c r="W381" s="16" t="s">
        <v>2679</v>
      </c>
      <c r="X381" s="16"/>
      <c r="Y381" s="16"/>
      <c r="Z381" s="16"/>
      <c r="AA381" s="16"/>
      <c r="AB381" s="16" t="s">
        <v>1277</v>
      </c>
      <c r="AC381" s="16" t="s">
        <v>1276</v>
      </c>
      <c r="AD381" s="16" t="s">
        <v>1464</v>
      </c>
      <c r="AE381" s="16" t="s">
        <v>1279</v>
      </c>
      <c r="AF381" s="16" t="s">
        <v>1276</v>
      </c>
      <c r="AG381" s="16" t="s">
        <v>1280</v>
      </c>
      <c r="AH381" s="16"/>
    </row>
    <row r="382" spans="1:34" ht="45" x14ac:dyDescent="0.25">
      <c r="A382" s="16" t="s">
        <v>1272</v>
      </c>
      <c r="B382" s="16" t="s">
        <v>1465</v>
      </c>
      <c r="C382" s="16" t="s">
        <v>346</v>
      </c>
      <c r="D382" s="16"/>
      <c r="E382" s="16"/>
      <c r="F382" s="16"/>
      <c r="G382" s="16"/>
      <c r="H382" s="16"/>
      <c r="I382" s="16"/>
      <c r="J382" s="16"/>
      <c r="K382" s="16"/>
      <c r="L382" s="16"/>
      <c r="M382" s="30"/>
      <c r="N382" s="16" t="s">
        <v>1274</v>
      </c>
      <c r="O382" s="16"/>
      <c r="P382" s="16" t="s">
        <v>1466</v>
      </c>
      <c r="Q382" s="16" t="s">
        <v>2670</v>
      </c>
      <c r="R382" s="16" t="s">
        <v>2670</v>
      </c>
      <c r="S382" s="16"/>
      <c r="T382" s="27"/>
      <c r="U382" s="16" t="s">
        <v>1276</v>
      </c>
      <c r="V382" s="16"/>
      <c r="W382" s="16" t="s">
        <v>2673</v>
      </c>
      <c r="X382" s="16"/>
      <c r="Y382" s="16"/>
      <c r="Z382" s="16"/>
      <c r="AA382" s="16"/>
      <c r="AB382" s="16" t="s">
        <v>1277</v>
      </c>
      <c r="AC382" s="16" t="s">
        <v>1276</v>
      </c>
      <c r="AD382" s="16" t="s">
        <v>1467</v>
      </c>
      <c r="AE382" s="16" t="s">
        <v>1279</v>
      </c>
      <c r="AF382" s="16" t="s">
        <v>1276</v>
      </c>
      <c r="AG382" s="16" t="s">
        <v>1280</v>
      </c>
      <c r="AH382" s="16"/>
    </row>
    <row r="383" spans="1:34" ht="45" x14ac:dyDescent="0.25">
      <c r="A383" s="16" t="s">
        <v>1272</v>
      </c>
      <c r="B383" s="16" t="s">
        <v>2297</v>
      </c>
      <c r="C383" s="16" t="s">
        <v>2298</v>
      </c>
      <c r="D383" s="16"/>
      <c r="E383" s="16"/>
      <c r="F383" s="16"/>
      <c r="G383" s="16"/>
      <c r="H383" s="16"/>
      <c r="I383" s="16"/>
      <c r="J383" s="16"/>
      <c r="K383" s="16"/>
      <c r="L383" s="16"/>
      <c r="M383" s="30"/>
      <c r="N383" s="16" t="s">
        <v>1274</v>
      </c>
      <c r="O383" s="16"/>
      <c r="P383" s="16" t="s">
        <v>2299</v>
      </c>
      <c r="Q383" s="16" t="s">
        <v>2670</v>
      </c>
      <c r="R383" s="16" t="s">
        <v>2670</v>
      </c>
      <c r="S383" s="16"/>
      <c r="T383" s="27"/>
      <c r="U383" s="16" t="s">
        <v>1276</v>
      </c>
      <c r="V383" s="16"/>
      <c r="W383" s="16" t="s">
        <v>2671</v>
      </c>
      <c r="X383" s="16"/>
      <c r="Y383" s="16"/>
      <c r="Z383" s="16"/>
      <c r="AA383" s="16"/>
      <c r="AB383" s="16" t="s">
        <v>1277</v>
      </c>
      <c r="AC383" s="16" t="s">
        <v>1276</v>
      </c>
      <c r="AD383" s="16" t="s">
        <v>2300</v>
      </c>
      <c r="AE383" s="16" t="s">
        <v>1279</v>
      </c>
      <c r="AF383" s="16" t="s">
        <v>1276</v>
      </c>
      <c r="AG383" s="16" t="s">
        <v>1280</v>
      </c>
      <c r="AH383" s="16"/>
    </row>
    <row r="384" spans="1:34" ht="45" x14ac:dyDescent="0.25">
      <c r="A384" s="16" t="s">
        <v>1272</v>
      </c>
      <c r="B384" s="16" t="s">
        <v>2302</v>
      </c>
      <c r="C384" s="16" t="s">
        <v>2303</v>
      </c>
      <c r="D384" s="16"/>
      <c r="E384" s="16"/>
      <c r="F384" s="16"/>
      <c r="G384" s="16"/>
      <c r="H384" s="16"/>
      <c r="I384" s="16"/>
      <c r="J384" s="16"/>
      <c r="K384" s="16"/>
      <c r="L384" s="16"/>
      <c r="M384" s="30"/>
      <c r="N384" s="16" t="s">
        <v>1274</v>
      </c>
      <c r="O384" s="16"/>
      <c r="P384" s="16" t="s">
        <v>2304</v>
      </c>
      <c r="Q384" s="16" t="s">
        <v>2670</v>
      </c>
      <c r="R384" s="16" t="s">
        <v>2670</v>
      </c>
      <c r="S384" s="16"/>
      <c r="T384" s="27"/>
      <c r="U384" s="16" t="s">
        <v>1276</v>
      </c>
      <c r="V384" s="16"/>
      <c r="W384" s="16" t="s">
        <v>2674</v>
      </c>
      <c r="X384" s="16"/>
      <c r="Y384" s="16"/>
      <c r="Z384" s="16"/>
      <c r="AA384" s="16"/>
      <c r="AB384" s="16" t="s">
        <v>1277</v>
      </c>
      <c r="AC384" s="16" t="s">
        <v>1276</v>
      </c>
      <c r="AD384" s="16" t="s">
        <v>2305</v>
      </c>
      <c r="AE384" s="16" t="s">
        <v>1279</v>
      </c>
      <c r="AF384" s="16" t="s">
        <v>1276</v>
      </c>
      <c r="AG384" s="16" t="s">
        <v>1280</v>
      </c>
      <c r="AH384" s="16"/>
    </row>
    <row r="385" spans="1:34" ht="45" x14ac:dyDescent="0.25">
      <c r="A385" s="16" t="s">
        <v>1272</v>
      </c>
      <c r="B385" s="16" t="s">
        <v>2307</v>
      </c>
      <c r="C385" s="16" t="s">
        <v>2308</v>
      </c>
      <c r="D385" s="16"/>
      <c r="E385" s="16"/>
      <c r="F385" s="16"/>
      <c r="G385" s="16"/>
      <c r="H385" s="16"/>
      <c r="I385" s="16"/>
      <c r="J385" s="16"/>
      <c r="K385" s="16"/>
      <c r="L385" s="16"/>
      <c r="M385" s="30"/>
      <c r="N385" s="16" t="s">
        <v>1274</v>
      </c>
      <c r="O385" s="16"/>
      <c r="P385" s="16" t="s">
        <v>2309</v>
      </c>
      <c r="Q385" s="16" t="s">
        <v>2670</v>
      </c>
      <c r="R385" s="16" t="s">
        <v>2670</v>
      </c>
      <c r="S385" s="16"/>
      <c r="T385" s="27"/>
      <c r="U385" s="16" t="s">
        <v>1276</v>
      </c>
      <c r="V385" s="16"/>
      <c r="W385" s="16" t="s">
        <v>2673</v>
      </c>
      <c r="X385" s="16"/>
      <c r="Y385" s="16"/>
      <c r="Z385" s="16"/>
      <c r="AA385" s="16"/>
      <c r="AB385" s="16" t="s">
        <v>1277</v>
      </c>
      <c r="AC385" s="16" t="s">
        <v>1276</v>
      </c>
      <c r="AD385" s="16" t="s">
        <v>2310</v>
      </c>
      <c r="AE385" s="16" t="s">
        <v>1279</v>
      </c>
      <c r="AF385" s="16" t="s">
        <v>1276</v>
      </c>
      <c r="AG385" s="16" t="s">
        <v>1280</v>
      </c>
      <c r="AH385" s="16"/>
    </row>
    <row r="386" spans="1:34" ht="45" x14ac:dyDescent="0.25">
      <c r="A386" s="16" t="s">
        <v>1272</v>
      </c>
      <c r="B386" s="16" t="s">
        <v>2312</v>
      </c>
      <c r="C386" s="16" t="s">
        <v>2313</v>
      </c>
      <c r="D386" s="16"/>
      <c r="E386" s="16"/>
      <c r="F386" s="16"/>
      <c r="G386" s="16"/>
      <c r="H386" s="16"/>
      <c r="I386" s="16"/>
      <c r="J386" s="16"/>
      <c r="K386" s="16"/>
      <c r="L386" s="16"/>
      <c r="M386" s="30"/>
      <c r="N386" s="16" t="s">
        <v>1274</v>
      </c>
      <c r="O386" s="16"/>
      <c r="P386" s="16" t="s">
        <v>2314</v>
      </c>
      <c r="Q386" s="16" t="s">
        <v>2670</v>
      </c>
      <c r="R386" s="16" t="s">
        <v>2670</v>
      </c>
      <c r="S386" s="16"/>
      <c r="T386" s="27"/>
      <c r="U386" s="16" t="s">
        <v>1276</v>
      </c>
      <c r="V386" s="16"/>
      <c r="W386" s="16" t="s">
        <v>2673</v>
      </c>
      <c r="X386" s="16"/>
      <c r="Y386" s="16"/>
      <c r="Z386" s="16"/>
      <c r="AA386" s="16"/>
      <c r="AB386" s="16" t="s">
        <v>1277</v>
      </c>
      <c r="AC386" s="16" t="s">
        <v>1276</v>
      </c>
      <c r="AD386" s="16" t="s">
        <v>2315</v>
      </c>
      <c r="AE386" s="16" t="s">
        <v>1279</v>
      </c>
      <c r="AF386" s="16" t="s">
        <v>1276</v>
      </c>
      <c r="AG386" s="16" t="s">
        <v>1280</v>
      </c>
      <c r="AH386" s="16"/>
    </row>
    <row r="387" spans="1:34" ht="45" x14ac:dyDescent="0.25">
      <c r="A387" s="16" t="s">
        <v>1272</v>
      </c>
      <c r="B387" s="16" t="s">
        <v>2317</v>
      </c>
      <c r="C387" s="16" t="s">
        <v>2298</v>
      </c>
      <c r="D387" s="16"/>
      <c r="E387" s="16"/>
      <c r="F387" s="16"/>
      <c r="G387" s="16"/>
      <c r="H387" s="16"/>
      <c r="I387" s="16"/>
      <c r="J387" s="16"/>
      <c r="K387" s="16"/>
      <c r="L387" s="16"/>
      <c r="M387" s="30"/>
      <c r="N387" s="16" t="s">
        <v>1274</v>
      </c>
      <c r="O387" s="16"/>
      <c r="P387" s="16" t="s">
        <v>2318</v>
      </c>
      <c r="Q387" s="16" t="s">
        <v>2670</v>
      </c>
      <c r="R387" s="16" t="s">
        <v>2670</v>
      </c>
      <c r="S387" s="16"/>
      <c r="T387" s="27"/>
      <c r="U387" s="16" t="s">
        <v>1276</v>
      </c>
      <c r="V387" s="16"/>
      <c r="W387" s="16" t="s">
        <v>2671</v>
      </c>
      <c r="X387" s="16"/>
      <c r="Y387" s="16"/>
      <c r="Z387" s="16"/>
      <c r="AA387" s="16"/>
      <c r="AB387" s="16" t="s">
        <v>1277</v>
      </c>
      <c r="AC387" s="16" t="s">
        <v>1276</v>
      </c>
      <c r="AD387" s="16" t="s">
        <v>2319</v>
      </c>
      <c r="AE387" s="16" t="s">
        <v>1279</v>
      </c>
      <c r="AF387" s="16" t="s">
        <v>1276</v>
      </c>
      <c r="AG387" s="16" t="s">
        <v>1280</v>
      </c>
      <c r="AH387" s="16"/>
    </row>
    <row r="388" spans="1:34" ht="45" x14ac:dyDescent="0.25">
      <c r="A388" s="16" t="s">
        <v>1272</v>
      </c>
      <c r="B388" s="16" t="s">
        <v>2321</v>
      </c>
      <c r="C388" s="16" t="s">
        <v>2303</v>
      </c>
      <c r="D388" s="16"/>
      <c r="E388" s="16"/>
      <c r="F388" s="16"/>
      <c r="G388" s="16"/>
      <c r="H388" s="16"/>
      <c r="I388" s="16"/>
      <c r="J388" s="16"/>
      <c r="K388" s="16"/>
      <c r="L388" s="16"/>
      <c r="M388" s="30"/>
      <c r="N388" s="16" t="s">
        <v>1274</v>
      </c>
      <c r="O388" s="16"/>
      <c r="P388" s="16" t="s">
        <v>2322</v>
      </c>
      <c r="Q388" s="16" t="s">
        <v>2670</v>
      </c>
      <c r="R388" s="16" t="s">
        <v>2670</v>
      </c>
      <c r="S388" s="16"/>
      <c r="T388" s="27"/>
      <c r="U388" s="16" t="s">
        <v>1276</v>
      </c>
      <c r="V388" s="16"/>
      <c r="W388" s="16" t="s">
        <v>2671</v>
      </c>
      <c r="X388" s="16"/>
      <c r="Y388" s="16"/>
      <c r="Z388" s="16"/>
      <c r="AA388" s="16"/>
      <c r="AB388" s="16" t="s">
        <v>1277</v>
      </c>
      <c r="AC388" s="16" t="s">
        <v>1276</v>
      </c>
      <c r="AD388" s="16" t="s">
        <v>2323</v>
      </c>
      <c r="AE388" s="16" t="s">
        <v>1279</v>
      </c>
      <c r="AF388" s="16" t="s">
        <v>1276</v>
      </c>
      <c r="AG388" s="16" t="s">
        <v>1280</v>
      </c>
      <c r="AH388" s="16"/>
    </row>
    <row r="389" spans="1:34" ht="45" x14ac:dyDescent="0.25">
      <c r="A389" s="16" t="s">
        <v>1272</v>
      </c>
      <c r="B389" s="16" t="s">
        <v>2325</v>
      </c>
      <c r="C389" s="16" t="s">
        <v>2326</v>
      </c>
      <c r="D389" s="16"/>
      <c r="E389" s="16"/>
      <c r="F389" s="16"/>
      <c r="G389" s="16"/>
      <c r="H389" s="16"/>
      <c r="I389" s="16"/>
      <c r="J389" s="16"/>
      <c r="K389" s="16"/>
      <c r="L389" s="16"/>
      <c r="M389" s="30"/>
      <c r="N389" s="16" t="s">
        <v>1274</v>
      </c>
      <c r="O389" s="16"/>
      <c r="P389" s="16" t="s">
        <v>2327</v>
      </c>
      <c r="Q389" s="16" t="s">
        <v>2670</v>
      </c>
      <c r="R389" s="16" t="s">
        <v>2670</v>
      </c>
      <c r="S389" s="16"/>
      <c r="T389" s="27"/>
      <c r="U389" s="16" t="s">
        <v>1276</v>
      </c>
      <c r="V389" s="16"/>
      <c r="W389" s="16" t="s">
        <v>2674</v>
      </c>
      <c r="X389" s="16"/>
      <c r="Y389" s="16"/>
      <c r="Z389" s="16"/>
      <c r="AA389" s="16"/>
      <c r="AB389" s="16" t="s">
        <v>1277</v>
      </c>
      <c r="AC389" s="16" t="s">
        <v>1276</v>
      </c>
      <c r="AD389" s="16" t="s">
        <v>2328</v>
      </c>
      <c r="AE389" s="16" t="s">
        <v>1279</v>
      </c>
      <c r="AF389" s="16" t="s">
        <v>1276</v>
      </c>
      <c r="AG389" s="16" t="s">
        <v>1280</v>
      </c>
      <c r="AH389" s="16"/>
    </row>
    <row r="390" spans="1:34" ht="45" x14ac:dyDescent="0.25">
      <c r="A390" s="16" t="s">
        <v>1272</v>
      </c>
      <c r="B390" s="16" t="s">
        <v>2330</v>
      </c>
      <c r="C390" s="16" t="s">
        <v>2331</v>
      </c>
      <c r="D390" s="16"/>
      <c r="E390" s="16"/>
      <c r="F390" s="16"/>
      <c r="G390" s="16"/>
      <c r="H390" s="16"/>
      <c r="I390" s="16"/>
      <c r="J390" s="16"/>
      <c r="K390" s="16"/>
      <c r="L390" s="16"/>
      <c r="M390" s="30"/>
      <c r="N390" s="16" t="s">
        <v>1274</v>
      </c>
      <c r="O390" s="16"/>
      <c r="P390" s="16" t="s">
        <v>2332</v>
      </c>
      <c r="Q390" s="16" t="s">
        <v>2670</v>
      </c>
      <c r="R390" s="16" t="s">
        <v>2670</v>
      </c>
      <c r="S390" s="16"/>
      <c r="T390" s="27"/>
      <c r="U390" s="16" t="s">
        <v>1276</v>
      </c>
      <c r="V390" s="16"/>
      <c r="W390" s="16" t="s">
        <v>2671</v>
      </c>
      <c r="X390" s="16"/>
      <c r="Y390" s="16"/>
      <c r="Z390" s="16"/>
      <c r="AA390" s="16"/>
      <c r="AB390" s="16" t="s">
        <v>1277</v>
      </c>
      <c r="AC390" s="16" t="s">
        <v>1276</v>
      </c>
      <c r="AD390" s="16" t="s">
        <v>2333</v>
      </c>
      <c r="AE390" s="16" t="s">
        <v>1279</v>
      </c>
      <c r="AF390" s="16" t="s">
        <v>1276</v>
      </c>
      <c r="AG390" s="16" t="s">
        <v>1280</v>
      </c>
      <c r="AH390" s="16"/>
    </row>
    <row r="391" spans="1:34" ht="60" x14ac:dyDescent="0.25">
      <c r="A391" s="16" t="s">
        <v>1272</v>
      </c>
      <c r="B391" s="16" t="s">
        <v>1710</v>
      </c>
      <c r="C391" s="16" t="s">
        <v>703</v>
      </c>
      <c r="D391" s="16"/>
      <c r="E391" s="16"/>
      <c r="F391" s="16"/>
      <c r="G391" s="16"/>
      <c r="H391" s="16"/>
      <c r="I391" s="16"/>
      <c r="J391" s="16"/>
      <c r="K391" s="16"/>
      <c r="L391" s="16"/>
      <c r="M391" s="30"/>
      <c r="N391" s="16" t="s">
        <v>1274</v>
      </c>
      <c r="O391" s="16"/>
      <c r="P391" s="16" t="s">
        <v>1711</v>
      </c>
      <c r="Q391" s="16" t="s">
        <v>2670</v>
      </c>
      <c r="R391" s="16" t="s">
        <v>2670</v>
      </c>
      <c r="S391" s="16"/>
      <c r="T391" s="27"/>
      <c r="U391" s="16" t="s">
        <v>1276</v>
      </c>
      <c r="V391" s="16"/>
      <c r="W391" s="16" t="s">
        <v>2675</v>
      </c>
      <c r="X391" s="16"/>
      <c r="Y391" s="16"/>
      <c r="Z391" s="16"/>
      <c r="AA391" s="16"/>
      <c r="AB391" s="16" t="s">
        <v>1277</v>
      </c>
      <c r="AC391" s="16" t="s">
        <v>1276</v>
      </c>
      <c r="AD391" s="16" t="s">
        <v>1712</v>
      </c>
      <c r="AE391" s="16" t="s">
        <v>1279</v>
      </c>
      <c r="AF391" s="16" t="s">
        <v>1276</v>
      </c>
      <c r="AG391" s="16" t="s">
        <v>1280</v>
      </c>
      <c r="AH391" s="16"/>
    </row>
    <row r="392" spans="1:34" ht="45" x14ac:dyDescent="0.25">
      <c r="A392" s="16" t="s">
        <v>1272</v>
      </c>
      <c r="B392" s="16" t="s">
        <v>1719</v>
      </c>
      <c r="C392" s="16" t="s">
        <v>609</v>
      </c>
      <c r="D392" s="16"/>
      <c r="E392" s="16"/>
      <c r="F392" s="16"/>
      <c r="G392" s="16"/>
      <c r="H392" s="16"/>
      <c r="I392" s="16"/>
      <c r="J392" s="16"/>
      <c r="K392" s="16"/>
      <c r="L392" s="16"/>
      <c r="M392" s="30"/>
      <c r="N392" s="16" t="s">
        <v>1274</v>
      </c>
      <c r="O392" s="16"/>
      <c r="P392" s="16" t="s">
        <v>1720</v>
      </c>
      <c r="Q392" s="16" t="s">
        <v>2670</v>
      </c>
      <c r="R392" s="16" t="s">
        <v>2670</v>
      </c>
      <c r="S392" s="16"/>
      <c r="T392" s="27"/>
      <c r="U392" s="16" t="s">
        <v>1276</v>
      </c>
      <c r="V392" s="16"/>
      <c r="W392" s="16" t="s">
        <v>2671</v>
      </c>
      <c r="X392" s="16"/>
      <c r="Y392" s="16"/>
      <c r="Z392" s="16"/>
      <c r="AA392" s="16"/>
      <c r="AB392" s="16" t="s">
        <v>1277</v>
      </c>
      <c r="AC392" s="16" t="s">
        <v>1276</v>
      </c>
      <c r="AD392" s="16" t="s">
        <v>1721</v>
      </c>
      <c r="AE392" s="16" t="s">
        <v>1279</v>
      </c>
      <c r="AF392" s="16" t="s">
        <v>1276</v>
      </c>
      <c r="AG392" s="16" t="s">
        <v>1280</v>
      </c>
      <c r="AH392" s="16"/>
    </row>
    <row r="393" spans="1:34" ht="45" x14ac:dyDescent="0.25">
      <c r="A393" s="16" t="s">
        <v>1272</v>
      </c>
      <c r="B393" s="16" t="s">
        <v>2644</v>
      </c>
      <c r="C393" s="16" t="s">
        <v>2645</v>
      </c>
      <c r="D393" s="16"/>
      <c r="E393" s="16"/>
      <c r="F393" s="16"/>
      <c r="G393" s="16"/>
      <c r="H393" s="16"/>
      <c r="I393" s="16"/>
      <c r="J393" s="16"/>
      <c r="K393" s="16"/>
      <c r="L393" s="16"/>
      <c r="M393" s="30"/>
      <c r="N393" s="16" t="s">
        <v>1274</v>
      </c>
      <c r="O393" s="16"/>
      <c r="P393" s="16" t="s">
        <v>2680</v>
      </c>
      <c r="Q393" s="16" t="s">
        <v>2670</v>
      </c>
      <c r="R393" s="16" t="s">
        <v>2670</v>
      </c>
      <c r="S393" s="16"/>
      <c r="T393" s="27"/>
      <c r="U393" s="16" t="s">
        <v>1276</v>
      </c>
      <c r="V393" s="16"/>
      <c r="W393" s="16" t="s">
        <v>2671</v>
      </c>
      <c r="X393" s="16"/>
      <c r="Y393" s="16"/>
      <c r="Z393" s="16"/>
      <c r="AA393" s="16"/>
      <c r="AB393" s="16" t="s">
        <v>1277</v>
      </c>
      <c r="AC393" s="16" t="s">
        <v>1276</v>
      </c>
      <c r="AD393" s="16" t="s">
        <v>2681</v>
      </c>
      <c r="AE393" s="16" t="s">
        <v>1279</v>
      </c>
      <c r="AF393" s="16" t="s">
        <v>1276</v>
      </c>
      <c r="AG393" s="16" t="s">
        <v>1280</v>
      </c>
      <c r="AH393" s="16"/>
    </row>
    <row r="394" spans="1:34" ht="45" x14ac:dyDescent="0.25">
      <c r="A394" s="16" t="s">
        <v>1272</v>
      </c>
      <c r="B394" s="16" t="s">
        <v>1848</v>
      </c>
      <c r="C394" s="16" t="s">
        <v>843</v>
      </c>
      <c r="D394" s="16"/>
      <c r="E394" s="16"/>
      <c r="F394" s="16"/>
      <c r="G394" s="16"/>
      <c r="H394" s="16"/>
      <c r="I394" s="16"/>
      <c r="J394" s="16"/>
      <c r="K394" s="16"/>
      <c r="L394" s="16"/>
      <c r="M394" s="30"/>
      <c r="N394" s="16" t="s">
        <v>1274</v>
      </c>
      <c r="O394" s="16"/>
      <c r="P394" s="16" t="s">
        <v>1849</v>
      </c>
      <c r="Q394" s="16" t="s">
        <v>2670</v>
      </c>
      <c r="R394" s="16" t="s">
        <v>2670</v>
      </c>
      <c r="S394" s="16"/>
      <c r="T394" s="27"/>
      <c r="U394" s="16" t="s">
        <v>1276</v>
      </c>
      <c r="V394" s="16"/>
      <c r="W394" s="16" t="s">
        <v>2674</v>
      </c>
      <c r="X394" s="16"/>
      <c r="Y394" s="16"/>
      <c r="Z394" s="16"/>
      <c r="AA394" s="16"/>
      <c r="AB394" s="16" t="s">
        <v>1277</v>
      </c>
      <c r="AC394" s="16" t="s">
        <v>1276</v>
      </c>
      <c r="AD394" s="16" t="s">
        <v>1850</v>
      </c>
      <c r="AE394" s="16" t="s">
        <v>1279</v>
      </c>
      <c r="AF394" s="16" t="s">
        <v>1276</v>
      </c>
      <c r="AG394" s="16" t="s">
        <v>1280</v>
      </c>
      <c r="AH394" s="16"/>
    </row>
    <row r="395" spans="1:34" ht="45" x14ac:dyDescent="0.25">
      <c r="A395" s="16" t="s">
        <v>1272</v>
      </c>
      <c r="B395" s="16" t="s">
        <v>2105</v>
      </c>
      <c r="C395" s="16" t="s">
        <v>2106</v>
      </c>
      <c r="D395" s="16"/>
      <c r="E395" s="16"/>
      <c r="F395" s="16"/>
      <c r="G395" s="16"/>
      <c r="H395" s="16"/>
      <c r="I395" s="16"/>
      <c r="J395" s="16"/>
      <c r="K395" s="16"/>
      <c r="L395" s="16"/>
      <c r="M395" s="30"/>
      <c r="N395" s="16" t="s">
        <v>1274</v>
      </c>
      <c r="O395" s="16"/>
      <c r="P395" s="16" t="s">
        <v>2107</v>
      </c>
      <c r="Q395" s="16" t="s">
        <v>2670</v>
      </c>
      <c r="R395" s="16" t="s">
        <v>2670</v>
      </c>
      <c r="S395" s="16"/>
      <c r="T395" s="27"/>
      <c r="U395" s="16" t="s">
        <v>1276</v>
      </c>
      <c r="V395" s="16"/>
      <c r="W395" s="16" t="s">
        <v>2673</v>
      </c>
      <c r="X395" s="16"/>
      <c r="Y395" s="16"/>
      <c r="Z395" s="16"/>
      <c r="AA395" s="16"/>
      <c r="AB395" s="16" t="s">
        <v>1277</v>
      </c>
      <c r="AC395" s="16" t="s">
        <v>1276</v>
      </c>
      <c r="AD395" s="16" t="s">
        <v>2108</v>
      </c>
      <c r="AE395" s="16" t="s">
        <v>1279</v>
      </c>
      <c r="AF395" s="16" t="s">
        <v>1276</v>
      </c>
      <c r="AG395" s="16" t="s">
        <v>1280</v>
      </c>
      <c r="AH395" s="16"/>
    </row>
    <row r="396" spans="1:34" ht="60" x14ac:dyDescent="0.25">
      <c r="A396" s="16" t="s">
        <v>1272</v>
      </c>
      <c r="B396" s="16" t="s">
        <v>1728</v>
      </c>
      <c r="C396" s="16" t="s">
        <v>716</v>
      </c>
      <c r="D396" s="16"/>
      <c r="E396" s="16"/>
      <c r="F396" s="16"/>
      <c r="G396" s="16"/>
      <c r="H396" s="16"/>
      <c r="I396" s="16"/>
      <c r="J396" s="16"/>
      <c r="K396" s="16"/>
      <c r="L396" s="16"/>
      <c r="M396" s="30"/>
      <c r="N396" s="16" t="s">
        <v>1274</v>
      </c>
      <c r="O396" s="16"/>
      <c r="P396" s="16" t="s">
        <v>1729</v>
      </c>
      <c r="Q396" s="16" t="s">
        <v>2670</v>
      </c>
      <c r="R396" s="16" t="s">
        <v>2670</v>
      </c>
      <c r="S396" s="16"/>
      <c r="T396" s="27"/>
      <c r="U396" s="16" t="s">
        <v>1276</v>
      </c>
      <c r="V396" s="16"/>
      <c r="W396" s="16" t="s">
        <v>2682</v>
      </c>
      <c r="X396" s="16"/>
      <c r="Y396" s="16"/>
      <c r="Z396" s="16"/>
      <c r="AA396" s="16"/>
      <c r="AB396" s="16" t="s">
        <v>1277</v>
      </c>
      <c r="AC396" s="16" t="s">
        <v>1276</v>
      </c>
      <c r="AD396" s="16" t="s">
        <v>1730</v>
      </c>
      <c r="AE396" s="16" t="s">
        <v>1279</v>
      </c>
      <c r="AF396" s="16" t="s">
        <v>1276</v>
      </c>
      <c r="AG396" s="16" t="s">
        <v>1280</v>
      </c>
      <c r="AH396" s="16"/>
    </row>
    <row r="397" spans="1:34" ht="60" x14ac:dyDescent="0.25">
      <c r="A397" s="16" t="s">
        <v>1272</v>
      </c>
      <c r="B397" s="16" t="s">
        <v>1737</v>
      </c>
      <c r="C397" s="16" t="s">
        <v>688</v>
      </c>
      <c r="D397" s="16"/>
      <c r="E397" s="16"/>
      <c r="F397" s="16"/>
      <c r="G397" s="16"/>
      <c r="H397" s="16"/>
      <c r="I397" s="16"/>
      <c r="J397" s="16"/>
      <c r="K397" s="16"/>
      <c r="L397" s="16"/>
      <c r="M397" s="30"/>
      <c r="N397" s="16" t="s">
        <v>1274</v>
      </c>
      <c r="O397" s="16"/>
      <c r="P397" s="16" t="s">
        <v>1738</v>
      </c>
      <c r="Q397" s="16" t="s">
        <v>2670</v>
      </c>
      <c r="R397" s="16" t="s">
        <v>2670</v>
      </c>
      <c r="S397" s="16"/>
      <c r="T397" s="27"/>
      <c r="U397" s="16" t="s">
        <v>1276</v>
      </c>
      <c r="V397" s="16"/>
      <c r="W397" s="16" t="s">
        <v>2674</v>
      </c>
      <c r="X397" s="16"/>
      <c r="Y397" s="16"/>
      <c r="Z397" s="16"/>
      <c r="AA397" s="16"/>
      <c r="AB397" s="16" t="s">
        <v>1277</v>
      </c>
      <c r="AC397" s="16" t="s">
        <v>1276</v>
      </c>
      <c r="AD397" s="16" t="s">
        <v>1739</v>
      </c>
      <c r="AE397" s="16" t="s">
        <v>1279</v>
      </c>
      <c r="AF397" s="16" t="s">
        <v>1276</v>
      </c>
      <c r="AG397" s="16" t="s">
        <v>1280</v>
      </c>
      <c r="AH397" s="16"/>
    </row>
    <row r="398" spans="1:34" ht="60" x14ac:dyDescent="0.25">
      <c r="A398" s="16" t="s">
        <v>1272</v>
      </c>
      <c r="B398" s="16" t="s">
        <v>1740</v>
      </c>
      <c r="C398" s="16" t="s">
        <v>638</v>
      </c>
      <c r="D398" s="16"/>
      <c r="E398" s="16"/>
      <c r="F398" s="16"/>
      <c r="G398" s="16"/>
      <c r="H398" s="16"/>
      <c r="I398" s="16"/>
      <c r="J398" s="16"/>
      <c r="K398" s="16"/>
      <c r="L398" s="16"/>
      <c r="M398" s="30"/>
      <c r="N398" s="16" t="s">
        <v>1274</v>
      </c>
      <c r="O398" s="16"/>
      <c r="P398" s="16" t="s">
        <v>1741</v>
      </c>
      <c r="Q398" s="16" t="s">
        <v>2670</v>
      </c>
      <c r="R398" s="16" t="s">
        <v>2670</v>
      </c>
      <c r="S398" s="16"/>
      <c r="T398" s="27"/>
      <c r="U398" s="16" t="s">
        <v>1276</v>
      </c>
      <c r="V398" s="16"/>
      <c r="W398" s="16" t="s">
        <v>2679</v>
      </c>
      <c r="X398" s="16"/>
      <c r="Y398" s="16"/>
      <c r="Z398" s="16"/>
      <c r="AA398" s="16"/>
      <c r="AB398" s="16" t="s">
        <v>1277</v>
      </c>
      <c r="AC398" s="16" t="s">
        <v>1276</v>
      </c>
      <c r="AD398" s="16" t="s">
        <v>1742</v>
      </c>
      <c r="AE398" s="16" t="s">
        <v>1279</v>
      </c>
      <c r="AF398" s="16" t="s">
        <v>1276</v>
      </c>
      <c r="AG398" s="16" t="s">
        <v>1280</v>
      </c>
      <c r="AH398" s="16"/>
    </row>
    <row r="399" spans="1:34" ht="60" x14ac:dyDescent="0.25">
      <c r="A399" s="16" t="s">
        <v>1272</v>
      </c>
      <c r="B399" s="16" t="s">
        <v>1743</v>
      </c>
      <c r="C399" s="16" t="s">
        <v>727</v>
      </c>
      <c r="D399" s="16"/>
      <c r="E399" s="16"/>
      <c r="F399" s="16"/>
      <c r="G399" s="16"/>
      <c r="H399" s="16"/>
      <c r="I399" s="16"/>
      <c r="J399" s="16"/>
      <c r="K399" s="16"/>
      <c r="L399" s="16"/>
      <c r="M399" s="30"/>
      <c r="N399" s="16" t="s">
        <v>1274</v>
      </c>
      <c r="O399" s="16"/>
      <c r="P399" s="16" t="s">
        <v>1744</v>
      </c>
      <c r="Q399" s="16" t="s">
        <v>2670</v>
      </c>
      <c r="R399" s="16" t="s">
        <v>2670</v>
      </c>
      <c r="S399" s="16"/>
      <c r="T399" s="27"/>
      <c r="U399" s="16" t="s">
        <v>1276</v>
      </c>
      <c r="V399" s="16"/>
      <c r="W399" s="16" t="s">
        <v>2675</v>
      </c>
      <c r="X399" s="16"/>
      <c r="Y399" s="16"/>
      <c r="Z399" s="16"/>
      <c r="AA399" s="16"/>
      <c r="AB399" s="16" t="s">
        <v>1277</v>
      </c>
      <c r="AC399" s="16" t="s">
        <v>1276</v>
      </c>
      <c r="AD399" s="16" t="s">
        <v>1745</v>
      </c>
      <c r="AE399" s="16" t="s">
        <v>1279</v>
      </c>
      <c r="AF399" s="16" t="s">
        <v>1276</v>
      </c>
      <c r="AG399" s="16" t="s">
        <v>1280</v>
      </c>
      <c r="AH399" s="16"/>
    </row>
    <row r="400" spans="1:34" ht="45" x14ac:dyDescent="0.25">
      <c r="A400" s="16" t="s">
        <v>1272</v>
      </c>
      <c r="B400" s="16" t="s">
        <v>2110</v>
      </c>
      <c r="C400" s="16" t="s">
        <v>2111</v>
      </c>
      <c r="D400" s="16"/>
      <c r="E400" s="16"/>
      <c r="F400" s="16"/>
      <c r="G400" s="16"/>
      <c r="H400" s="16"/>
      <c r="I400" s="16"/>
      <c r="J400" s="16"/>
      <c r="K400" s="16"/>
      <c r="L400" s="16"/>
      <c r="M400" s="30"/>
      <c r="N400" s="16" t="s">
        <v>1274</v>
      </c>
      <c r="O400" s="16"/>
      <c r="P400" s="16" t="s">
        <v>2112</v>
      </c>
      <c r="Q400" s="16" t="s">
        <v>2670</v>
      </c>
      <c r="R400" s="16" t="s">
        <v>2670</v>
      </c>
      <c r="S400" s="16"/>
      <c r="T400" s="27"/>
      <c r="U400" s="16" t="s">
        <v>1276</v>
      </c>
      <c r="V400" s="16"/>
      <c r="W400" s="16" t="s">
        <v>2674</v>
      </c>
      <c r="X400" s="16"/>
      <c r="Y400" s="16"/>
      <c r="Z400" s="16"/>
      <c r="AA400" s="16"/>
      <c r="AB400" s="16" t="s">
        <v>1277</v>
      </c>
      <c r="AC400" s="16" t="s">
        <v>1276</v>
      </c>
      <c r="AD400" s="16" t="s">
        <v>2113</v>
      </c>
      <c r="AE400" s="16" t="s">
        <v>1279</v>
      </c>
      <c r="AF400" s="16" t="s">
        <v>1276</v>
      </c>
      <c r="AG400" s="16" t="s">
        <v>1280</v>
      </c>
      <c r="AH400" s="16"/>
    </row>
    <row r="401" spans="1:34" ht="45" x14ac:dyDescent="0.25">
      <c r="A401" s="16" t="s">
        <v>1272</v>
      </c>
      <c r="B401" s="16" t="s">
        <v>2125</v>
      </c>
      <c r="C401" s="16" t="s">
        <v>2126</v>
      </c>
      <c r="D401" s="16"/>
      <c r="E401" s="16"/>
      <c r="F401" s="16"/>
      <c r="G401" s="16"/>
      <c r="H401" s="16"/>
      <c r="I401" s="16"/>
      <c r="J401" s="16"/>
      <c r="K401" s="16"/>
      <c r="L401" s="16"/>
      <c r="M401" s="30"/>
      <c r="N401" s="16" t="s">
        <v>1274</v>
      </c>
      <c r="O401" s="16"/>
      <c r="P401" s="16" t="s">
        <v>2127</v>
      </c>
      <c r="Q401" s="16" t="s">
        <v>2670</v>
      </c>
      <c r="R401" s="16" t="s">
        <v>2670</v>
      </c>
      <c r="S401" s="16"/>
      <c r="T401" s="27"/>
      <c r="U401" s="16" t="s">
        <v>1276</v>
      </c>
      <c r="V401" s="16"/>
      <c r="W401" s="16" t="s">
        <v>2679</v>
      </c>
      <c r="X401" s="16"/>
      <c r="Y401" s="16"/>
      <c r="Z401" s="16"/>
      <c r="AA401" s="16"/>
      <c r="AB401" s="16" t="s">
        <v>1277</v>
      </c>
      <c r="AC401" s="16" t="s">
        <v>1276</v>
      </c>
      <c r="AD401" s="16" t="s">
        <v>2128</v>
      </c>
      <c r="AE401" s="16" t="s">
        <v>1279</v>
      </c>
      <c r="AF401" s="16" t="s">
        <v>1276</v>
      </c>
      <c r="AG401" s="16" t="s">
        <v>1280</v>
      </c>
      <c r="AH401" s="16"/>
    </row>
    <row r="402" spans="1:34" ht="45" x14ac:dyDescent="0.25">
      <c r="A402" s="16" t="s">
        <v>1272</v>
      </c>
      <c r="B402" s="16" t="s">
        <v>2130</v>
      </c>
      <c r="C402" s="16" t="s">
        <v>2131</v>
      </c>
      <c r="D402" s="16"/>
      <c r="E402" s="16"/>
      <c r="F402" s="16"/>
      <c r="G402" s="16"/>
      <c r="H402" s="16"/>
      <c r="I402" s="16"/>
      <c r="J402" s="16"/>
      <c r="K402" s="16"/>
      <c r="L402" s="16"/>
      <c r="M402" s="30"/>
      <c r="N402" s="16" t="s">
        <v>1274</v>
      </c>
      <c r="O402" s="16"/>
      <c r="P402" s="16" t="s">
        <v>2132</v>
      </c>
      <c r="Q402" s="16" t="s">
        <v>2670</v>
      </c>
      <c r="R402" s="16" t="s">
        <v>2670</v>
      </c>
      <c r="S402" s="16"/>
      <c r="T402" s="27"/>
      <c r="U402" s="16" t="s">
        <v>1276</v>
      </c>
      <c r="V402" s="16"/>
      <c r="W402" s="16" t="s">
        <v>2671</v>
      </c>
      <c r="X402" s="16"/>
      <c r="Y402" s="16"/>
      <c r="Z402" s="16"/>
      <c r="AA402" s="16"/>
      <c r="AB402" s="16" t="s">
        <v>1277</v>
      </c>
      <c r="AC402" s="16" t="s">
        <v>1276</v>
      </c>
      <c r="AD402" s="16" t="s">
        <v>2133</v>
      </c>
      <c r="AE402" s="16" t="s">
        <v>1279</v>
      </c>
      <c r="AF402" s="16" t="s">
        <v>1276</v>
      </c>
      <c r="AG402" s="16" t="s">
        <v>1280</v>
      </c>
      <c r="AH402" s="16"/>
    </row>
    <row r="403" spans="1:34" ht="60" x14ac:dyDescent="0.25">
      <c r="A403" s="16" t="s">
        <v>1272</v>
      </c>
      <c r="B403" s="16" t="s">
        <v>1859</v>
      </c>
      <c r="C403" s="16" t="s">
        <v>880</v>
      </c>
      <c r="D403" s="16"/>
      <c r="E403" s="16"/>
      <c r="F403" s="16"/>
      <c r="G403" s="16"/>
      <c r="H403" s="16"/>
      <c r="I403" s="16"/>
      <c r="J403" s="16"/>
      <c r="K403" s="16"/>
      <c r="L403" s="16"/>
      <c r="M403" s="30"/>
      <c r="N403" s="16" t="s">
        <v>1274</v>
      </c>
      <c r="O403" s="16"/>
      <c r="P403" s="16" t="s">
        <v>1860</v>
      </c>
      <c r="Q403" s="16" t="s">
        <v>2670</v>
      </c>
      <c r="R403" s="16" t="s">
        <v>2670</v>
      </c>
      <c r="S403" s="16"/>
      <c r="T403" s="27"/>
      <c r="U403" s="16" t="s">
        <v>1276</v>
      </c>
      <c r="V403" s="16"/>
      <c r="W403" s="16" t="s">
        <v>2674</v>
      </c>
      <c r="X403" s="16"/>
      <c r="Y403" s="16"/>
      <c r="Z403" s="16"/>
      <c r="AA403" s="16"/>
      <c r="AB403" s="16" t="s">
        <v>1277</v>
      </c>
      <c r="AC403" s="16" t="s">
        <v>1276</v>
      </c>
      <c r="AD403" s="16" t="s">
        <v>1861</v>
      </c>
      <c r="AE403" s="16" t="s">
        <v>1279</v>
      </c>
      <c r="AF403" s="16" t="s">
        <v>1276</v>
      </c>
      <c r="AG403" s="16" t="s">
        <v>1280</v>
      </c>
      <c r="AH403" s="16"/>
    </row>
    <row r="404" spans="1:34" ht="60" x14ac:dyDescent="0.25">
      <c r="A404" s="16" t="s">
        <v>1272</v>
      </c>
      <c r="B404" s="16" t="s">
        <v>1862</v>
      </c>
      <c r="C404" s="16" t="s">
        <v>822</v>
      </c>
      <c r="D404" s="16"/>
      <c r="E404" s="16"/>
      <c r="F404" s="16"/>
      <c r="G404" s="16"/>
      <c r="H404" s="16"/>
      <c r="I404" s="16"/>
      <c r="J404" s="16"/>
      <c r="K404" s="16"/>
      <c r="L404" s="16"/>
      <c r="M404" s="30"/>
      <c r="N404" s="16" t="s">
        <v>1274</v>
      </c>
      <c r="O404" s="16"/>
      <c r="P404" s="16" t="s">
        <v>1863</v>
      </c>
      <c r="Q404" s="16" t="s">
        <v>2670</v>
      </c>
      <c r="R404" s="16" t="s">
        <v>2670</v>
      </c>
      <c r="S404" s="16"/>
      <c r="T404" s="27"/>
      <c r="U404" s="16" t="s">
        <v>1276</v>
      </c>
      <c r="V404" s="16"/>
      <c r="W404" s="16" t="s">
        <v>2674</v>
      </c>
      <c r="X404" s="16"/>
      <c r="Y404" s="16"/>
      <c r="Z404" s="16"/>
      <c r="AA404" s="16"/>
      <c r="AB404" s="16" t="s">
        <v>1277</v>
      </c>
      <c r="AC404" s="16" t="s">
        <v>1276</v>
      </c>
      <c r="AD404" s="16" t="s">
        <v>1864</v>
      </c>
      <c r="AE404" s="16" t="s">
        <v>1279</v>
      </c>
      <c r="AF404" s="16" t="s">
        <v>1276</v>
      </c>
      <c r="AG404" s="16" t="s">
        <v>1280</v>
      </c>
      <c r="AH404" s="16"/>
    </row>
    <row r="405" spans="1:34" ht="60" x14ac:dyDescent="0.25">
      <c r="A405" s="16" t="s">
        <v>1272</v>
      </c>
      <c r="B405" s="16" t="s">
        <v>1865</v>
      </c>
      <c r="C405" s="16" t="s">
        <v>853</v>
      </c>
      <c r="D405" s="16"/>
      <c r="E405" s="16"/>
      <c r="F405" s="16"/>
      <c r="G405" s="16"/>
      <c r="H405" s="16"/>
      <c r="I405" s="16"/>
      <c r="J405" s="16"/>
      <c r="K405" s="16"/>
      <c r="L405" s="16"/>
      <c r="M405" s="30"/>
      <c r="N405" s="16" t="s">
        <v>1274</v>
      </c>
      <c r="O405" s="16"/>
      <c r="P405" s="16" t="s">
        <v>1866</v>
      </c>
      <c r="Q405" s="16" t="s">
        <v>2670</v>
      </c>
      <c r="R405" s="16" t="s">
        <v>2670</v>
      </c>
      <c r="S405" s="16"/>
      <c r="T405" s="27"/>
      <c r="U405" s="16" t="s">
        <v>1276</v>
      </c>
      <c r="V405" s="16"/>
      <c r="W405" s="16" t="s">
        <v>2679</v>
      </c>
      <c r="X405" s="16"/>
      <c r="Y405" s="16"/>
      <c r="Z405" s="16"/>
      <c r="AA405" s="16"/>
      <c r="AB405" s="16" t="s">
        <v>1277</v>
      </c>
      <c r="AC405" s="16" t="s">
        <v>1276</v>
      </c>
      <c r="AD405" s="16" t="s">
        <v>1867</v>
      </c>
      <c r="AE405" s="16" t="s">
        <v>1279</v>
      </c>
      <c r="AF405" s="16" t="s">
        <v>1276</v>
      </c>
      <c r="AG405" s="16" t="s">
        <v>1280</v>
      </c>
      <c r="AH405" s="16"/>
    </row>
    <row r="406" spans="1:34" ht="60" x14ac:dyDescent="0.25">
      <c r="A406" s="16" t="s">
        <v>1272</v>
      </c>
      <c r="B406" s="16" t="s">
        <v>1868</v>
      </c>
      <c r="C406" s="16" t="s">
        <v>861</v>
      </c>
      <c r="D406" s="16"/>
      <c r="E406" s="16"/>
      <c r="F406" s="16"/>
      <c r="G406" s="16"/>
      <c r="H406" s="16"/>
      <c r="I406" s="16"/>
      <c r="J406" s="16"/>
      <c r="K406" s="16"/>
      <c r="L406" s="16"/>
      <c r="M406" s="30"/>
      <c r="N406" s="16" t="s">
        <v>1274</v>
      </c>
      <c r="O406" s="16"/>
      <c r="P406" s="16" t="s">
        <v>1869</v>
      </c>
      <c r="Q406" s="16" t="s">
        <v>2670</v>
      </c>
      <c r="R406" s="16" t="s">
        <v>2670</v>
      </c>
      <c r="S406" s="16"/>
      <c r="T406" s="27"/>
      <c r="U406" s="16" t="s">
        <v>1276</v>
      </c>
      <c r="V406" s="16"/>
      <c r="W406" s="16" t="s">
        <v>2675</v>
      </c>
      <c r="X406" s="16"/>
      <c r="Y406" s="16"/>
      <c r="Z406" s="16"/>
      <c r="AA406" s="16"/>
      <c r="AB406" s="16" t="s">
        <v>1277</v>
      </c>
      <c r="AC406" s="16" t="s">
        <v>1276</v>
      </c>
      <c r="AD406" s="16" t="s">
        <v>1870</v>
      </c>
      <c r="AE406" s="16" t="s">
        <v>1279</v>
      </c>
      <c r="AF406" s="16" t="s">
        <v>1276</v>
      </c>
      <c r="AG406" s="16" t="s">
        <v>1280</v>
      </c>
      <c r="AH406" s="16"/>
    </row>
    <row r="407" spans="1:34" ht="60" x14ac:dyDescent="0.25">
      <c r="A407" s="16" t="s">
        <v>1272</v>
      </c>
      <c r="B407" s="16" t="s">
        <v>2041</v>
      </c>
      <c r="C407" s="16" t="s">
        <v>2042</v>
      </c>
      <c r="D407" s="16"/>
      <c r="E407" s="16"/>
      <c r="F407" s="16"/>
      <c r="G407" s="16"/>
      <c r="H407" s="16"/>
      <c r="I407" s="16"/>
      <c r="J407" s="16"/>
      <c r="K407" s="16"/>
      <c r="L407" s="16"/>
      <c r="M407" s="30"/>
      <c r="N407" s="16" t="s">
        <v>1274</v>
      </c>
      <c r="O407" s="16"/>
      <c r="P407" s="16" t="s">
        <v>2043</v>
      </c>
      <c r="Q407" s="16" t="s">
        <v>2670</v>
      </c>
      <c r="R407" s="16" t="s">
        <v>2670</v>
      </c>
      <c r="S407" s="16"/>
      <c r="T407" s="27"/>
      <c r="U407" s="16" t="s">
        <v>1276</v>
      </c>
      <c r="V407" s="16"/>
      <c r="W407" s="16" t="s">
        <v>2671</v>
      </c>
      <c r="X407" s="16"/>
      <c r="Y407" s="16"/>
      <c r="Z407" s="16"/>
      <c r="AA407" s="16"/>
      <c r="AB407" s="16" t="s">
        <v>1277</v>
      </c>
      <c r="AC407" s="16" t="s">
        <v>1276</v>
      </c>
      <c r="AD407" s="16" t="s">
        <v>2044</v>
      </c>
      <c r="AE407" s="16" t="s">
        <v>1279</v>
      </c>
      <c r="AF407" s="16" t="s">
        <v>1276</v>
      </c>
      <c r="AG407" s="16" t="s">
        <v>1280</v>
      </c>
      <c r="AH407" s="16"/>
    </row>
    <row r="408" spans="1:34" ht="60" x14ac:dyDescent="0.25">
      <c r="A408" s="16" t="s">
        <v>1272</v>
      </c>
      <c r="B408" s="16" t="s">
        <v>2046</v>
      </c>
      <c r="C408" s="16" t="s">
        <v>2047</v>
      </c>
      <c r="D408" s="16"/>
      <c r="E408" s="16"/>
      <c r="F408" s="16"/>
      <c r="G408" s="16"/>
      <c r="H408" s="16"/>
      <c r="I408" s="16"/>
      <c r="J408" s="16"/>
      <c r="K408" s="16"/>
      <c r="L408" s="16"/>
      <c r="M408" s="30"/>
      <c r="N408" s="16" t="s">
        <v>1274</v>
      </c>
      <c r="O408" s="16"/>
      <c r="P408" s="16" t="s">
        <v>2048</v>
      </c>
      <c r="Q408" s="16" t="s">
        <v>2670</v>
      </c>
      <c r="R408" s="16" t="s">
        <v>2670</v>
      </c>
      <c r="S408" s="16"/>
      <c r="T408" s="27"/>
      <c r="U408" s="16" t="s">
        <v>1276</v>
      </c>
      <c r="V408" s="16"/>
      <c r="W408" s="16" t="s">
        <v>2671</v>
      </c>
      <c r="X408" s="16"/>
      <c r="Y408" s="16"/>
      <c r="Z408" s="16"/>
      <c r="AA408" s="16"/>
      <c r="AB408" s="16" t="s">
        <v>1277</v>
      </c>
      <c r="AC408" s="16" t="s">
        <v>1276</v>
      </c>
      <c r="AD408" s="16" t="s">
        <v>2049</v>
      </c>
      <c r="AE408" s="16" t="s">
        <v>1279</v>
      </c>
      <c r="AF408" s="16" t="s">
        <v>1276</v>
      </c>
      <c r="AG408" s="16" t="s">
        <v>1280</v>
      </c>
      <c r="AH408" s="16"/>
    </row>
    <row r="409" spans="1:34" ht="60" x14ac:dyDescent="0.25">
      <c r="A409" s="16" t="s">
        <v>1272</v>
      </c>
      <c r="B409" s="16" t="s">
        <v>2050</v>
      </c>
      <c r="C409" s="16" t="s">
        <v>2051</v>
      </c>
      <c r="D409" s="16"/>
      <c r="E409" s="16"/>
      <c r="F409" s="16"/>
      <c r="G409" s="16"/>
      <c r="H409" s="16"/>
      <c r="I409" s="16"/>
      <c r="J409" s="16"/>
      <c r="K409" s="16"/>
      <c r="L409" s="16"/>
      <c r="M409" s="30"/>
      <c r="N409" s="16" t="s">
        <v>1274</v>
      </c>
      <c r="O409" s="16"/>
      <c r="P409" s="16" t="s">
        <v>2052</v>
      </c>
      <c r="Q409" s="16" t="s">
        <v>2670</v>
      </c>
      <c r="R409" s="16" t="s">
        <v>2670</v>
      </c>
      <c r="S409" s="16"/>
      <c r="T409" s="27"/>
      <c r="U409" s="16" t="s">
        <v>1276</v>
      </c>
      <c r="V409" s="16"/>
      <c r="W409" s="16" t="s">
        <v>2671</v>
      </c>
      <c r="X409" s="16"/>
      <c r="Y409" s="16"/>
      <c r="Z409" s="16"/>
      <c r="AA409" s="16"/>
      <c r="AB409" s="16" t="s">
        <v>1277</v>
      </c>
      <c r="AC409" s="16" t="s">
        <v>1276</v>
      </c>
      <c r="AD409" s="16" t="s">
        <v>2053</v>
      </c>
      <c r="AE409" s="16" t="s">
        <v>1279</v>
      </c>
      <c r="AF409" s="16" t="s">
        <v>1276</v>
      </c>
      <c r="AG409" s="16" t="s">
        <v>1280</v>
      </c>
      <c r="AH409" s="16"/>
    </row>
    <row r="410" spans="1:34" ht="60" x14ac:dyDescent="0.25">
      <c r="A410" s="16" t="s">
        <v>1272</v>
      </c>
      <c r="B410" s="16" t="s">
        <v>2055</v>
      </c>
      <c r="C410" s="16" t="s">
        <v>2056</v>
      </c>
      <c r="D410" s="16"/>
      <c r="E410" s="16"/>
      <c r="F410" s="16"/>
      <c r="G410" s="16"/>
      <c r="H410" s="16"/>
      <c r="I410" s="16"/>
      <c r="J410" s="16"/>
      <c r="K410" s="16"/>
      <c r="L410" s="16"/>
      <c r="M410" s="30"/>
      <c r="N410" s="16" t="s">
        <v>1274</v>
      </c>
      <c r="O410" s="16"/>
      <c r="P410" s="16" t="s">
        <v>2057</v>
      </c>
      <c r="Q410" s="16" t="s">
        <v>2670</v>
      </c>
      <c r="R410" s="16" t="s">
        <v>2670</v>
      </c>
      <c r="S410" s="16"/>
      <c r="T410" s="27"/>
      <c r="U410" s="16" t="s">
        <v>1276</v>
      </c>
      <c r="V410" s="16"/>
      <c r="W410" s="16" t="s">
        <v>2671</v>
      </c>
      <c r="X410" s="16"/>
      <c r="Y410" s="16"/>
      <c r="Z410" s="16"/>
      <c r="AA410" s="16"/>
      <c r="AB410" s="16" t="s">
        <v>1277</v>
      </c>
      <c r="AC410" s="16" t="s">
        <v>1276</v>
      </c>
      <c r="AD410" s="16" t="s">
        <v>2058</v>
      </c>
      <c r="AE410" s="16" t="s">
        <v>1279</v>
      </c>
      <c r="AF410" s="16" t="s">
        <v>1276</v>
      </c>
      <c r="AG410" s="16" t="s">
        <v>1280</v>
      </c>
      <c r="AH410" s="16"/>
    </row>
    <row r="411" spans="1:34" ht="60" x14ac:dyDescent="0.25">
      <c r="A411" s="16" t="s">
        <v>1272</v>
      </c>
      <c r="B411" s="16" t="s">
        <v>2235</v>
      </c>
      <c r="C411" s="16" t="s">
        <v>2236</v>
      </c>
      <c r="D411" s="16"/>
      <c r="E411" s="16"/>
      <c r="F411" s="16"/>
      <c r="G411" s="16"/>
      <c r="H411" s="16"/>
      <c r="I411" s="16"/>
      <c r="J411" s="16"/>
      <c r="K411" s="16"/>
      <c r="L411" s="16"/>
      <c r="M411" s="30"/>
      <c r="N411" s="16" t="s">
        <v>1274</v>
      </c>
      <c r="O411" s="16"/>
      <c r="P411" s="16" t="s">
        <v>2237</v>
      </c>
      <c r="Q411" s="16" t="s">
        <v>2670</v>
      </c>
      <c r="R411" s="16" t="s">
        <v>2670</v>
      </c>
      <c r="S411" s="16"/>
      <c r="T411" s="27"/>
      <c r="U411" s="16" t="s">
        <v>1276</v>
      </c>
      <c r="V411" s="16"/>
      <c r="W411" s="16" t="s">
        <v>2683</v>
      </c>
      <c r="X411" s="16"/>
      <c r="Y411" s="16"/>
      <c r="Z411" s="16"/>
      <c r="AA411" s="16"/>
      <c r="AB411" s="16" t="s">
        <v>1277</v>
      </c>
      <c r="AC411" s="16" t="s">
        <v>1276</v>
      </c>
      <c r="AD411" s="16" t="s">
        <v>2238</v>
      </c>
      <c r="AE411" s="16" t="s">
        <v>1279</v>
      </c>
      <c r="AF411" s="16" t="s">
        <v>1276</v>
      </c>
      <c r="AG411" s="16" t="s">
        <v>1280</v>
      </c>
      <c r="AH411" s="16"/>
    </row>
    <row r="412" spans="1:34" ht="60" x14ac:dyDescent="0.25">
      <c r="A412" s="16" t="s">
        <v>1272</v>
      </c>
      <c r="B412" s="16" t="s">
        <v>2240</v>
      </c>
      <c r="C412" s="16" t="s">
        <v>2241</v>
      </c>
      <c r="D412" s="16"/>
      <c r="E412" s="16"/>
      <c r="F412" s="16"/>
      <c r="G412" s="16"/>
      <c r="H412" s="16"/>
      <c r="I412" s="16"/>
      <c r="J412" s="16"/>
      <c r="K412" s="16"/>
      <c r="L412" s="16"/>
      <c r="M412" s="30"/>
      <c r="N412" s="16" t="s">
        <v>1274</v>
      </c>
      <c r="O412" s="16"/>
      <c r="P412" s="16" t="s">
        <v>2242</v>
      </c>
      <c r="Q412" s="16" t="s">
        <v>2670</v>
      </c>
      <c r="R412" s="16" t="s">
        <v>2670</v>
      </c>
      <c r="S412" s="16"/>
      <c r="T412" s="27"/>
      <c r="U412" s="16" t="s">
        <v>1276</v>
      </c>
      <c r="V412" s="16"/>
      <c r="W412" s="16" t="s">
        <v>2684</v>
      </c>
      <c r="X412" s="16"/>
      <c r="Y412" s="16"/>
      <c r="Z412" s="16"/>
      <c r="AA412" s="16"/>
      <c r="AB412" s="16" t="s">
        <v>1277</v>
      </c>
      <c r="AC412" s="16" t="s">
        <v>1276</v>
      </c>
      <c r="AD412" s="16" t="s">
        <v>2243</v>
      </c>
      <c r="AE412" s="16" t="s">
        <v>1279</v>
      </c>
      <c r="AF412" s="16" t="s">
        <v>1276</v>
      </c>
      <c r="AG412" s="16" t="s">
        <v>1280</v>
      </c>
      <c r="AH412" s="16"/>
    </row>
    <row r="413" spans="1:34" ht="60" x14ac:dyDescent="0.25">
      <c r="A413" s="16" t="s">
        <v>1272</v>
      </c>
      <c r="B413" s="16" t="s">
        <v>2244</v>
      </c>
      <c r="C413" s="16" t="s">
        <v>2245</v>
      </c>
      <c r="D413" s="16"/>
      <c r="E413" s="16"/>
      <c r="F413" s="16"/>
      <c r="G413" s="16"/>
      <c r="H413" s="16"/>
      <c r="I413" s="16"/>
      <c r="J413" s="16"/>
      <c r="K413" s="16"/>
      <c r="L413" s="16"/>
      <c r="M413" s="30"/>
      <c r="N413" s="16" t="s">
        <v>1274</v>
      </c>
      <c r="O413" s="16"/>
      <c r="P413" s="16" t="s">
        <v>2246</v>
      </c>
      <c r="Q413" s="16" t="s">
        <v>2670</v>
      </c>
      <c r="R413" s="16" t="s">
        <v>2670</v>
      </c>
      <c r="S413" s="16"/>
      <c r="T413" s="27"/>
      <c r="U413" s="16" t="s">
        <v>1276</v>
      </c>
      <c r="V413" s="16"/>
      <c r="W413" s="16" t="s">
        <v>2671</v>
      </c>
      <c r="X413" s="16"/>
      <c r="Y413" s="16"/>
      <c r="Z413" s="16"/>
      <c r="AA413" s="16"/>
      <c r="AB413" s="16" t="s">
        <v>1277</v>
      </c>
      <c r="AC413" s="16" t="s">
        <v>1276</v>
      </c>
      <c r="AD413" s="16" t="s">
        <v>2247</v>
      </c>
      <c r="AE413" s="16" t="s">
        <v>1279</v>
      </c>
      <c r="AF413" s="16" t="s">
        <v>1276</v>
      </c>
      <c r="AG413" s="16" t="s">
        <v>1280</v>
      </c>
      <c r="AH413" s="16"/>
    </row>
    <row r="414" spans="1:34" ht="60" x14ac:dyDescent="0.25">
      <c r="A414" s="16" t="s">
        <v>1272</v>
      </c>
      <c r="B414" s="16" t="s">
        <v>2249</v>
      </c>
      <c r="C414" s="16" t="s">
        <v>2250</v>
      </c>
      <c r="D414" s="16"/>
      <c r="E414" s="16"/>
      <c r="F414" s="16"/>
      <c r="G414" s="16"/>
      <c r="H414" s="16"/>
      <c r="I414" s="16"/>
      <c r="J414" s="16"/>
      <c r="K414" s="16"/>
      <c r="L414" s="16"/>
      <c r="M414" s="30"/>
      <c r="N414" s="16" t="s">
        <v>1274</v>
      </c>
      <c r="O414" s="16"/>
      <c r="P414" s="16" t="s">
        <v>2251</v>
      </c>
      <c r="Q414" s="16" t="s">
        <v>2670</v>
      </c>
      <c r="R414" s="16" t="s">
        <v>2670</v>
      </c>
      <c r="S414" s="16"/>
      <c r="T414" s="27"/>
      <c r="U414" s="16" t="s">
        <v>1276</v>
      </c>
      <c r="V414" s="16"/>
      <c r="W414" s="16" t="s">
        <v>2671</v>
      </c>
      <c r="X414" s="16"/>
      <c r="Y414" s="16"/>
      <c r="Z414" s="16"/>
      <c r="AA414" s="16"/>
      <c r="AB414" s="16" t="s">
        <v>1277</v>
      </c>
      <c r="AC414" s="16" t="s">
        <v>1276</v>
      </c>
      <c r="AD414" s="16" t="s">
        <v>2252</v>
      </c>
      <c r="AE414" s="16" t="s">
        <v>1279</v>
      </c>
      <c r="AF414" s="16" t="s">
        <v>1276</v>
      </c>
      <c r="AG414" s="16" t="s">
        <v>1280</v>
      </c>
      <c r="AH414" s="16"/>
    </row>
    <row r="415" spans="1:34" ht="60" x14ac:dyDescent="0.25">
      <c r="A415" s="16" t="s">
        <v>1272</v>
      </c>
      <c r="B415" s="16" t="s">
        <v>2449</v>
      </c>
      <c r="C415" s="16" t="s">
        <v>2450</v>
      </c>
      <c r="D415" s="16"/>
      <c r="E415" s="16"/>
      <c r="F415" s="16"/>
      <c r="G415" s="16"/>
      <c r="H415" s="16"/>
      <c r="I415" s="16"/>
      <c r="J415" s="16"/>
      <c r="K415" s="16"/>
      <c r="L415" s="16"/>
      <c r="M415" s="30"/>
      <c r="N415" s="16" t="s">
        <v>1274</v>
      </c>
      <c r="O415" s="16"/>
      <c r="P415" s="16" t="s">
        <v>2451</v>
      </c>
      <c r="Q415" s="16" t="s">
        <v>2670</v>
      </c>
      <c r="R415" s="16" t="s">
        <v>2670</v>
      </c>
      <c r="S415" s="16"/>
      <c r="T415" s="27"/>
      <c r="U415" s="16" t="s">
        <v>1276</v>
      </c>
      <c r="V415" s="16"/>
      <c r="W415" s="16" t="s">
        <v>2674</v>
      </c>
      <c r="X415" s="16"/>
      <c r="Y415" s="16"/>
      <c r="Z415" s="16"/>
      <c r="AA415" s="16"/>
      <c r="AB415" s="16" t="s">
        <v>1277</v>
      </c>
      <c r="AC415" s="16" t="s">
        <v>1276</v>
      </c>
      <c r="AD415" s="16" t="s">
        <v>2452</v>
      </c>
      <c r="AE415" s="16" t="s">
        <v>1279</v>
      </c>
      <c r="AF415" s="16" t="s">
        <v>1276</v>
      </c>
      <c r="AG415" s="16" t="s">
        <v>1280</v>
      </c>
      <c r="AH415" s="16"/>
    </row>
    <row r="416" spans="1:34" ht="60" x14ac:dyDescent="0.25">
      <c r="A416" s="16" t="s">
        <v>1272</v>
      </c>
      <c r="B416" s="16" t="s">
        <v>2454</v>
      </c>
      <c r="C416" s="16" t="s">
        <v>2455</v>
      </c>
      <c r="D416" s="16"/>
      <c r="E416" s="16"/>
      <c r="F416" s="16"/>
      <c r="G416" s="16"/>
      <c r="H416" s="16"/>
      <c r="I416" s="16"/>
      <c r="J416" s="16"/>
      <c r="K416" s="16"/>
      <c r="L416" s="16"/>
      <c r="M416" s="30"/>
      <c r="N416" s="16" t="s">
        <v>1274</v>
      </c>
      <c r="O416" s="16"/>
      <c r="P416" s="16" t="s">
        <v>2456</v>
      </c>
      <c r="Q416" s="16" t="s">
        <v>2670</v>
      </c>
      <c r="R416" s="16" t="s">
        <v>2670</v>
      </c>
      <c r="S416" s="16"/>
      <c r="T416" s="27"/>
      <c r="U416" s="16" t="s">
        <v>1276</v>
      </c>
      <c r="V416" s="16"/>
      <c r="W416" s="16" t="s">
        <v>2671</v>
      </c>
      <c r="X416" s="16"/>
      <c r="Y416" s="16"/>
      <c r="Z416" s="16"/>
      <c r="AA416" s="16"/>
      <c r="AB416" s="16" t="s">
        <v>1277</v>
      </c>
      <c r="AC416" s="16" t="s">
        <v>1276</v>
      </c>
      <c r="AD416" s="16" t="s">
        <v>2457</v>
      </c>
      <c r="AE416" s="16" t="s">
        <v>1279</v>
      </c>
      <c r="AF416" s="16" t="s">
        <v>1276</v>
      </c>
      <c r="AG416" s="16" t="s">
        <v>1280</v>
      </c>
      <c r="AH416" s="16"/>
    </row>
    <row r="417" spans="1:34" ht="60" x14ac:dyDescent="0.25">
      <c r="A417" s="16" t="s">
        <v>1272</v>
      </c>
      <c r="B417" s="16" t="s">
        <v>2459</v>
      </c>
      <c r="C417" s="16" t="s">
        <v>2460</v>
      </c>
      <c r="D417" s="16"/>
      <c r="E417" s="16"/>
      <c r="F417" s="16"/>
      <c r="G417" s="16"/>
      <c r="H417" s="16"/>
      <c r="I417" s="16"/>
      <c r="J417" s="16"/>
      <c r="K417" s="16"/>
      <c r="L417" s="16"/>
      <c r="M417" s="30"/>
      <c r="N417" s="16" t="s">
        <v>1274</v>
      </c>
      <c r="O417" s="16"/>
      <c r="P417" s="16" t="s">
        <v>2461</v>
      </c>
      <c r="Q417" s="16" t="s">
        <v>2670</v>
      </c>
      <c r="R417" s="16" t="s">
        <v>2670</v>
      </c>
      <c r="S417" s="16"/>
      <c r="T417" s="27"/>
      <c r="U417" s="16" t="s">
        <v>1276</v>
      </c>
      <c r="V417" s="16"/>
      <c r="W417" s="16" t="s">
        <v>2671</v>
      </c>
      <c r="X417" s="16"/>
      <c r="Y417" s="16"/>
      <c r="Z417" s="16"/>
      <c r="AA417" s="16"/>
      <c r="AB417" s="16" t="s">
        <v>1277</v>
      </c>
      <c r="AC417" s="16" t="s">
        <v>1276</v>
      </c>
      <c r="AD417" s="16" t="s">
        <v>2462</v>
      </c>
      <c r="AE417" s="16" t="s">
        <v>1279</v>
      </c>
      <c r="AF417" s="16" t="s">
        <v>1276</v>
      </c>
      <c r="AG417" s="16" t="s">
        <v>1280</v>
      </c>
      <c r="AH417" s="16"/>
    </row>
    <row r="418" spans="1:34" ht="45" x14ac:dyDescent="0.25">
      <c r="A418" s="16" t="s">
        <v>1272</v>
      </c>
      <c r="B418" s="16" t="s">
        <v>1506</v>
      </c>
      <c r="C418" s="16" t="s">
        <v>332</v>
      </c>
      <c r="D418" s="16"/>
      <c r="E418" s="16"/>
      <c r="F418" s="16"/>
      <c r="G418" s="16"/>
      <c r="H418" s="16"/>
      <c r="I418" s="16"/>
      <c r="J418" s="16"/>
      <c r="K418" s="16"/>
      <c r="L418" s="16"/>
      <c r="M418" s="30"/>
      <c r="N418" s="16" t="s">
        <v>1274</v>
      </c>
      <c r="O418" s="16"/>
      <c r="P418" s="16" t="s">
        <v>2685</v>
      </c>
      <c r="Q418" s="16" t="s">
        <v>2670</v>
      </c>
      <c r="R418" s="16" t="s">
        <v>2670</v>
      </c>
      <c r="S418" s="16"/>
      <c r="T418" s="27"/>
      <c r="U418" s="16" t="s">
        <v>1276</v>
      </c>
      <c r="V418" s="16"/>
      <c r="W418" s="16" t="s">
        <v>2684</v>
      </c>
      <c r="X418" s="16"/>
      <c r="Y418" s="16"/>
      <c r="Z418" s="16"/>
      <c r="AA418" s="16"/>
      <c r="AB418" s="16" t="s">
        <v>1277</v>
      </c>
      <c r="AC418" s="16" t="s">
        <v>1276</v>
      </c>
      <c r="AD418" s="16" t="s">
        <v>2686</v>
      </c>
      <c r="AE418" s="16" t="s">
        <v>1279</v>
      </c>
      <c r="AF418" s="16" t="s">
        <v>1276</v>
      </c>
      <c r="AG418" s="16" t="s">
        <v>1280</v>
      </c>
      <c r="AH418" s="16"/>
    </row>
    <row r="419" spans="1:34" ht="45" x14ac:dyDescent="0.25">
      <c r="A419" s="16" t="s">
        <v>1272</v>
      </c>
      <c r="B419" s="16" t="s">
        <v>1935</v>
      </c>
      <c r="C419" s="16" t="s">
        <v>1936</v>
      </c>
      <c r="D419" s="16"/>
      <c r="E419" s="16"/>
      <c r="F419" s="16"/>
      <c r="G419" s="16"/>
      <c r="H419" s="16"/>
      <c r="I419" s="16"/>
      <c r="J419" s="16"/>
      <c r="K419" s="16"/>
      <c r="L419" s="16"/>
      <c r="M419" s="30"/>
      <c r="N419" s="16" t="s">
        <v>1274</v>
      </c>
      <c r="O419" s="16"/>
      <c r="P419" s="16" t="s">
        <v>1937</v>
      </c>
      <c r="Q419" s="16" t="s">
        <v>2670</v>
      </c>
      <c r="R419" s="16" t="s">
        <v>2670</v>
      </c>
      <c r="S419" s="16"/>
      <c r="T419" s="27"/>
      <c r="U419" s="16" t="s">
        <v>1276</v>
      </c>
      <c r="V419" s="16"/>
      <c r="W419" s="16" t="s">
        <v>2684</v>
      </c>
      <c r="X419" s="16"/>
      <c r="Y419" s="16"/>
      <c r="Z419" s="16"/>
      <c r="AA419" s="16"/>
      <c r="AB419" s="16" t="s">
        <v>1277</v>
      </c>
      <c r="AC419" s="16" t="s">
        <v>1276</v>
      </c>
      <c r="AD419" s="16" t="s">
        <v>1938</v>
      </c>
      <c r="AE419" s="16" t="s">
        <v>1279</v>
      </c>
      <c r="AF419" s="16" t="s">
        <v>1276</v>
      </c>
      <c r="AG419" s="16" t="s">
        <v>1280</v>
      </c>
      <c r="AH419" s="16"/>
    </row>
    <row r="420" spans="1:34" ht="60" x14ac:dyDescent="0.25">
      <c r="A420" s="16" t="s">
        <v>1272</v>
      </c>
      <c r="B420" s="16" t="s">
        <v>1940</v>
      </c>
      <c r="C420" s="16" t="s">
        <v>2687</v>
      </c>
      <c r="D420" s="16"/>
      <c r="E420" s="16"/>
      <c r="F420" s="16"/>
      <c r="G420" s="16"/>
      <c r="H420" s="16"/>
      <c r="I420" s="16"/>
      <c r="J420" s="16"/>
      <c r="K420" s="16"/>
      <c r="L420" s="16"/>
      <c r="M420" s="30"/>
      <c r="N420" s="16" t="s">
        <v>1274</v>
      </c>
      <c r="O420" s="16"/>
      <c r="P420" s="16" t="s">
        <v>1942</v>
      </c>
      <c r="Q420" s="16" t="s">
        <v>2670</v>
      </c>
      <c r="R420" s="16" t="s">
        <v>2670</v>
      </c>
      <c r="S420" s="16"/>
      <c r="T420" s="27"/>
      <c r="U420" s="16" t="s">
        <v>1276</v>
      </c>
      <c r="V420" s="16"/>
      <c r="W420" s="16" t="s">
        <v>1277</v>
      </c>
      <c r="X420" s="16"/>
      <c r="Y420" s="16"/>
      <c r="Z420" s="16"/>
      <c r="AA420" s="16"/>
      <c r="AB420" s="16" t="s">
        <v>1277</v>
      </c>
      <c r="AC420" s="16" t="s">
        <v>1276</v>
      </c>
      <c r="AD420" s="16" t="s">
        <v>1943</v>
      </c>
      <c r="AE420" s="16" t="s">
        <v>1279</v>
      </c>
      <c r="AF420" s="16" t="s">
        <v>1276</v>
      </c>
      <c r="AG420" s="16" t="s">
        <v>1280</v>
      </c>
      <c r="AH420" s="16"/>
    </row>
    <row r="421" spans="1:34" ht="60" x14ac:dyDescent="0.25">
      <c r="A421" s="16" t="s">
        <v>1272</v>
      </c>
      <c r="B421" s="16" t="s">
        <v>2688</v>
      </c>
      <c r="C421" s="16" t="s">
        <v>303</v>
      </c>
      <c r="D421" s="16"/>
      <c r="E421" s="16"/>
      <c r="F421" s="16"/>
      <c r="G421" s="16"/>
      <c r="H421" s="16"/>
      <c r="I421" s="16"/>
      <c r="J421" s="16"/>
      <c r="K421" s="16"/>
      <c r="L421" s="16"/>
      <c r="M421" s="30"/>
      <c r="N421" s="16" t="s">
        <v>1274</v>
      </c>
      <c r="O421" s="16"/>
      <c r="P421" s="16" t="s">
        <v>1509</v>
      </c>
      <c r="Q421" s="16" t="s">
        <v>2670</v>
      </c>
      <c r="R421" s="16" t="s">
        <v>2670</v>
      </c>
      <c r="S421" s="16"/>
      <c r="T421" s="27"/>
      <c r="U421" s="16" t="s">
        <v>1276</v>
      </c>
      <c r="V421" s="16"/>
      <c r="W421" s="16" t="s">
        <v>2671</v>
      </c>
      <c r="X421" s="16"/>
      <c r="Y421" s="16"/>
      <c r="Z421" s="16"/>
      <c r="AA421" s="16"/>
      <c r="AB421" s="16" t="s">
        <v>1277</v>
      </c>
      <c r="AC421" s="16" t="s">
        <v>1276</v>
      </c>
      <c r="AD421" s="16" t="s">
        <v>1510</v>
      </c>
      <c r="AE421" s="16" t="s">
        <v>1279</v>
      </c>
      <c r="AF421" s="16" t="s">
        <v>1276</v>
      </c>
      <c r="AG421" s="16" t="s">
        <v>1280</v>
      </c>
      <c r="AH421" s="16"/>
    </row>
    <row r="422" spans="1:34" ht="60" x14ac:dyDescent="0.25">
      <c r="A422" s="16" t="s">
        <v>1272</v>
      </c>
      <c r="B422" s="16" t="s">
        <v>1511</v>
      </c>
      <c r="C422" s="16" t="s">
        <v>288</v>
      </c>
      <c r="D422" s="16"/>
      <c r="E422" s="16"/>
      <c r="F422" s="16"/>
      <c r="G422" s="16"/>
      <c r="H422" s="16"/>
      <c r="I422" s="16"/>
      <c r="J422" s="16"/>
      <c r="K422" s="16"/>
      <c r="L422" s="16"/>
      <c r="M422" s="30"/>
      <c r="N422" s="16" t="s">
        <v>1274</v>
      </c>
      <c r="O422" s="16"/>
      <c r="P422" s="16" t="s">
        <v>1512</v>
      </c>
      <c r="Q422" s="16" t="s">
        <v>2670</v>
      </c>
      <c r="R422" s="16" t="s">
        <v>2670</v>
      </c>
      <c r="S422" s="16"/>
      <c r="T422" s="27"/>
      <c r="U422" s="16" t="s">
        <v>1276</v>
      </c>
      <c r="V422" s="16"/>
      <c r="W422" s="16" t="s">
        <v>2679</v>
      </c>
      <c r="X422" s="16"/>
      <c r="Y422" s="16"/>
      <c r="Z422" s="16"/>
      <c r="AA422" s="16"/>
      <c r="AB422" s="16" t="s">
        <v>1277</v>
      </c>
      <c r="AC422" s="16" t="s">
        <v>1276</v>
      </c>
      <c r="AD422" s="16" t="s">
        <v>1513</v>
      </c>
      <c r="AE422" s="16" t="s">
        <v>1279</v>
      </c>
      <c r="AF422" s="16" t="s">
        <v>1276</v>
      </c>
      <c r="AG422" s="16" t="s">
        <v>1280</v>
      </c>
      <c r="AH422" s="16"/>
    </row>
    <row r="423" spans="1:34" ht="60" x14ac:dyDescent="0.25">
      <c r="A423" s="16" t="s">
        <v>1272</v>
      </c>
      <c r="B423" s="16" t="s">
        <v>1514</v>
      </c>
      <c r="C423" s="16" t="s">
        <v>391</v>
      </c>
      <c r="D423" s="16"/>
      <c r="E423" s="16"/>
      <c r="F423" s="16"/>
      <c r="G423" s="16"/>
      <c r="H423" s="16"/>
      <c r="I423" s="16"/>
      <c r="J423" s="16"/>
      <c r="K423" s="16"/>
      <c r="L423" s="16"/>
      <c r="M423" s="30"/>
      <c r="N423" s="16" t="s">
        <v>1274</v>
      </c>
      <c r="O423" s="16"/>
      <c r="P423" s="16" t="s">
        <v>1515</v>
      </c>
      <c r="Q423" s="16" t="s">
        <v>2670</v>
      </c>
      <c r="R423" s="16" t="s">
        <v>2670</v>
      </c>
      <c r="S423" s="16"/>
      <c r="T423" s="27"/>
      <c r="U423" s="16" t="s">
        <v>1276</v>
      </c>
      <c r="V423" s="16"/>
      <c r="W423" s="16" t="s">
        <v>2674</v>
      </c>
      <c r="X423" s="16"/>
      <c r="Y423" s="16"/>
      <c r="Z423" s="16"/>
      <c r="AA423" s="16"/>
      <c r="AB423" s="16" t="s">
        <v>1277</v>
      </c>
      <c r="AC423" s="16" t="s">
        <v>1276</v>
      </c>
      <c r="AD423" s="16" t="s">
        <v>1516</v>
      </c>
      <c r="AE423" s="16" t="s">
        <v>1279</v>
      </c>
      <c r="AF423" s="16" t="s">
        <v>1276</v>
      </c>
      <c r="AG423" s="16" t="s">
        <v>1280</v>
      </c>
      <c r="AH423" s="16"/>
    </row>
    <row r="424" spans="1:34" ht="60" x14ac:dyDescent="0.25">
      <c r="A424" s="16" t="s">
        <v>1272</v>
      </c>
      <c r="B424" s="16" t="s">
        <v>2642</v>
      </c>
      <c r="C424" s="16" t="s">
        <v>1117</v>
      </c>
      <c r="D424" s="16"/>
      <c r="E424" s="16"/>
      <c r="F424" s="16"/>
      <c r="G424" s="16"/>
      <c r="H424" s="16"/>
      <c r="I424" s="16"/>
      <c r="J424" s="16"/>
      <c r="K424" s="16"/>
      <c r="L424" s="16"/>
      <c r="M424" s="30"/>
      <c r="N424" s="16" t="s">
        <v>1274</v>
      </c>
      <c r="O424" s="16"/>
      <c r="P424" s="16" t="s">
        <v>2689</v>
      </c>
      <c r="Q424" s="16" t="s">
        <v>2670</v>
      </c>
      <c r="R424" s="16" t="s">
        <v>2670</v>
      </c>
      <c r="S424" s="16"/>
      <c r="T424" s="27"/>
      <c r="U424" s="16" t="s">
        <v>1276</v>
      </c>
      <c r="V424" s="16"/>
      <c r="W424" s="16" t="s">
        <v>2683</v>
      </c>
      <c r="X424" s="16"/>
      <c r="Y424" s="16"/>
      <c r="Z424" s="16"/>
      <c r="AA424" s="16"/>
      <c r="AB424" s="16" t="s">
        <v>1277</v>
      </c>
      <c r="AC424" s="16" t="s">
        <v>1276</v>
      </c>
      <c r="AD424" s="16" t="s">
        <v>2690</v>
      </c>
      <c r="AE424" s="16" t="s">
        <v>1279</v>
      </c>
      <c r="AF424" s="16" t="s">
        <v>1276</v>
      </c>
      <c r="AG424" s="16" t="s">
        <v>1280</v>
      </c>
      <c r="AH424" s="16"/>
    </row>
    <row r="427" spans="1:34" x14ac:dyDescent="0.25">
      <c r="A427" s="14"/>
      <c r="M427"/>
      <c r="T427"/>
    </row>
    <row r="428" spans="1:34" x14ac:dyDescent="0.25">
      <c r="A428" s="15"/>
      <c r="M428"/>
      <c r="T428"/>
    </row>
    <row r="429" spans="1:34" x14ac:dyDescent="0.25">
      <c r="M429"/>
      <c r="T429"/>
    </row>
    <row r="430" spans="1:34" ht="33.75" x14ac:dyDescent="0.25">
      <c r="A430" s="3" t="s">
        <v>1257</v>
      </c>
      <c r="B430" s="3" t="s">
        <v>1258</v>
      </c>
      <c r="C430" s="3" t="s">
        <v>1259</v>
      </c>
      <c r="D430" s="3" t="s">
        <v>2647</v>
      </c>
      <c r="E430" s="3" t="s">
        <v>2648</v>
      </c>
      <c r="F430" s="3" t="s">
        <v>2649</v>
      </c>
      <c r="G430" s="3" t="s">
        <v>2650</v>
      </c>
      <c r="H430" s="3" t="s">
        <v>2651</v>
      </c>
      <c r="I430" s="3" t="s">
        <v>2652</v>
      </c>
      <c r="J430" s="3" t="s">
        <v>2653</v>
      </c>
      <c r="K430" s="3" t="s">
        <v>2654</v>
      </c>
      <c r="L430" s="3" t="s">
        <v>2655</v>
      </c>
      <c r="M430" s="3" t="s">
        <v>2656</v>
      </c>
      <c r="N430" s="3" t="s">
        <v>1260</v>
      </c>
      <c r="O430" s="3" t="s">
        <v>2657</v>
      </c>
      <c r="P430" s="3" t="s">
        <v>1261</v>
      </c>
      <c r="Q430" s="3" t="s">
        <v>2658</v>
      </c>
      <c r="R430" s="3" t="s">
        <v>2659</v>
      </c>
      <c r="S430" s="3" t="s">
        <v>2660</v>
      </c>
      <c r="T430" s="3" t="s">
        <v>2661</v>
      </c>
      <c r="U430" s="3" t="s">
        <v>1262</v>
      </c>
      <c r="V430" s="3" t="s">
        <v>2662</v>
      </c>
      <c r="W430" s="3" t="s">
        <v>2663</v>
      </c>
      <c r="X430" s="3" t="s">
        <v>2664</v>
      </c>
      <c r="Y430" s="3" t="s">
        <v>2665</v>
      </c>
      <c r="Z430" s="3" t="s">
        <v>2666</v>
      </c>
      <c r="AA430" s="3" t="s">
        <v>2667</v>
      </c>
      <c r="AB430" s="3" t="s">
        <v>1263</v>
      </c>
      <c r="AC430" s="3" t="s">
        <v>1264</v>
      </c>
      <c r="AD430" s="3" t="s">
        <v>1265</v>
      </c>
      <c r="AE430" s="3" t="s">
        <v>1266</v>
      </c>
      <c r="AF430" s="3" t="s">
        <v>1267</v>
      </c>
      <c r="AG430" s="3" t="s">
        <v>1268</v>
      </c>
      <c r="AH430" s="3" t="s">
        <v>2668</v>
      </c>
    </row>
    <row r="431" spans="1:34" ht="22.5" x14ac:dyDescent="0.25">
      <c r="A431" s="4" t="s">
        <v>1272</v>
      </c>
      <c r="B431" s="4" t="s">
        <v>2145</v>
      </c>
      <c r="C431" s="4" t="s">
        <v>2691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 t="s">
        <v>1274</v>
      </c>
      <c r="O431" s="4"/>
      <c r="P431" s="4" t="s">
        <v>2147</v>
      </c>
      <c r="Q431" s="4" t="s">
        <v>2670</v>
      </c>
      <c r="R431" s="4" t="s">
        <v>2670</v>
      </c>
      <c r="S431" s="4"/>
      <c r="T431" s="4"/>
      <c r="U431" s="4" t="s">
        <v>1276</v>
      </c>
      <c r="V431" s="4"/>
      <c r="W431" s="4" t="s">
        <v>2671</v>
      </c>
      <c r="X431" s="4"/>
      <c r="Y431" s="4"/>
      <c r="Z431" s="4"/>
      <c r="AA431" s="4"/>
      <c r="AB431" s="4" t="s">
        <v>1277</v>
      </c>
      <c r="AC431" s="4" t="s">
        <v>1276</v>
      </c>
      <c r="AD431" s="4" t="s">
        <v>2148</v>
      </c>
      <c r="AE431" s="4" t="s">
        <v>1279</v>
      </c>
      <c r="AF431" s="4" t="s">
        <v>1276</v>
      </c>
      <c r="AG431" s="4" t="s">
        <v>1280</v>
      </c>
      <c r="AH431" s="4"/>
    </row>
    <row r="432" spans="1:34" ht="22.5" x14ac:dyDescent="0.25">
      <c r="A432" s="4" t="s">
        <v>1272</v>
      </c>
      <c r="B432" s="4" t="s">
        <v>1542</v>
      </c>
      <c r="C432" s="4" t="s">
        <v>514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 t="s">
        <v>1274</v>
      </c>
      <c r="O432" s="4"/>
      <c r="P432" s="4" t="s">
        <v>1543</v>
      </c>
      <c r="Q432" s="4" t="s">
        <v>2670</v>
      </c>
      <c r="R432" s="4" t="s">
        <v>2670</v>
      </c>
      <c r="S432" s="4"/>
      <c r="T432" s="4"/>
      <c r="U432" s="4" t="s">
        <v>1276</v>
      </c>
      <c r="V432" s="4"/>
      <c r="W432" s="4" t="s">
        <v>2671</v>
      </c>
      <c r="X432" s="4"/>
      <c r="Y432" s="4"/>
      <c r="Z432" s="4"/>
      <c r="AA432" s="4"/>
      <c r="AB432" s="4" t="s">
        <v>1277</v>
      </c>
      <c r="AC432" s="4" t="s">
        <v>1276</v>
      </c>
      <c r="AD432" s="4" t="s">
        <v>1544</v>
      </c>
      <c r="AE432" s="4" t="s">
        <v>1279</v>
      </c>
      <c r="AF432" s="4" t="s">
        <v>1276</v>
      </c>
      <c r="AG432" s="4" t="s">
        <v>1280</v>
      </c>
      <c r="AH432" s="4"/>
    </row>
    <row r="433" spans="1:34" ht="22.5" x14ac:dyDescent="0.25">
      <c r="A433" s="4" t="s">
        <v>1272</v>
      </c>
      <c r="B433" s="4" t="s">
        <v>1642</v>
      </c>
      <c r="C433" s="4" t="s">
        <v>2692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 t="s">
        <v>1274</v>
      </c>
      <c r="O433" s="4"/>
      <c r="P433" s="4" t="s">
        <v>1644</v>
      </c>
      <c r="Q433" s="4" t="s">
        <v>2670</v>
      </c>
      <c r="R433" s="4" t="s">
        <v>2670</v>
      </c>
      <c r="S433" s="4"/>
      <c r="T433" s="4"/>
      <c r="U433" s="4" t="s">
        <v>1276</v>
      </c>
      <c r="V433" s="4"/>
      <c r="W433" s="4" t="s">
        <v>2671</v>
      </c>
      <c r="X433" s="4"/>
      <c r="Y433" s="4"/>
      <c r="Z433" s="4"/>
      <c r="AA433" s="4"/>
      <c r="AB433" s="4" t="s">
        <v>1277</v>
      </c>
      <c r="AC433" s="4" t="s">
        <v>1276</v>
      </c>
      <c r="AD433" s="4" t="s">
        <v>1645</v>
      </c>
      <c r="AE433" s="4" t="s">
        <v>1279</v>
      </c>
      <c r="AF433" s="4" t="s">
        <v>1276</v>
      </c>
      <c r="AG433" s="4" t="s">
        <v>1280</v>
      </c>
      <c r="AH433" s="4"/>
    </row>
    <row r="434" spans="1:34" ht="22.5" x14ac:dyDescent="0.25">
      <c r="A434" s="4" t="s">
        <v>1272</v>
      </c>
      <c r="B434" s="4" t="s">
        <v>2626</v>
      </c>
      <c r="C434" s="4" t="s">
        <v>2693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 t="s">
        <v>1274</v>
      </c>
      <c r="O434" s="4"/>
      <c r="P434" s="4" t="s">
        <v>2628</v>
      </c>
      <c r="Q434" s="4" t="s">
        <v>2670</v>
      </c>
      <c r="R434" s="4" t="s">
        <v>2670</v>
      </c>
      <c r="S434" s="4"/>
      <c r="T434" s="4"/>
      <c r="U434" s="4" t="s">
        <v>1276</v>
      </c>
      <c r="V434" s="4"/>
      <c r="W434" s="4" t="s">
        <v>2675</v>
      </c>
      <c r="X434" s="4"/>
      <c r="Y434" s="4"/>
      <c r="Z434" s="4"/>
      <c r="AA434" s="4"/>
      <c r="AB434" s="4" t="s">
        <v>1277</v>
      </c>
      <c r="AC434" s="4" t="s">
        <v>1276</v>
      </c>
      <c r="AD434" s="4" t="s">
        <v>2629</v>
      </c>
      <c r="AE434" s="4" t="s">
        <v>1279</v>
      </c>
      <c r="AF434" s="4" t="s">
        <v>1276</v>
      </c>
      <c r="AG434" s="4" t="s">
        <v>1280</v>
      </c>
      <c r="AH434" s="4"/>
    </row>
    <row r="435" spans="1:34" ht="22.5" x14ac:dyDescent="0.25">
      <c r="A435" s="4" t="s">
        <v>1272</v>
      </c>
      <c r="B435" s="4" t="s">
        <v>1406</v>
      </c>
      <c r="C435" s="4" t="s">
        <v>2694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 t="s">
        <v>1274</v>
      </c>
      <c r="O435" s="4"/>
      <c r="P435" s="4" t="s">
        <v>1407</v>
      </c>
      <c r="Q435" s="4" t="s">
        <v>2670</v>
      </c>
      <c r="R435" s="4" t="s">
        <v>2670</v>
      </c>
      <c r="S435" s="4"/>
      <c r="T435" s="4"/>
      <c r="U435" s="4" t="s">
        <v>1276</v>
      </c>
      <c r="V435" s="4"/>
      <c r="W435" s="4" t="s">
        <v>2695</v>
      </c>
      <c r="X435" s="4"/>
      <c r="Y435" s="4"/>
      <c r="Z435" s="4"/>
      <c r="AA435" s="4"/>
      <c r="AB435" s="4" t="s">
        <v>1277</v>
      </c>
      <c r="AC435" s="4" t="s">
        <v>1276</v>
      </c>
      <c r="AD435" s="4" t="s">
        <v>1408</v>
      </c>
      <c r="AE435" s="4" t="s">
        <v>1279</v>
      </c>
      <c r="AF435" s="4" t="s">
        <v>1276</v>
      </c>
      <c r="AG435" s="4" t="s">
        <v>1280</v>
      </c>
      <c r="AH435" s="4"/>
    </row>
    <row r="436" spans="1:34" ht="33.75" x14ac:dyDescent="0.25">
      <c r="A436" s="4" t="s">
        <v>1272</v>
      </c>
      <c r="B436" s="4" t="s">
        <v>1551</v>
      </c>
      <c r="C436" s="4" t="s">
        <v>506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 t="s">
        <v>1274</v>
      </c>
      <c r="O436" s="4"/>
      <c r="P436" s="4" t="s">
        <v>1552</v>
      </c>
      <c r="Q436" s="4" t="s">
        <v>2670</v>
      </c>
      <c r="R436" s="4" t="s">
        <v>2670</v>
      </c>
      <c r="S436" s="4"/>
      <c r="T436" s="4"/>
      <c r="U436" s="4" t="s">
        <v>1276</v>
      </c>
      <c r="V436" s="4"/>
      <c r="W436" s="4" t="s">
        <v>2671</v>
      </c>
      <c r="X436" s="4"/>
      <c r="Y436" s="4"/>
      <c r="Z436" s="4"/>
      <c r="AA436" s="4"/>
      <c r="AB436" s="4" t="s">
        <v>1277</v>
      </c>
      <c r="AC436" s="4" t="s">
        <v>1276</v>
      </c>
      <c r="AD436" s="4" t="s">
        <v>1553</v>
      </c>
      <c r="AE436" s="4" t="s">
        <v>1279</v>
      </c>
      <c r="AF436" s="4" t="s">
        <v>1276</v>
      </c>
      <c r="AG436" s="4" t="s">
        <v>1280</v>
      </c>
      <c r="AH436" s="4"/>
    </row>
    <row r="437" spans="1:34" ht="33.75" x14ac:dyDescent="0.25">
      <c r="A437" s="4" t="s">
        <v>1272</v>
      </c>
      <c r="B437" s="4" t="s">
        <v>1554</v>
      </c>
      <c r="C437" s="4" t="s">
        <v>491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 t="s">
        <v>1274</v>
      </c>
      <c r="O437" s="4"/>
      <c r="P437" s="4" t="s">
        <v>1555</v>
      </c>
      <c r="Q437" s="4" t="s">
        <v>2670</v>
      </c>
      <c r="R437" s="4" t="s">
        <v>2670</v>
      </c>
      <c r="S437" s="4"/>
      <c r="T437" s="4"/>
      <c r="U437" s="4" t="s">
        <v>1276</v>
      </c>
      <c r="V437" s="4"/>
      <c r="W437" s="4" t="s">
        <v>2671</v>
      </c>
      <c r="X437" s="4"/>
      <c r="Y437" s="4"/>
      <c r="Z437" s="4"/>
      <c r="AA437" s="4"/>
      <c r="AB437" s="4" t="s">
        <v>1277</v>
      </c>
      <c r="AC437" s="4" t="s">
        <v>1276</v>
      </c>
      <c r="AD437" s="4" t="s">
        <v>1556</v>
      </c>
      <c r="AE437" s="4" t="s">
        <v>1279</v>
      </c>
      <c r="AF437" s="4" t="s">
        <v>1276</v>
      </c>
      <c r="AG437" s="4" t="s">
        <v>1280</v>
      </c>
      <c r="AH437" s="4"/>
    </row>
    <row r="438" spans="1:34" ht="22.5" x14ac:dyDescent="0.25">
      <c r="A438" s="4" t="s">
        <v>1272</v>
      </c>
      <c r="B438" s="4" t="s">
        <v>1647</v>
      </c>
      <c r="C438" s="4" t="s">
        <v>595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 t="s">
        <v>1274</v>
      </c>
      <c r="O438" s="4"/>
      <c r="P438" s="4" t="s">
        <v>1648</v>
      </c>
      <c r="Q438" s="4" t="s">
        <v>2670</v>
      </c>
      <c r="R438" s="4" t="s">
        <v>2670</v>
      </c>
      <c r="S438" s="4"/>
      <c r="T438" s="4"/>
      <c r="U438" s="4" t="s">
        <v>1276</v>
      </c>
      <c r="V438" s="4"/>
      <c r="W438" s="4" t="s">
        <v>2673</v>
      </c>
      <c r="X438" s="4"/>
      <c r="Y438" s="4"/>
      <c r="Z438" s="4"/>
      <c r="AA438" s="4"/>
      <c r="AB438" s="4" t="s">
        <v>1277</v>
      </c>
      <c r="AC438" s="4" t="s">
        <v>1276</v>
      </c>
      <c r="AD438" s="4" t="s">
        <v>1649</v>
      </c>
      <c r="AE438" s="4" t="s">
        <v>1279</v>
      </c>
      <c r="AF438" s="4" t="s">
        <v>1276</v>
      </c>
      <c r="AG438" s="4" t="s">
        <v>1280</v>
      </c>
      <c r="AH438" s="4"/>
    </row>
    <row r="439" spans="1:34" ht="22.5" x14ac:dyDescent="0.25">
      <c r="A439" s="4" t="s">
        <v>1272</v>
      </c>
      <c r="B439" s="4" t="s">
        <v>1746</v>
      </c>
      <c r="C439" s="4" t="s">
        <v>744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 t="s">
        <v>1274</v>
      </c>
      <c r="O439" s="4"/>
      <c r="P439" s="4" t="s">
        <v>1747</v>
      </c>
      <c r="Q439" s="4" t="s">
        <v>2670</v>
      </c>
      <c r="R439" s="4" t="s">
        <v>2670</v>
      </c>
      <c r="S439" s="4"/>
      <c r="T439" s="4"/>
      <c r="U439" s="4" t="s">
        <v>1276</v>
      </c>
      <c r="V439" s="4"/>
      <c r="W439" s="4" t="s">
        <v>2671</v>
      </c>
      <c r="X439" s="4"/>
      <c r="Y439" s="4"/>
      <c r="Z439" s="4"/>
      <c r="AA439" s="4"/>
      <c r="AB439" s="4" t="s">
        <v>1277</v>
      </c>
      <c r="AC439" s="4" t="s">
        <v>1276</v>
      </c>
      <c r="AD439" s="4" t="s">
        <v>1748</v>
      </c>
      <c r="AE439" s="4" t="s">
        <v>1279</v>
      </c>
      <c r="AF439" s="4" t="s">
        <v>1276</v>
      </c>
      <c r="AG439" s="4" t="s">
        <v>1280</v>
      </c>
      <c r="AH439" s="4"/>
    </row>
    <row r="440" spans="1:34" ht="33.75" x14ac:dyDescent="0.25">
      <c r="A440" s="4" t="s">
        <v>1272</v>
      </c>
      <c r="B440" s="4" t="s">
        <v>1749</v>
      </c>
      <c r="C440" s="4" t="s">
        <v>739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 t="s">
        <v>1274</v>
      </c>
      <c r="O440" s="4"/>
      <c r="P440" s="4" t="s">
        <v>1750</v>
      </c>
      <c r="Q440" s="4" t="s">
        <v>2670</v>
      </c>
      <c r="R440" s="4" t="s">
        <v>2670</v>
      </c>
      <c r="S440" s="4"/>
      <c r="T440" s="4"/>
      <c r="U440" s="4" t="s">
        <v>1276</v>
      </c>
      <c r="V440" s="4"/>
      <c r="W440" s="4" t="s">
        <v>2671</v>
      </c>
      <c r="X440" s="4"/>
      <c r="Y440" s="4"/>
      <c r="Z440" s="4"/>
      <c r="AA440" s="4"/>
      <c r="AB440" s="4" t="s">
        <v>1277</v>
      </c>
      <c r="AC440" s="4" t="s">
        <v>1276</v>
      </c>
      <c r="AD440" s="4" t="s">
        <v>1751</v>
      </c>
      <c r="AE440" s="4" t="s">
        <v>1279</v>
      </c>
      <c r="AF440" s="4" t="s">
        <v>1276</v>
      </c>
      <c r="AG440" s="4" t="s">
        <v>1280</v>
      </c>
      <c r="AH440" s="4"/>
    </row>
    <row r="441" spans="1:34" ht="22.5" x14ac:dyDescent="0.25">
      <c r="A441" s="4" t="s">
        <v>1272</v>
      </c>
      <c r="B441" s="4" t="s">
        <v>1667</v>
      </c>
      <c r="C441" s="4" t="s">
        <v>695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 t="s">
        <v>1274</v>
      </c>
      <c r="O441" s="4"/>
      <c r="P441" s="4" t="s">
        <v>1668</v>
      </c>
      <c r="Q441" s="4" t="s">
        <v>2670</v>
      </c>
      <c r="R441" s="4" t="s">
        <v>2670</v>
      </c>
      <c r="S441" s="4"/>
      <c r="T441" s="4"/>
      <c r="U441" s="4" t="s">
        <v>1276</v>
      </c>
      <c r="V441" s="4"/>
      <c r="W441" s="4" t="s">
        <v>2674</v>
      </c>
      <c r="X441" s="4"/>
      <c r="Y441" s="4"/>
      <c r="Z441" s="4"/>
      <c r="AA441" s="4"/>
      <c r="AB441" s="4" t="s">
        <v>1277</v>
      </c>
      <c r="AC441" s="4" t="s">
        <v>1276</v>
      </c>
      <c r="AD441" s="4" t="s">
        <v>1669</v>
      </c>
      <c r="AE441" s="4" t="s">
        <v>1279</v>
      </c>
      <c r="AF441" s="4" t="s">
        <v>1276</v>
      </c>
      <c r="AG441" s="4" t="s">
        <v>1280</v>
      </c>
      <c r="AH441" s="4"/>
    </row>
    <row r="442" spans="1:34" ht="33.75" x14ac:dyDescent="0.25">
      <c r="A442" s="4" t="s">
        <v>1272</v>
      </c>
      <c r="B442" s="4" t="s">
        <v>1803</v>
      </c>
      <c r="C442" s="4" t="s">
        <v>2696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 t="s">
        <v>1274</v>
      </c>
      <c r="O442" s="4"/>
      <c r="P442" s="4" t="s">
        <v>1804</v>
      </c>
      <c r="Q442" s="4" t="s">
        <v>2670</v>
      </c>
      <c r="R442" s="4" t="s">
        <v>2670</v>
      </c>
      <c r="S442" s="4"/>
      <c r="T442" s="4"/>
      <c r="U442" s="4" t="s">
        <v>1276</v>
      </c>
      <c r="V442" s="4"/>
      <c r="W442" s="4" t="s">
        <v>2679</v>
      </c>
      <c r="X442" s="4"/>
      <c r="Y442" s="4"/>
      <c r="Z442" s="4"/>
      <c r="AA442" s="4"/>
      <c r="AB442" s="4" t="s">
        <v>1277</v>
      </c>
      <c r="AC442" s="4" t="s">
        <v>1276</v>
      </c>
      <c r="AD442" s="4" t="s">
        <v>1805</v>
      </c>
      <c r="AE442" s="4" t="s">
        <v>1279</v>
      </c>
      <c r="AF442" s="4" t="s">
        <v>1276</v>
      </c>
      <c r="AG442" s="4" t="s">
        <v>1280</v>
      </c>
      <c r="AH442" s="4"/>
    </row>
    <row r="443" spans="1:34" ht="33.75" x14ac:dyDescent="0.25">
      <c r="A443" s="4" t="s">
        <v>1272</v>
      </c>
      <c r="B443" s="4" t="s">
        <v>1806</v>
      </c>
      <c r="C443" s="4" t="s">
        <v>2697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 t="s">
        <v>1274</v>
      </c>
      <c r="O443" s="4"/>
      <c r="P443" s="4" t="s">
        <v>1807</v>
      </c>
      <c r="Q443" s="4" t="s">
        <v>2670</v>
      </c>
      <c r="R443" s="4" t="s">
        <v>2670</v>
      </c>
      <c r="S443" s="4"/>
      <c r="T443" s="4"/>
      <c r="U443" s="4" t="s">
        <v>1276</v>
      </c>
      <c r="V443" s="4"/>
      <c r="W443" s="4" t="s">
        <v>2674</v>
      </c>
      <c r="X443" s="4"/>
      <c r="Y443" s="4"/>
      <c r="Z443" s="4"/>
      <c r="AA443" s="4"/>
      <c r="AB443" s="4" t="s">
        <v>1277</v>
      </c>
      <c r="AC443" s="4" t="s">
        <v>1276</v>
      </c>
      <c r="AD443" s="4" t="s">
        <v>1808</v>
      </c>
      <c r="AE443" s="4" t="s">
        <v>1279</v>
      </c>
      <c r="AF443" s="4" t="s">
        <v>1276</v>
      </c>
      <c r="AG443" s="4" t="s">
        <v>1280</v>
      </c>
      <c r="AH443" s="4"/>
    </row>
    <row r="444" spans="1:34" ht="22.5" x14ac:dyDescent="0.25">
      <c r="A444" s="4" t="s">
        <v>1272</v>
      </c>
      <c r="B444" s="4" t="s">
        <v>2155</v>
      </c>
      <c r="C444" s="4" t="s">
        <v>2698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 t="s">
        <v>1274</v>
      </c>
      <c r="O444" s="4"/>
      <c r="P444" s="4" t="s">
        <v>2157</v>
      </c>
      <c r="Q444" s="4" t="s">
        <v>2670</v>
      </c>
      <c r="R444" s="4" t="s">
        <v>2670</v>
      </c>
      <c r="S444" s="4"/>
      <c r="T444" s="4"/>
      <c r="U444" s="4" t="s">
        <v>1276</v>
      </c>
      <c r="V444" s="4"/>
      <c r="W444" s="4" t="s">
        <v>2671</v>
      </c>
      <c r="X444" s="4"/>
      <c r="Y444" s="4"/>
      <c r="Z444" s="4"/>
      <c r="AA444" s="4"/>
      <c r="AB444" s="4" t="s">
        <v>1277</v>
      </c>
      <c r="AC444" s="4" t="s">
        <v>1276</v>
      </c>
      <c r="AD444" s="4" t="s">
        <v>2158</v>
      </c>
      <c r="AE444" s="4" t="s">
        <v>1279</v>
      </c>
      <c r="AF444" s="4" t="s">
        <v>1276</v>
      </c>
      <c r="AG444" s="4" t="s">
        <v>1280</v>
      </c>
      <c r="AH444" s="4"/>
    </row>
    <row r="445" spans="1:34" ht="22.5" x14ac:dyDescent="0.25">
      <c r="A445" s="4" t="s">
        <v>1272</v>
      </c>
      <c r="B445" s="4" t="s">
        <v>2165</v>
      </c>
      <c r="C445" s="4" t="s">
        <v>2691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 t="s">
        <v>1274</v>
      </c>
      <c r="O445" s="4"/>
      <c r="P445" s="4" t="s">
        <v>2166</v>
      </c>
      <c r="Q445" s="4" t="s">
        <v>2670</v>
      </c>
      <c r="R445" s="4" t="s">
        <v>2670</v>
      </c>
      <c r="S445" s="4"/>
      <c r="T445" s="4"/>
      <c r="U445" s="4" t="s">
        <v>1276</v>
      </c>
      <c r="V445" s="4"/>
      <c r="W445" s="4" t="s">
        <v>2671</v>
      </c>
      <c r="X445" s="4"/>
      <c r="Y445" s="4"/>
      <c r="Z445" s="4"/>
      <c r="AA445" s="4"/>
      <c r="AB445" s="4" t="s">
        <v>1277</v>
      </c>
      <c r="AC445" s="4" t="s">
        <v>1276</v>
      </c>
      <c r="AD445" s="4" t="s">
        <v>2167</v>
      </c>
      <c r="AE445" s="4" t="s">
        <v>1279</v>
      </c>
      <c r="AF445" s="4" t="s">
        <v>1276</v>
      </c>
      <c r="AG445" s="4" t="s">
        <v>1280</v>
      </c>
      <c r="AH445" s="4"/>
    </row>
    <row r="446" spans="1:34" ht="33.75" x14ac:dyDescent="0.25">
      <c r="A446" s="4" t="s">
        <v>1272</v>
      </c>
      <c r="B446" s="4" t="s">
        <v>1955</v>
      </c>
      <c r="C446" s="4" t="s">
        <v>2699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 t="s">
        <v>1274</v>
      </c>
      <c r="O446" s="4"/>
      <c r="P446" s="4" t="s">
        <v>1957</v>
      </c>
      <c r="Q446" s="4" t="s">
        <v>2670</v>
      </c>
      <c r="R446" s="4" t="s">
        <v>2670</v>
      </c>
      <c r="S446" s="4"/>
      <c r="T446" s="4"/>
      <c r="U446" s="4" t="s">
        <v>1276</v>
      </c>
      <c r="V446" s="4"/>
      <c r="W446" s="4" t="s">
        <v>2674</v>
      </c>
      <c r="X446" s="4"/>
      <c r="Y446" s="4"/>
      <c r="Z446" s="4"/>
      <c r="AA446" s="4"/>
      <c r="AB446" s="4" t="s">
        <v>1277</v>
      </c>
      <c r="AC446" s="4" t="s">
        <v>1276</v>
      </c>
      <c r="AD446" s="4" t="s">
        <v>1958</v>
      </c>
      <c r="AE446" s="4" t="s">
        <v>1279</v>
      </c>
      <c r="AF446" s="4" t="s">
        <v>1276</v>
      </c>
      <c r="AG446" s="4" t="s">
        <v>1280</v>
      </c>
      <c r="AH446" s="4"/>
    </row>
    <row r="447" spans="1:34" ht="22.5" x14ac:dyDescent="0.25">
      <c r="A447" s="4" t="s">
        <v>1272</v>
      </c>
      <c r="B447" s="4" t="s">
        <v>1970</v>
      </c>
      <c r="C447" s="4" t="s">
        <v>2700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 t="s">
        <v>1274</v>
      </c>
      <c r="O447" s="4"/>
      <c r="P447" s="4" t="s">
        <v>1972</v>
      </c>
      <c r="Q447" s="4" t="s">
        <v>2670</v>
      </c>
      <c r="R447" s="4" t="s">
        <v>2670</v>
      </c>
      <c r="S447" s="4"/>
      <c r="T447" s="4"/>
      <c r="U447" s="4" t="s">
        <v>1276</v>
      </c>
      <c r="V447" s="4"/>
      <c r="W447" s="4" t="s">
        <v>2671</v>
      </c>
      <c r="X447" s="4"/>
      <c r="Y447" s="4"/>
      <c r="Z447" s="4"/>
      <c r="AA447" s="4"/>
      <c r="AB447" s="4" t="s">
        <v>1277</v>
      </c>
      <c r="AC447" s="4" t="s">
        <v>1276</v>
      </c>
      <c r="AD447" s="4" t="s">
        <v>1973</v>
      </c>
      <c r="AE447" s="4" t="s">
        <v>1279</v>
      </c>
      <c r="AF447" s="4" t="s">
        <v>1276</v>
      </c>
      <c r="AG447" s="4" t="s">
        <v>1280</v>
      </c>
      <c r="AH447" s="4"/>
    </row>
    <row r="448" spans="1:34" ht="22.5" x14ac:dyDescent="0.25">
      <c r="A448" s="4" t="s">
        <v>1272</v>
      </c>
      <c r="B448" s="4" t="s">
        <v>2374</v>
      </c>
      <c r="C448" s="4" t="s">
        <v>2701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 t="s">
        <v>1274</v>
      </c>
      <c r="O448" s="4"/>
      <c r="P448" s="4" t="s">
        <v>2376</v>
      </c>
      <c r="Q448" s="4" t="s">
        <v>2670</v>
      </c>
      <c r="R448" s="4" t="s">
        <v>2670</v>
      </c>
      <c r="S448" s="4"/>
      <c r="T448" s="4"/>
      <c r="U448" s="4" t="s">
        <v>1276</v>
      </c>
      <c r="V448" s="4"/>
      <c r="W448" s="4" t="s">
        <v>2671</v>
      </c>
      <c r="X448" s="4"/>
      <c r="Y448" s="4"/>
      <c r="Z448" s="4"/>
      <c r="AA448" s="4"/>
      <c r="AB448" s="4" t="s">
        <v>1277</v>
      </c>
      <c r="AC448" s="4" t="s">
        <v>1276</v>
      </c>
      <c r="AD448" s="4" t="s">
        <v>2377</v>
      </c>
      <c r="AE448" s="4" t="s">
        <v>1279</v>
      </c>
      <c r="AF448" s="4" t="s">
        <v>1276</v>
      </c>
      <c r="AG448" s="4" t="s">
        <v>1280</v>
      </c>
      <c r="AH448" s="4"/>
    </row>
    <row r="449" spans="1:34" ht="22.5" x14ac:dyDescent="0.25">
      <c r="A449" s="4" t="s">
        <v>1272</v>
      </c>
      <c r="B449" s="4" t="s">
        <v>2268</v>
      </c>
      <c r="C449" s="4" t="s">
        <v>2702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 t="s">
        <v>1274</v>
      </c>
      <c r="O449" s="4"/>
      <c r="P449" s="4" t="s">
        <v>2270</v>
      </c>
      <c r="Q449" s="4" t="s">
        <v>2670</v>
      </c>
      <c r="R449" s="4" t="s">
        <v>2670</v>
      </c>
      <c r="S449" s="4"/>
      <c r="T449" s="4"/>
      <c r="U449" s="4" t="s">
        <v>1276</v>
      </c>
      <c r="V449" s="4"/>
      <c r="W449" s="4" t="s">
        <v>2671</v>
      </c>
      <c r="X449" s="4"/>
      <c r="Y449" s="4"/>
      <c r="Z449" s="4"/>
      <c r="AA449" s="4"/>
      <c r="AB449" s="4" t="s">
        <v>1277</v>
      </c>
      <c r="AC449" s="4" t="s">
        <v>1276</v>
      </c>
      <c r="AD449" s="4" t="s">
        <v>2271</v>
      </c>
      <c r="AE449" s="4" t="s">
        <v>1279</v>
      </c>
      <c r="AF449" s="4" t="s">
        <v>1276</v>
      </c>
      <c r="AG449" s="4" t="s">
        <v>1280</v>
      </c>
      <c r="AH449" s="4"/>
    </row>
    <row r="450" spans="1:34" ht="22.5" x14ac:dyDescent="0.25">
      <c r="A450" s="4" t="s">
        <v>1272</v>
      </c>
      <c r="B450" s="4" t="s">
        <v>2379</v>
      </c>
      <c r="C450" s="4" t="s">
        <v>2701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 t="s">
        <v>1274</v>
      </c>
      <c r="O450" s="4"/>
      <c r="P450" s="4" t="s">
        <v>2380</v>
      </c>
      <c r="Q450" s="4" t="s">
        <v>2670</v>
      </c>
      <c r="R450" s="4" t="s">
        <v>2670</v>
      </c>
      <c r="S450" s="4"/>
      <c r="T450" s="4"/>
      <c r="U450" s="4" t="s">
        <v>1276</v>
      </c>
      <c r="V450" s="4"/>
      <c r="W450" s="4" t="s">
        <v>2674</v>
      </c>
      <c r="X450" s="4"/>
      <c r="Y450" s="4"/>
      <c r="Z450" s="4"/>
      <c r="AA450" s="4"/>
      <c r="AB450" s="4" t="s">
        <v>1277</v>
      </c>
      <c r="AC450" s="4" t="s">
        <v>1276</v>
      </c>
      <c r="AD450" s="4" t="s">
        <v>2381</v>
      </c>
      <c r="AE450" s="4" t="s">
        <v>1279</v>
      </c>
      <c r="AF450" s="4" t="s">
        <v>1276</v>
      </c>
      <c r="AG450" s="4" t="s">
        <v>1280</v>
      </c>
      <c r="AH450" s="4"/>
    </row>
    <row r="451" spans="1:34" ht="22.5" x14ac:dyDescent="0.25">
      <c r="A451" s="4" t="s">
        <v>1272</v>
      </c>
      <c r="B451" s="4" t="s">
        <v>2532</v>
      </c>
      <c r="C451" s="4" t="s">
        <v>2703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 t="s">
        <v>1274</v>
      </c>
      <c r="O451" s="4"/>
      <c r="P451" s="4" t="s">
        <v>2534</v>
      </c>
      <c r="Q451" s="4" t="s">
        <v>2670</v>
      </c>
      <c r="R451" s="4" t="s">
        <v>2670</v>
      </c>
      <c r="S451" s="4"/>
      <c r="T451" s="4"/>
      <c r="U451" s="4" t="s">
        <v>1276</v>
      </c>
      <c r="V451" s="4"/>
      <c r="W451" s="4" t="s">
        <v>2674</v>
      </c>
      <c r="X451" s="4"/>
      <c r="Y451" s="4"/>
      <c r="Z451" s="4"/>
      <c r="AA451" s="4"/>
      <c r="AB451" s="4" t="s">
        <v>1277</v>
      </c>
      <c r="AC451" s="4" t="s">
        <v>1276</v>
      </c>
      <c r="AD451" s="4" t="s">
        <v>2535</v>
      </c>
      <c r="AE451" s="4" t="s">
        <v>1279</v>
      </c>
      <c r="AF451" s="4" t="s">
        <v>1276</v>
      </c>
      <c r="AG451" s="4" t="s">
        <v>1280</v>
      </c>
      <c r="AH451" s="4"/>
    </row>
    <row r="452" spans="1:34" ht="22.5" x14ac:dyDescent="0.25">
      <c r="A452" s="4" t="s">
        <v>1272</v>
      </c>
      <c r="B452" s="4" t="s">
        <v>2179</v>
      </c>
      <c r="C452" s="4" t="s">
        <v>2698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 t="s">
        <v>1274</v>
      </c>
      <c r="O452" s="4"/>
      <c r="P452" s="4" t="s">
        <v>2180</v>
      </c>
      <c r="Q452" s="4" t="s">
        <v>2670</v>
      </c>
      <c r="R452" s="4" t="s">
        <v>2670</v>
      </c>
      <c r="S452" s="4"/>
      <c r="T452" s="4"/>
      <c r="U452" s="4" t="s">
        <v>1276</v>
      </c>
      <c r="V452" s="4"/>
      <c r="W452" s="4" t="s">
        <v>2679</v>
      </c>
      <c r="X452" s="4"/>
      <c r="Y452" s="4"/>
      <c r="Z452" s="4"/>
      <c r="AA452" s="4"/>
      <c r="AB452" s="4" t="s">
        <v>1277</v>
      </c>
      <c r="AC452" s="4" t="s">
        <v>1276</v>
      </c>
      <c r="AD452" s="4" t="s">
        <v>2181</v>
      </c>
      <c r="AE452" s="4" t="s">
        <v>1279</v>
      </c>
      <c r="AF452" s="4" t="s">
        <v>1276</v>
      </c>
      <c r="AG452" s="4" t="s">
        <v>1280</v>
      </c>
      <c r="AH452" s="4"/>
    </row>
    <row r="453" spans="1:34" ht="33.75" x14ac:dyDescent="0.25">
      <c r="A453" s="4" t="s">
        <v>1272</v>
      </c>
      <c r="B453" s="4" t="s">
        <v>1764</v>
      </c>
      <c r="C453" s="4" t="s">
        <v>739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 t="s">
        <v>1274</v>
      </c>
      <c r="O453" s="4"/>
      <c r="P453" s="4" t="s">
        <v>1765</v>
      </c>
      <c r="Q453" s="4" t="s">
        <v>2670</v>
      </c>
      <c r="R453" s="4" t="s">
        <v>2670</v>
      </c>
      <c r="S453" s="4"/>
      <c r="T453" s="4"/>
      <c r="U453" s="4" t="s">
        <v>1276</v>
      </c>
      <c r="V453" s="4"/>
      <c r="W453" s="4" t="s">
        <v>2674</v>
      </c>
      <c r="X453" s="4"/>
      <c r="Y453" s="4"/>
      <c r="Z453" s="4"/>
      <c r="AA453" s="4"/>
      <c r="AB453" s="4" t="s">
        <v>1277</v>
      </c>
      <c r="AC453" s="4" t="s">
        <v>1276</v>
      </c>
      <c r="AD453" s="4" t="s">
        <v>1766</v>
      </c>
      <c r="AE453" s="4" t="s">
        <v>1279</v>
      </c>
      <c r="AF453" s="4" t="s">
        <v>1276</v>
      </c>
      <c r="AG453" s="4" t="s">
        <v>1280</v>
      </c>
      <c r="AH453" s="4"/>
    </row>
    <row r="454" spans="1:34" ht="22.5" x14ac:dyDescent="0.25">
      <c r="A454" s="4" t="s">
        <v>1272</v>
      </c>
      <c r="B454" s="4" t="s">
        <v>2537</v>
      </c>
      <c r="C454" s="4" t="s">
        <v>2703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 t="s">
        <v>1274</v>
      </c>
      <c r="O454" s="4"/>
      <c r="P454" s="4" t="s">
        <v>2538</v>
      </c>
      <c r="Q454" s="4" t="s">
        <v>2670</v>
      </c>
      <c r="R454" s="4" t="s">
        <v>2670</v>
      </c>
      <c r="S454" s="4"/>
      <c r="T454" s="4"/>
      <c r="U454" s="4" t="s">
        <v>1276</v>
      </c>
      <c r="V454" s="4"/>
      <c r="W454" s="4" t="s">
        <v>2673</v>
      </c>
      <c r="X454" s="4"/>
      <c r="Y454" s="4"/>
      <c r="Z454" s="4"/>
      <c r="AA454" s="4"/>
      <c r="AB454" s="4" t="s">
        <v>1277</v>
      </c>
      <c r="AC454" s="4" t="s">
        <v>1276</v>
      </c>
      <c r="AD454" s="4" t="s">
        <v>2539</v>
      </c>
      <c r="AE454" s="4" t="s">
        <v>1279</v>
      </c>
      <c r="AF454" s="4" t="s">
        <v>1276</v>
      </c>
      <c r="AG454" s="4" t="s">
        <v>1280</v>
      </c>
      <c r="AH454" s="4"/>
    </row>
    <row r="455" spans="1:34" ht="22.5" x14ac:dyDescent="0.25">
      <c r="A455" s="4" t="s">
        <v>1272</v>
      </c>
      <c r="B455" s="4" t="s">
        <v>2582</v>
      </c>
      <c r="C455" s="4" t="s">
        <v>2704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 t="s">
        <v>1274</v>
      </c>
      <c r="O455" s="4"/>
      <c r="P455" s="4" t="s">
        <v>2584</v>
      </c>
      <c r="Q455" s="4" t="s">
        <v>2670</v>
      </c>
      <c r="R455" s="4" t="s">
        <v>2670</v>
      </c>
      <c r="S455" s="4"/>
      <c r="T455" s="4"/>
      <c r="U455" s="4" t="s">
        <v>1276</v>
      </c>
      <c r="V455" s="4"/>
      <c r="W455" s="4" t="s">
        <v>2673</v>
      </c>
      <c r="X455" s="4"/>
      <c r="Y455" s="4"/>
      <c r="Z455" s="4"/>
      <c r="AA455" s="4"/>
      <c r="AB455" s="4" t="s">
        <v>1277</v>
      </c>
      <c r="AC455" s="4" t="s">
        <v>1276</v>
      </c>
      <c r="AD455" s="4" t="s">
        <v>2585</v>
      </c>
      <c r="AE455" s="4" t="s">
        <v>1279</v>
      </c>
      <c r="AF455" s="4" t="s">
        <v>1276</v>
      </c>
      <c r="AG455" s="4" t="s">
        <v>1280</v>
      </c>
      <c r="AH455" s="4"/>
    </row>
    <row r="456" spans="1:34" ht="22.5" x14ac:dyDescent="0.25">
      <c r="A456" s="4" t="s">
        <v>1272</v>
      </c>
      <c r="B456" s="4" t="s">
        <v>2388</v>
      </c>
      <c r="C456" s="4" t="s">
        <v>2705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 t="s">
        <v>1274</v>
      </c>
      <c r="O456" s="4"/>
      <c r="P456" s="4" t="s">
        <v>2390</v>
      </c>
      <c r="Q456" s="4" t="s">
        <v>2670</v>
      </c>
      <c r="R456" s="4" t="s">
        <v>2670</v>
      </c>
      <c r="S456" s="4"/>
      <c r="T456" s="4"/>
      <c r="U456" s="4" t="s">
        <v>1276</v>
      </c>
      <c r="V456" s="4"/>
      <c r="W456" s="4" t="s">
        <v>2674</v>
      </c>
      <c r="X456" s="4"/>
      <c r="Y456" s="4"/>
      <c r="Z456" s="4"/>
      <c r="AA456" s="4"/>
      <c r="AB456" s="4" t="s">
        <v>1277</v>
      </c>
      <c r="AC456" s="4" t="s">
        <v>1276</v>
      </c>
      <c r="AD456" s="4" t="s">
        <v>2391</v>
      </c>
      <c r="AE456" s="4" t="s">
        <v>1279</v>
      </c>
      <c r="AF456" s="4" t="s">
        <v>1276</v>
      </c>
      <c r="AG456" s="4" t="s">
        <v>1280</v>
      </c>
      <c r="AH456" s="4"/>
    </row>
    <row r="457" spans="1:34" ht="22.5" x14ac:dyDescent="0.25">
      <c r="A457" s="4" t="s">
        <v>1272</v>
      </c>
      <c r="B457" s="4" t="s">
        <v>1417</v>
      </c>
      <c r="C457" s="4" t="s">
        <v>2694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 t="s">
        <v>1274</v>
      </c>
      <c r="O457" s="4"/>
      <c r="P457" s="4" t="s">
        <v>1418</v>
      </c>
      <c r="Q457" s="4" t="s">
        <v>2670</v>
      </c>
      <c r="R457" s="4" t="s">
        <v>2670</v>
      </c>
      <c r="S457" s="4"/>
      <c r="T457" s="4"/>
      <c r="U457" s="4" t="s">
        <v>1276</v>
      </c>
      <c r="V457" s="4"/>
      <c r="W457" s="4" t="s">
        <v>2674</v>
      </c>
      <c r="X457" s="4"/>
      <c r="Y457" s="4"/>
      <c r="Z457" s="4"/>
      <c r="AA457" s="4"/>
      <c r="AB457" s="4" t="s">
        <v>1277</v>
      </c>
      <c r="AC457" s="4" t="s">
        <v>1276</v>
      </c>
      <c r="AD457" s="4" t="s">
        <v>1419</v>
      </c>
      <c r="AE457" s="4" t="s">
        <v>1279</v>
      </c>
      <c r="AF457" s="4" t="s">
        <v>1276</v>
      </c>
      <c r="AG457" s="4" t="s">
        <v>1280</v>
      </c>
      <c r="AH457" s="4"/>
    </row>
    <row r="458" spans="1:34" ht="22.5" x14ac:dyDescent="0.25">
      <c r="A458" s="4" t="s">
        <v>1272</v>
      </c>
      <c r="B458" s="4" t="s">
        <v>1887</v>
      </c>
      <c r="C458" s="4" t="s">
        <v>2706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 t="s">
        <v>1274</v>
      </c>
      <c r="O458" s="4"/>
      <c r="P458" s="4" t="s">
        <v>1889</v>
      </c>
      <c r="Q458" s="4" t="s">
        <v>2670</v>
      </c>
      <c r="R458" s="4" t="s">
        <v>2670</v>
      </c>
      <c r="S458" s="4"/>
      <c r="T458" s="4"/>
      <c r="U458" s="4" t="s">
        <v>1276</v>
      </c>
      <c r="V458" s="4"/>
      <c r="W458" s="4" t="s">
        <v>2671</v>
      </c>
      <c r="X458" s="4"/>
      <c r="Y458" s="4"/>
      <c r="Z458" s="4"/>
      <c r="AA458" s="4"/>
      <c r="AB458" s="4" t="s">
        <v>1277</v>
      </c>
      <c r="AC458" s="4" t="s">
        <v>1276</v>
      </c>
      <c r="AD458" s="4" t="s">
        <v>1890</v>
      </c>
      <c r="AE458" s="4" t="s">
        <v>1279</v>
      </c>
      <c r="AF458" s="4" t="s">
        <v>1276</v>
      </c>
      <c r="AG458" s="4" t="s">
        <v>1280</v>
      </c>
      <c r="AH458" s="4"/>
    </row>
    <row r="459" spans="1:34" ht="22.5" x14ac:dyDescent="0.25">
      <c r="A459" s="4" t="s">
        <v>1272</v>
      </c>
      <c r="B459" s="4" t="s">
        <v>2541</v>
      </c>
      <c r="C459" s="4" t="s">
        <v>2707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 t="s">
        <v>1274</v>
      </c>
      <c r="O459" s="4"/>
      <c r="P459" s="4" t="s">
        <v>2543</v>
      </c>
      <c r="Q459" s="4" t="s">
        <v>2670</v>
      </c>
      <c r="R459" s="4" t="s">
        <v>2670</v>
      </c>
      <c r="S459" s="4"/>
      <c r="T459" s="4"/>
      <c r="U459" s="4" t="s">
        <v>1276</v>
      </c>
      <c r="V459" s="4"/>
      <c r="W459" s="4" t="s">
        <v>2674</v>
      </c>
      <c r="X459" s="4"/>
      <c r="Y459" s="4"/>
      <c r="Z459" s="4"/>
      <c r="AA459" s="4"/>
      <c r="AB459" s="4" t="s">
        <v>1277</v>
      </c>
      <c r="AC459" s="4" t="s">
        <v>1276</v>
      </c>
      <c r="AD459" s="4" t="s">
        <v>2544</v>
      </c>
      <c r="AE459" s="4" t="s">
        <v>1279</v>
      </c>
      <c r="AF459" s="4" t="s">
        <v>1276</v>
      </c>
      <c r="AG459" s="4" t="s">
        <v>1280</v>
      </c>
      <c r="AH459" s="4"/>
    </row>
    <row r="460" spans="1:34" ht="33.75" x14ac:dyDescent="0.25">
      <c r="A460" s="4" t="s">
        <v>1272</v>
      </c>
      <c r="B460" s="4" t="s">
        <v>1816</v>
      </c>
      <c r="C460" s="4" t="s">
        <v>2708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 t="s">
        <v>1274</v>
      </c>
      <c r="O460" s="4"/>
      <c r="P460" s="4" t="s">
        <v>1817</v>
      </c>
      <c r="Q460" s="4" t="s">
        <v>2670</v>
      </c>
      <c r="R460" s="4" t="s">
        <v>2670</v>
      </c>
      <c r="S460" s="4"/>
      <c r="T460" s="4"/>
      <c r="U460" s="4" t="s">
        <v>1276</v>
      </c>
      <c r="V460" s="4"/>
      <c r="W460" s="4" t="s">
        <v>2671</v>
      </c>
      <c r="X460" s="4"/>
      <c r="Y460" s="4"/>
      <c r="Z460" s="4"/>
      <c r="AA460" s="4"/>
      <c r="AB460" s="4" t="s">
        <v>1277</v>
      </c>
      <c r="AC460" s="4" t="s">
        <v>1276</v>
      </c>
      <c r="AD460" s="4" t="s">
        <v>1818</v>
      </c>
      <c r="AE460" s="4" t="s">
        <v>1279</v>
      </c>
      <c r="AF460" s="4" t="s">
        <v>1276</v>
      </c>
      <c r="AG460" s="4" t="s">
        <v>1280</v>
      </c>
      <c r="AH460" s="4"/>
    </row>
    <row r="461" spans="1:34" ht="33.75" x14ac:dyDescent="0.25">
      <c r="A461" s="4" t="s">
        <v>1272</v>
      </c>
      <c r="B461" s="4" t="s">
        <v>1897</v>
      </c>
      <c r="C461" s="4" t="s">
        <v>2709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 t="s">
        <v>1274</v>
      </c>
      <c r="O461" s="4"/>
      <c r="P461" s="4" t="s">
        <v>1899</v>
      </c>
      <c r="Q461" s="4" t="s">
        <v>2670</v>
      </c>
      <c r="R461" s="4" t="s">
        <v>2670</v>
      </c>
      <c r="S461" s="4"/>
      <c r="T461" s="4"/>
      <c r="U461" s="4" t="s">
        <v>1276</v>
      </c>
      <c r="V461" s="4"/>
      <c r="W461" s="4" t="s">
        <v>2674</v>
      </c>
      <c r="X461" s="4"/>
      <c r="Y461" s="4"/>
      <c r="Z461" s="4"/>
      <c r="AA461" s="4"/>
      <c r="AB461" s="4" t="s">
        <v>1277</v>
      </c>
      <c r="AC461" s="4" t="s">
        <v>1276</v>
      </c>
      <c r="AD461" s="4" t="s">
        <v>1900</v>
      </c>
      <c r="AE461" s="4" t="s">
        <v>1279</v>
      </c>
      <c r="AF461" s="4" t="s">
        <v>1276</v>
      </c>
      <c r="AG461" s="4" t="s">
        <v>1280</v>
      </c>
      <c r="AH461" s="4"/>
    </row>
    <row r="462" spans="1:34" ht="33.75" x14ac:dyDescent="0.25">
      <c r="A462" s="4" t="s">
        <v>1272</v>
      </c>
      <c r="B462" s="4" t="s">
        <v>1576</v>
      </c>
      <c r="C462" s="4" t="s">
        <v>548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 t="s">
        <v>1274</v>
      </c>
      <c r="O462" s="4"/>
      <c r="P462" s="4" t="s">
        <v>1577</v>
      </c>
      <c r="Q462" s="4" t="s">
        <v>2670</v>
      </c>
      <c r="R462" s="4" t="s">
        <v>2670</v>
      </c>
      <c r="S462" s="4"/>
      <c r="T462" s="4"/>
      <c r="U462" s="4" t="s">
        <v>1276</v>
      </c>
      <c r="V462" s="4"/>
      <c r="W462" s="4" t="s">
        <v>2674</v>
      </c>
      <c r="X462" s="4"/>
      <c r="Y462" s="4"/>
      <c r="Z462" s="4"/>
      <c r="AA462" s="4"/>
      <c r="AB462" s="4" t="s">
        <v>1277</v>
      </c>
      <c r="AC462" s="4" t="s">
        <v>1276</v>
      </c>
      <c r="AD462" s="4" t="s">
        <v>1578</v>
      </c>
      <c r="AE462" s="4" t="s">
        <v>1279</v>
      </c>
      <c r="AF462" s="4" t="s">
        <v>1276</v>
      </c>
      <c r="AG462" s="4" t="s">
        <v>1280</v>
      </c>
      <c r="AH462" s="4"/>
    </row>
    <row r="463" spans="1:34" ht="22.5" x14ac:dyDescent="0.25">
      <c r="A463" s="4" t="s">
        <v>1272</v>
      </c>
      <c r="B463" s="4" t="s">
        <v>2587</v>
      </c>
      <c r="C463" s="4" t="s">
        <v>2710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 t="s">
        <v>1274</v>
      </c>
      <c r="O463" s="4"/>
      <c r="P463" s="4" t="s">
        <v>2588</v>
      </c>
      <c r="Q463" s="4" t="s">
        <v>2670</v>
      </c>
      <c r="R463" s="4" t="s">
        <v>2670</v>
      </c>
      <c r="S463" s="4"/>
      <c r="T463" s="4"/>
      <c r="U463" s="4" t="s">
        <v>1276</v>
      </c>
      <c r="V463" s="4"/>
      <c r="W463" s="4" t="s">
        <v>2674</v>
      </c>
      <c r="X463" s="4"/>
      <c r="Y463" s="4"/>
      <c r="Z463" s="4"/>
      <c r="AA463" s="4"/>
      <c r="AB463" s="4" t="s">
        <v>1277</v>
      </c>
      <c r="AC463" s="4" t="s">
        <v>1276</v>
      </c>
      <c r="AD463" s="4" t="s">
        <v>2589</v>
      </c>
      <c r="AE463" s="4" t="s">
        <v>1279</v>
      </c>
      <c r="AF463" s="4" t="s">
        <v>1276</v>
      </c>
      <c r="AG463" s="4" t="s">
        <v>1280</v>
      </c>
      <c r="AH463" s="4"/>
    </row>
    <row r="464" spans="1:34" ht="22.5" x14ac:dyDescent="0.25">
      <c r="A464" s="4" t="s">
        <v>1272</v>
      </c>
      <c r="B464" s="4" t="s">
        <v>2359</v>
      </c>
      <c r="C464" s="4" t="s">
        <v>2711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 t="s">
        <v>1274</v>
      </c>
      <c r="O464" s="4"/>
      <c r="P464" s="4" t="s">
        <v>2361</v>
      </c>
      <c r="Q464" s="4" t="s">
        <v>2670</v>
      </c>
      <c r="R464" s="4" t="s">
        <v>2670</v>
      </c>
      <c r="S464" s="4"/>
      <c r="T464" s="4"/>
      <c r="U464" s="4" t="s">
        <v>1276</v>
      </c>
      <c r="V464" s="4"/>
      <c r="W464" s="4" t="s">
        <v>2673</v>
      </c>
      <c r="X464" s="4"/>
      <c r="Y464" s="4"/>
      <c r="Z464" s="4"/>
      <c r="AA464" s="4"/>
      <c r="AB464" s="4" t="s">
        <v>1277</v>
      </c>
      <c r="AC464" s="4" t="s">
        <v>1276</v>
      </c>
      <c r="AD464" s="4" t="s">
        <v>2362</v>
      </c>
      <c r="AE464" s="4" t="s">
        <v>1279</v>
      </c>
      <c r="AF464" s="4" t="s">
        <v>1276</v>
      </c>
      <c r="AG464" s="4" t="s">
        <v>1280</v>
      </c>
      <c r="AH464" s="4"/>
    </row>
    <row r="465" spans="1:34" ht="22.5" x14ac:dyDescent="0.25">
      <c r="A465" s="4" t="s">
        <v>1272</v>
      </c>
      <c r="B465" s="4" t="s">
        <v>1426</v>
      </c>
      <c r="C465" s="4" t="s">
        <v>2712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 t="s">
        <v>1274</v>
      </c>
      <c r="O465" s="4"/>
      <c r="P465" s="4" t="s">
        <v>1427</v>
      </c>
      <c r="Q465" s="4" t="s">
        <v>2670</v>
      </c>
      <c r="R465" s="4" t="s">
        <v>2670</v>
      </c>
      <c r="S465" s="4"/>
      <c r="T465" s="4"/>
      <c r="U465" s="4" t="s">
        <v>1276</v>
      </c>
      <c r="V465" s="4"/>
      <c r="W465" s="4" t="s">
        <v>2671</v>
      </c>
      <c r="X465" s="4"/>
      <c r="Y465" s="4"/>
      <c r="Z465" s="4"/>
      <c r="AA465" s="4"/>
      <c r="AB465" s="4" t="s">
        <v>1277</v>
      </c>
      <c r="AC465" s="4" t="s">
        <v>1276</v>
      </c>
      <c r="AD465" s="4" t="s">
        <v>1428</v>
      </c>
      <c r="AE465" s="4" t="s">
        <v>1279</v>
      </c>
      <c r="AF465" s="4" t="s">
        <v>1276</v>
      </c>
      <c r="AG465" s="4" t="s">
        <v>1280</v>
      </c>
      <c r="AH465" s="4"/>
    </row>
    <row r="466" spans="1:34" ht="22.5" x14ac:dyDescent="0.25">
      <c r="A466" s="4" t="s">
        <v>1272</v>
      </c>
      <c r="B466" s="4" t="s">
        <v>2393</v>
      </c>
      <c r="C466" s="4" t="s">
        <v>2713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 t="s">
        <v>1274</v>
      </c>
      <c r="O466" s="4"/>
      <c r="P466" s="4" t="s">
        <v>2395</v>
      </c>
      <c r="Q466" s="4" t="s">
        <v>2670</v>
      </c>
      <c r="R466" s="4" t="s">
        <v>2670</v>
      </c>
      <c r="S466" s="4"/>
      <c r="T466" s="4"/>
      <c r="U466" s="4" t="s">
        <v>1276</v>
      </c>
      <c r="V466" s="4"/>
      <c r="W466" s="4" t="s">
        <v>2674</v>
      </c>
      <c r="X466" s="4"/>
      <c r="Y466" s="4"/>
      <c r="Z466" s="4"/>
      <c r="AA466" s="4"/>
      <c r="AB466" s="4" t="s">
        <v>1277</v>
      </c>
      <c r="AC466" s="4" t="s">
        <v>1276</v>
      </c>
      <c r="AD466" s="4" t="s">
        <v>2396</v>
      </c>
      <c r="AE466" s="4" t="s">
        <v>1279</v>
      </c>
      <c r="AF466" s="4" t="s">
        <v>1276</v>
      </c>
      <c r="AG466" s="4" t="s">
        <v>1280</v>
      </c>
      <c r="AH466" s="4"/>
    </row>
    <row r="467" spans="1:34" ht="22.5" x14ac:dyDescent="0.25">
      <c r="A467" s="4" t="s">
        <v>1272</v>
      </c>
      <c r="B467" s="4" t="s">
        <v>2559</v>
      </c>
      <c r="C467" s="4" t="s">
        <v>2714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 t="s">
        <v>1274</v>
      </c>
      <c r="O467" s="4"/>
      <c r="P467" s="4" t="s">
        <v>2561</v>
      </c>
      <c r="Q467" s="4" t="s">
        <v>2670</v>
      </c>
      <c r="R467" s="4" t="s">
        <v>2670</v>
      </c>
      <c r="S467" s="4"/>
      <c r="T467" s="4"/>
      <c r="U467" s="4" t="s">
        <v>1276</v>
      </c>
      <c r="V467" s="4"/>
      <c r="W467" s="4" t="s">
        <v>2674</v>
      </c>
      <c r="X467" s="4"/>
      <c r="Y467" s="4"/>
      <c r="Z467" s="4"/>
      <c r="AA467" s="4"/>
      <c r="AB467" s="4" t="s">
        <v>1277</v>
      </c>
      <c r="AC467" s="4" t="s">
        <v>1276</v>
      </c>
      <c r="AD467" s="4" t="s">
        <v>2562</v>
      </c>
      <c r="AE467" s="4" t="s">
        <v>1279</v>
      </c>
      <c r="AF467" s="4" t="s">
        <v>1276</v>
      </c>
      <c r="AG467" s="4" t="s">
        <v>1280</v>
      </c>
      <c r="AH467" s="4"/>
    </row>
    <row r="468" spans="1:34" ht="22.5" x14ac:dyDescent="0.25">
      <c r="A468" s="4" t="s">
        <v>1272</v>
      </c>
      <c r="B468" s="4" t="s">
        <v>1582</v>
      </c>
      <c r="C468" s="4" t="s">
        <v>456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 t="s">
        <v>1274</v>
      </c>
      <c r="O468" s="4"/>
      <c r="P468" s="4" t="s">
        <v>1583</v>
      </c>
      <c r="Q468" s="4" t="s">
        <v>2670</v>
      </c>
      <c r="R468" s="4" t="s">
        <v>2670</v>
      </c>
      <c r="S468" s="4"/>
      <c r="T468" s="4"/>
      <c r="U468" s="4" t="s">
        <v>1276</v>
      </c>
      <c r="V468" s="4"/>
      <c r="W468" s="4" t="s">
        <v>2684</v>
      </c>
      <c r="X468" s="4"/>
      <c r="Y468" s="4"/>
      <c r="Z468" s="4"/>
      <c r="AA468" s="4"/>
      <c r="AB468" s="4" t="s">
        <v>1277</v>
      </c>
      <c r="AC468" s="4" t="s">
        <v>1276</v>
      </c>
      <c r="AD468" s="4" t="s">
        <v>1584</v>
      </c>
      <c r="AE468" s="4" t="s">
        <v>1279</v>
      </c>
      <c r="AF468" s="4" t="s">
        <v>1276</v>
      </c>
      <c r="AG468" s="4" t="s">
        <v>1280</v>
      </c>
      <c r="AH468" s="4"/>
    </row>
    <row r="469" spans="1:34" ht="22.5" x14ac:dyDescent="0.25">
      <c r="A469" s="4" t="s">
        <v>1272</v>
      </c>
      <c r="B469" s="4" t="s">
        <v>2502</v>
      </c>
      <c r="C469" s="4" t="s">
        <v>2715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 t="s">
        <v>1274</v>
      </c>
      <c r="O469" s="4"/>
      <c r="P469" s="4" t="s">
        <v>2504</v>
      </c>
      <c r="Q469" s="4" t="s">
        <v>2670</v>
      </c>
      <c r="R469" s="4" t="s">
        <v>2670</v>
      </c>
      <c r="S469" s="4"/>
      <c r="T469" s="4"/>
      <c r="U469" s="4" t="s">
        <v>1276</v>
      </c>
      <c r="V469" s="4"/>
      <c r="W469" s="4" t="s">
        <v>2674</v>
      </c>
      <c r="X469" s="4"/>
      <c r="Y469" s="4"/>
      <c r="Z469" s="4"/>
      <c r="AA469" s="4"/>
      <c r="AB469" s="4" t="s">
        <v>1277</v>
      </c>
      <c r="AC469" s="4" t="s">
        <v>1276</v>
      </c>
      <c r="AD469" s="4" t="s">
        <v>2505</v>
      </c>
      <c r="AE469" s="4" t="s">
        <v>1279</v>
      </c>
      <c r="AF469" s="4" t="s">
        <v>1276</v>
      </c>
      <c r="AG469" s="4" t="s">
        <v>1280</v>
      </c>
      <c r="AH469" s="4"/>
    </row>
    <row r="470" spans="1:34" ht="22.5" x14ac:dyDescent="0.25">
      <c r="A470" s="4" t="s">
        <v>1272</v>
      </c>
      <c r="B470" s="4" t="s">
        <v>1985</v>
      </c>
      <c r="C470" s="4" t="s">
        <v>2716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 t="s">
        <v>1274</v>
      </c>
      <c r="O470" s="4"/>
      <c r="P470" s="4" t="s">
        <v>1987</v>
      </c>
      <c r="Q470" s="4" t="s">
        <v>2670</v>
      </c>
      <c r="R470" s="4" t="s">
        <v>2670</v>
      </c>
      <c r="S470" s="4"/>
      <c r="T470" s="4"/>
      <c r="U470" s="4" t="s">
        <v>1276</v>
      </c>
      <c r="V470" s="4"/>
      <c r="W470" s="4" t="s">
        <v>2684</v>
      </c>
      <c r="X470" s="4"/>
      <c r="Y470" s="4"/>
      <c r="Z470" s="4"/>
      <c r="AA470" s="4"/>
      <c r="AB470" s="4" t="s">
        <v>1277</v>
      </c>
      <c r="AC470" s="4" t="s">
        <v>1276</v>
      </c>
      <c r="AD470" s="4" t="s">
        <v>1988</v>
      </c>
      <c r="AE470" s="4" t="s">
        <v>1279</v>
      </c>
      <c r="AF470" s="4" t="s">
        <v>1276</v>
      </c>
      <c r="AG470" s="4" t="s">
        <v>1280</v>
      </c>
      <c r="AH470" s="4"/>
    </row>
    <row r="471" spans="1:34" ht="22.5" x14ac:dyDescent="0.25">
      <c r="A471" s="4" t="s">
        <v>1272</v>
      </c>
      <c r="B471" s="4" t="s">
        <v>2484</v>
      </c>
      <c r="C471" s="4" t="s">
        <v>2717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 t="s">
        <v>1274</v>
      </c>
      <c r="O471" s="4"/>
      <c r="P471" s="4" t="s">
        <v>2486</v>
      </c>
      <c r="Q471" s="4" t="s">
        <v>2670</v>
      </c>
      <c r="R471" s="4" t="s">
        <v>2670</v>
      </c>
      <c r="S471" s="4"/>
      <c r="T471" s="4"/>
      <c r="U471" s="4" t="s">
        <v>1276</v>
      </c>
      <c r="V471" s="4"/>
      <c r="W471" s="4" t="s">
        <v>2671</v>
      </c>
      <c r="X471" s="4"/>
      <c r="Y471" s="4"/>
      <c r="Z471" s="4"/>
      <c r="AA471" s="4"/>
      <c r="AB471" s="4" t="s">
        <v>1277</v>
      </c>
      <c r="AC471" s="4" t="s">
        <v>1276</v>
      </c>
      <c r="AD471" s="4" t="s">
        <v>2487</v>
      </c>
      <c r="AE471" s="4" t="s">
        <v>1279</v>
      </c>
      <c r="AF471" s="4" t="s">
        <v>1276</v>
      </c>
      <c r="AG471" s="4" t="s">
        <v>1280</v>
      </c>
      <c r="AH471" s="4"/>
    </row>
    <row r="472" spans="1:34" ht="22.5" x14ac:dyDescent="0.25">
      <c r="A472" s="4" t="s">
        <v>1272</v>
      </c>
      <c r="B472" s="4" t="s">
        <v>2364</v>
      </c>
      <c r="C472" s="4" t="s">
        <v>2718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 t="s">
        <v>1274</v>
      </c>
      <c r="O472" s="4"/>
      <c r="P472" s="4" t="s">
        <v>2366</v>
      </c>
      <c r="Q472" s="4" t="s">
        <v>2670</v>
      </c>
      <c r="R472" s="4" t="s">
        <v>2670</v>
      </c>
      <c r="S472" s="4"/>
      <c r="T472" s="4"/>
      <c r="U472" s="4" t="s">
        <v>1276</v>
      </c>
      <c r="V472" s="4"/>
      <c r="W472" s="4" t="s">
        <v>2671</v>
      </c>
      <c r="X472" s="4"/>
      <c r="Y472" s="4"/>
      <c r="Z472" s="4"/>
      <c r="AA472" s="4"/>
      <c r="AB472" s="4" t="s">
        <v>1277</v>
      </c>
      <c r="AC472" s="4" t="s">
        <v>1276</v>
      </c>
      <c r="AD472" s="4" t="s">
        <v>2367</v>
      </c>
      <c r="AE472" s="4" t="s">
        <v>1279</v>
      </c>
      <c r="AF472" s="4" t="s">
        <v>1276</v>
      </c>
      <c r="AG472" s="4" t="s">
        <v>1280</v>
      </c>
      <c r="AH472" s="4"/>
    </row>
    <row r="473" spans="1:34" ht="22.5" x14ac:dyDescent="0.25">
      <c r="A473" s="4" t="s">
        <v>1272</v>
      </c>
      <c r="B473" s="4" t="s">
        <v>2278</v>
      </c>
      <c r="C473" s="4" t="s">
        <v>2719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 t="s">
        <v>1274</v>
      </c>
      <c r="O473" s="4"/>
      <c r="P473" s="4" t="s">
        <v>2280</v>
      </c>
      <c r="Q473" s="4" t="s">
        <v>2670</v>
      </c>
      <c r="R473" s="4" t="s">
        <v>2670</v>
      </c>
      <c r="S473" s="4"/>
      <c r="T473" s="4"/>
      <c r="U473" s="4" t="s">
        <v>1276</v>
      </c>
      <c r="V473" s="4"/>
      <c r="W473" s="4" t="s">
        <v>2671</v>
      </c>
      <c r="X473" s="4"/>
      <c r="Y473" s="4"/>
      <c r="Z473" s="4"/>
      <c r="AA473" s="4"/>
      <c r="AB473" s="4" t="s">
        <v>1277</v>
      </c>
      <c r="AC473" s="4" t="s">
        <v>1276</v>
      </c>
      <c r="AD473" s="4" t="s">
        <v>2281</v>
      </c>
      <c r="AE473" s="4" t="s">
        <v>1279</v>
      </c>
      <c r="AF473" s="4" t="s">
        <v>1276</v>
      </c>
      <c r="AG473" s="4" t="s">
        <v>1280</v>
      </c>
      <c r="AH473" s="4"/>
    </row>
    <row r="474" spans="1:34" ht="22.5" x14ac:dyDescent="0.25">
      <c r="A474" s="4" t="s">
        <v>1272</v>
      </c>
      <c r="B474" s="4" t="s">
        <v>2198</v>
      </c>
      <c r="C474" s="4" t="s">
        <v>2720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 t="s">
        <v>1274</v>
      </c>
      <c r="O474" s="4"/>
      <c r="P474" s="4" t="s">
        <v>2200</v>
      </c>
      <c r="Q474" s="4" t="s">
        <v>2670</v>
      </c>
      <c r="R474" s="4" t="s">
        <v>2670</v>
      </c>
      <c r="S474" s="4"/>
      <c r="T474" s="4"/>
      <c r="U474" s="4" t="s">
        <v>1276</v>
      </c>
      <c r="V474" s="4"/>
      <c r="W474" s="4" t="s">
        <v>2673</v>
      </c>
      <c r="X474" s="4"/>
      <c r="Y474" s="4"/>
      <c r="Z474" s="4"/>
      <c r="AA474" s="4"/>
      <c r="AB474" s="4" t="s">
        <v>1277</v>
      </c>
      <c r="AC474" s="4" t="s">
        <v>1276</v>
      </c>
      <c r="AD474" s="4" t="s">
        <v>2201</v>
      </c>
      <c r="AE474" s="4" t="s">
        <v>1279</v>
      </c>
      <c r="AF474" s="4" t="s">
        <v>1276</v>
      </c>
      <c r="AG474" s="4" t="s">
        <v>1280</v>
      </c>
      <c r="AH474" s="4"/>
    </row>
    <row r="475" spans="1:34" ht="22.5" x14ac:dyDescent="0.25">
      <c r="A475" s="4" t="s">
        <v>1272</v>
      </c>
      <c r="B475" s="4" t="s">
        <v>2283</v>
      </c>
      <c r="C475" s="4" t="s">
        <v>2702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 t="s">
        <v>1274</v>
      </c>
      <c r="O475" s="4"/>
      <c r="P475" s="4" t="s">
        <v>2284</v>
      </c>
      <c r="Q475" s="4" t="s">
        <v>2670</v>
      </c>
      <c r="R475" s="4" t="s">
        <v>2670</v>
      </c>
      <c r="S475" s="4"/>
      <c r="T475" s="4"/>
      <c r="U475" s="4" t="s">
        <v>1276</v>
      </c>
      <c r="V475" s="4"/>
      <c r="W475" s="4" t="s">
        <v>2674</v>
      </c>
      <c r="X475" s="4"/>
      <c r="Y475" s="4"/>
      <c r="Z475" s="4"/>
      <c r="AA475" s="4"/>
      <c r="AB475" s="4" t="s">
        <v>1277</v>
      </c>
      <c r="AC475" s="4" t="s">
        <v>1276</v>
      </c>
      <c r="AD475" s="4" t="s">
        <v>2285</v>
      </c>
      <c r="AE475" s="4" t="s">
        <v>1279</v>
      </c>
      <c r="AF475" s="4" t="s">
        <v>1276</v>
      </c>
      <c r="AG475" s="4" t="s">
        <v>1280</v>
      </c>
      <c r="AH475" s="4"/>
    </row>
    <row r="476" spans="1:34" ht="22.5" x14ac:dyDescent="0.25">
      <c r="A476" s="4" t="s">
        <v>1272</v>
      </c>
      <c r="B476" s="4" t="s">
        <v>2203</v>
      </c>
      <c r="C476" s="4" t="s">
        <v>2721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 t="s">
        <v>1274</v>
      </c>
      <c r="O476" s="4"/>
      <c r="P476" s="4" t="s">
        <v>2205</v>
      </c>
      <c r="Q476" s="4" t="s">
        <v>2670</v>
      </c>
      <c r="R476" s="4" t="s">
        <v>2670</v>
      </c>
      <c r="S476" s="4"/>
      <c r="T476" s="4"/>
      <c r="U476" s="4" t="s">
        <v>1276</v>
      </c>
      <c r="V476" s="4"/>
      <c r="W476" s="4" t="s">
        <v>2674</v>
      </c>
      <c r="X476" s="4"/>
      <c r="Y476" s="4"/>
      <c r="Z476" s="4"/>
      <c r="AA476" s="4"/>
      <c r="AB476" s="4" t="s">
        <v>1277</v>
      </c>
      <c r="AC476" s="4" t="s">
        <v>1276</v>
      </c>
      <c r="AD476" s="4" t="s">
        <v>2206</v>
      </c>
      <c r="AE476" s="4" t="s">
        <v>1279</v>
      </c>
      <c r="AF476" s="4" t="s">
        <v>1276</v>
      </c>
      <c r="AG476" s="4" t="s">
        <v>1280</v>
      </c>
      <c r="AH476" s="4"/>
    </row>
    <row r="477" spans="1:34" ht="22.5" x14ac:dyDescent="0.25">
      <c r="A477" s="4" t="s">
        <v>1272</v>
      </c>
      <c r="B477" s="4" t="s">
        <v>1825</v>
      </c>
      <c r="C477" s="4" t="s">
        <v>2697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 t="s">
        <v>1274</v>
      </c>
      <c r="O477" s="4"/>
      <c r="P477" s="4" t="s">
        <v>1826</v>
      </c>
      <c r="Q477" s="4" t="s">
        <v>2670</v>
      </c>
      <c r="R477" s="4" t="s">
        <v>2670</v>
      </c>
      <c r="S477" s="4"/>
      <c r="T477" s="4"/>
      <c r="U477" s="4" t="s">
        <v>1276</v>
      </c>
      <c r="V477" s="4"/>
      <c r="W477" s="4" t="s">
        <v>2671</v>
      </c>
      <c r="X477" s="4"/>
      <c r="Y477" s="4"/>
      <c r="Z477" s="4"/>
      <c r="AA477" s="4"/>
      <c r="AB477" s="4" t="s">
        <v>1277</v>
      </c>
      <c r="AC477" s="4" t="s">
        <v>1276</v>
      </c>
      <c r="AD477" s="4" t="s">
        <v>1827</v>
      </c>
      <c r="AE477" s="4" t="s">
        <v>1279</v>
      </c>
      <c r="AF477" s="4" t="s">
        <v>1276</v>
      </c>
      <c r="AG477" s="4" t="s">
        <v>1280</v>
      </c>
      <c r="AH477" s="4"/>
    </row>
    <row r="478" spans="1:34" ht="22.5" x14ac:dyDescent="0.25">
      <c r="A478" s="4" t="s">
        <v>1272</v>
      </c>
      <c r="B478" s="4" t="s">
        <v>2398</v>
      </c>
      <c r="C478" s="4" t="s">
        <v>2701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 t="s">
        <v>1274</v>
      </c>
      <c r="O478" s="4"/>
      <c r="P478" s="4" t="s">
        <v>2399</v>
      </c>
      <c r="Q478" s="4" t="s">
        <v>2670</v>
      </c>
      <c r="R478" s="4" t="s">
        <v>2670</v>
      </c>
      <c r="S478" s="4"/>
      <c r="T478" s="4"/>
      <c r="U478" s="4" t="s">
        <v>1276</v>
      </c>
      <c r="V478" s="4"/>
      <c r="W478" s="4" t="s">
        <v>2673</v>
      </c>
      <c r="X478" s="4"/>
      <c r="Y478" s="4"/>
      <c r="Z478" s="4"/>
      <c r="AA478" s="4"/>
      <c r="AB478" s="4" t="s">
        <v>1277</v>
      </c>
      <c r="AC478" s="4" t="s">
        <v>1276</v>
      </c>
      <c r="AD478" s="4" t="s">
        <v>2400</v>
      </c>
      <c r="AE478" s="4" t="s">
        <v>1279</v>
      </c>
      <c r="AF478" s="4" t="s">
        <v>1276</v>
      </c>
      <c r="AG478" s="4" t="s">
        <v>1280</v>
      </c>
      <c r="AH478" s="4"/>
    </row>
    <row r="479" spans="1:34" ht="22.5" x14ac:dyDescent="0.25">
      <c r="A479" s="4" t="s">
        <v>1272</v>
      </c>
      <c r="B479" s="4" t="s">
        <v>1767</v>
      </c>
      <c r="C479" s="4" t="s">
        <v>2722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 t="s">
        <v>1274</v>
      </c>
      <c r="O479" s="4"/>
      <c r="P479" s="4" t="s">
        <v>1768</v>
      </c>
      <c r="Q479" s="4" t="s">
        <v>2670</v>
      </c>
      <c r="R479" s="4" t="s">
        <v>2670</v>
      </c>
      <c r="S479" s="4"/>
      <c r="T479" s="4"/>
      <c r="U479" s="4" t="s">
        <v>1276</v>
      </c>
      <c r="V479" s="4"/>
      <c r="W479" s="4" t="s">
        <v>2684</v>
      </c>
      <c r="X479" s="4"/>
      <c r="Y479" s="4"/>
      <c r="Z479" s="4"/>
      <c r="AA479" s="4"/>
      <c r="AB479" s="4" t="s">
        <v>1277</v>
      </c>
      <c r="AC479" s="4" t="s">
        <v>1276</v>
      </c>
      <c r="AD479" s="4" t="s">
        <v>1769</v>
      </c>
      <c r="AE479" s="4" t="s">
        <v>1279</v>
      </c>
      <c r="AF479" s="4" t="s">
        <v>1276</v>
      </c>
      <c r="AG479" s="4" t="s">
        <v>1280</v>
      </c>
      <c r="AH479" s="4"/>
    </row>
    <row r="480" spans="1:34" ht="22.5" x14ac:dyDescent="0.25">
      <c r="A480" s="4" t="s">
        <v>1272</v>
      </c>
      <c r="B480" s="4" t="s">
        <v>1770</v>
      </c>
      <c r="C480" s="4" t="s">
        <v>735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 t="s">
        <v>1274</v>
      </c>
      <c r="O480" s="4"/>
      <c r="P480" s="4" t="s">
        <v>1771</v>
      </c>
      <c r="Q480" s="4" t="s">
        <v>2670</v>
      </c>
      <c r="R480" s="4" t="s">
        <v>2670</v>
      </c>
      <c r="S480" s="4"/>
      <c r="T480" s="4"/>
      <c r="U480" s="4" t="s">
        <v>1276</v>
      </c>
      <c r="V480" s="4"/>
      <c r="W480" s="4" t="s">
        <v>2671</v>
      </c>
      <c r="X480" s="4"/>
      <c r="Y480" s="4"/>
      <c r="Z480" s="4"/>
      <c r="AA480" s="4"/>
      <c r="AB480" s="4" t="s">
        <v>1277</v>
      </c>
      <c r="AC480" s="4" t="s">
        <v>1276</v>
      </c>
      <c r="AD480" s="4" t="s">
        <v>1772</v>
      </c>
      <c r="AE480" s="4" t="s">
        <v>1279</v>
      </c>
      <c r="AF480" s="4" t="s">
        <v>1276</v>
      </c>
      <c r="AG480" s="4" t="s">
        <v>1280</v>
      </c>
      <c r="AH480" s="4"/>
    </row>
    <row r="481" spans="1:34" ht="22.5" x14ac:dyDescent="0.25">
      <c r="A481" s="4" t="s">
        <v>1272</v>
      </c>
      <c r="B481" s="4" t="s">
        <v>2641</v>
      </c>
      <c r="C481" s="4" t="s">
        <v>2723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 t="s">
        <v>1274</v>
      </c>
      <c r="O481" s="4"/>
      <c r="P481" s="4" t="s">
        <v>2724</v>
      </c>
      <c r="Q481" s="4" t="s">
        <v>2670</v>
      </c>
      <c r="R481" s="4" t="s">
        <v>2670</v>
      </c>
      <c r="S481" s="4"/>
      <c r="T481" s="4"/>
      <c r="U481" s="4" t="s">
        <v>1276</v>
      </c>
      <c r="V481" s="4"/>
      <c r="W481" s="4" t="s">
        <v>2674</v>
      </c>
      <c r="X481" s="4"/>
      <c r="Y481" s="4"/>
      <c r="Z481" s="4"/>
      <c r="AA481" s="4"/>
      <c r="AB481" s="4" t="s">
        <v>1277</v>
      </c>
      <c r="AC481" s="4" t="s">
        <v>1276</v>
      </c>
      <c r="AD481" s="4" t="s">
        <v>2725</v>
      </c>
      <c r="AE481" s="4" t="s">
        <v>1279</v>
      </c>
      <c r="AF481" s="4" t="s">
        <v>1276</v>
      </c>
      <c r="AG481" s="4" t="s">
        <v>1280</v>
      </c>
      <c r="AH481" s="4"/>
    </row>
    <row r="482" spans="1:34" ht="22.5" x14ac:dyDescent="0.25">
      <c r="A482" s="4" t="s">
        <v>1272</v>
      </c>
      <c r="B482" s="4" t="s">
        <v>2596</v>
      </c>
      <c r="C482" s="4" t="s">
        <v>2710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 t="s">
        <v>1274</v>
      </c>
      <c r="O482" s="4"/>
      <c r="P482" s="4" t="s">
        <v>2597</v>
      </c>
      <c r="Q482" s="4" t="s">
        <v>2670</v>
      </c>
      <c r="R482" s="4" t="s">
        <v>2670</v>
      </c>
      <c r="S482" s="4"/>
      <c r="T482" s="4"/>
      <c r="U482" s="4" t="s">
        <v>1276</v>
      </c>
      <c r="V482" s="4"/>
      <c r="W482" s="4" t="s">
        <v>2679</v>
      </c>
      <c r="X482" s="4"/>
      <c r="Y482" s="4"/>
      <c r="Z482" s="4"/>
      <c r="AA482" s="4"/>
      <c r="AB482" s="4" t="s">
        <v>1277</v>
      </c>
      <c r="AC482" s="4" t="s">
        <v>1276</v>
      </c>
      <c r="AD482" s="4" t="s">
        <v>2598</v>
      </c>
      <c r="AE482" s="4" t="s">
        <v>1279</v>
      </c>
      <c r="AF482" s="4" t="s">
        <v>1276</v>
      </c>
      <c r="AG482" s="4" t="s">
        <v>1280</v>
      </c>
      <c r="AH482" s="4"/>
    </row>
    <row r="483" spans="1:34" ht="22.5" x14ac:dyDescent="0.25">
      <c r="A483" s="4" t="s">
        <v>1272</v>
      </c>
      <c r="B483" s="4" t="s">
        <v>1691</v>
      </c>
      <c r="C483" s="4" t="s">
        <v>666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 t="s">
        <v>1274</v>
      </c>
      <c r="O483" s="4"/>
      <c r="P483" s="4" t="s">
        <v>1692</v>
      </c>
      <c r="Q483" s="4" t="s">
        <v>2670</v>
      </c>
      <c r="R483" s="4" t="s">
        <v>2670</v>
      </c>
      <c r="S483" s="4"/>
      <c r="T483" s="4"/>
      <c r="U483" s="4" t="s">
        <v>1276</v>
      </c>
      <c r="V483" s="4"/>
      <c r="W483" s="4" t="s">
        <v>2684</v>
      </c>
      <c r="X483" s="4"/>
      <c r="Y483" s="4"/>
      <c r="Z483" s="4"/>
      <c r="AA483" s="4"/>
      <c r="AB483" s="4" t="s">
        <v>1277</v>
      </c>
      <c r="AC483" s="4" t="s">
        <v>1276</v>
      </c>
      <c r="AD483" s="4" t="s">
        <v>1693</v>
      </c>
      <c r="AE483" s="4" t="s">
        <v>1279</v>
      </c>
      <c r="AF483" s="4" t="s">
        <v>1276</v>
      </c>
      <c r="AG483" s="4" t="s">
        <v>1280</v>
      </c>
      <c r="AH483" s="4"/>
    </row>
    <row r="484" spans="1:34" ht="22.5" x14ac:dyDescent="0.25">
      <c r="A484" s="4" t="s">
        <v>1272</v>
      </c>
      <c r="B484" s="4" t="s">
        <v>1990</v>
      </c>
      <c r="C484" s="4" t="s">
        <v>2726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 t="s">
        <v>1274</v>
      </c>
      <c r="O484" s="4"/>
      <c r="P484" s="4" t="s">
        <v>1992</v>
      </c>
      <c r="Q484" s="4" t="s">
        <v>2670</v>
      </c>
      <c r="R484" s="4" t="s">
        <v>2670</v>
      </c>
      <c r="S484" s="4"/>
      <c r="T484" s="4"/>
      <c r="U484" s="4" t="s">
        <v>1276</v>
      </c>
      <c r="V484" s="4"/>
      <c r="W484" s="4" t="s">
        <v>2673</v>
      </c>
      <c r="X484" s="4"/>
      <c r="Y484" s="4"/>
      <c r="Z484" s="4"/>
      <c r="AA484" s="4"/>
      <c r="AB484" s="4" t="s">
        <v>1277</v>
      </c>
      <c r="AC484" s="4" t="s">
        <v>1276</v>
      </c>
      <c r="AD484" s="4" t="s">
        <v>1993</v>
      </c>
      <c r="AE484" s="4" t="s">
        <v>1279</v>
      </c>
      <c r="AF484" s="4" t="s">
        <v>1276</v>
      </c>
      <c r="AG484" s="4" t="s">
        <v>1280</v>
      </c>
      <c r="AH484" s="4"/>
    </row>
    <row r="485" spans="1:34" ht="22.5" x14ac:dyDescent="0.25">
      <c r="A485" s="4" t="s">
        <v>1272</v>
      </c>
      <c r="B485" s="4" t="s">
        <v>2075</v>
      </c>
      <c r="C485" s="4" t="s">
        <v>2727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 t="s">
        <v>1274</v>
      </c>
      <c r="O485" s="4"/>
      <c r="P485" s="4" t="s">
        <v>2077</v>
      </c>
      <c r="Q485" s="4" t="s">
        <v>2670</v>
      </c>
      <c r="R485" s="4" t="s">
        <v>2670</v>
      </c>
      <c r="S485" s="4"/>
      <c r="T485" s="4"/>
      <c r="U485" s="4" t="s">
        <v>1276</v>
      </c>
      <c r="V485" s="4"/>
      <c r="W485" s="4" t="s">
        <v>2674</v>
      </c>
      <c r="X485" s="4"/>
      <c r="Y485" s="4"/>
      <c r="Z485" s="4"/>
      <c r="AA485" s="4"/>
      <c r="AB485" s="4" t="s">
        <v>1277</v>
      </c>
      <c r="AC485" s="4" t="s">
        <v>1276</v>
      </c>
      <c r="AD485" s="4" t="s">
        <v>2078</v>
      </c>
      <c r="AE485" s="4" t="s">
        <v>1279</v>
      </c>
      <c r="AF485" s="4" t="s">
        <v>1276</v>
      </c>
      <c r="AG485" s="4" t="s">
        <v>1280</v>
      </c>
      <c r="AH485" s="4"/>
    </row>
    <row r="486" spans="1:34" ht="22.5" x14ac:dyDescent="0.25">
      <c r="A486" s="4" t="s">
        <v>1272</v>
      </c>
      <c r="B486" s="4" t="s">
        <v>2599</v>
      </c>
      <c r="C486" s="4" t="s">
        <v>2704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 t="s">
        <v>1274</v>
      </c>
      <c r="O486" s="4"/>
      <c r="P486" s="4" t="s">
        <v>2600</v>
      </c>
      <c r="Q486" s="4" t="s">
        <v>2670</v>
      </c>
      <c r="R486" s="4" t="s">
        <v>2670</v>
      </c>
      <c r="S486" s="4"/>
      <c r="T486" s="4"/>
      <c r="U486" s="4" t="s">
        <v>1276</v>
      </c>
      <c r="V486" s="4"/>
      <c r="W486" s="4" t="s">
        <v>2673</v>
      </c>
      <c r="X486" s="4"/>
      <c r="Y486" s="4"/>
      <c r="Z486" s="4"/>
      <c r="AA486" s="4"/>
      <c r="AB486" s="4" t="s">
        <v>1277</v>
      </c>
      <c r="AC486" s="4" t="s">
        <v>1276</v>
      </c>
      <c r="AD486" s="4" t="s">
        <v>2601</v>
      </c>
      <c r="AE486" s="4" t="s">
        <v>1279</v>
      </c>
      <c r="AF486" s="4" t="s">
        <v>1276</v>
      </c>
      <c r="AG486" s="4" t="s">
        <v>1280</v>
      </c>
      <c r="AH486" s="4"/>
    </row>
    <row r="487" spans="1:34" ht="22.5" x14ac:dyDescent="0.25">
      <c r="A487" s="4" t="s">
        <v>1272</v>
      </c>
      <c r="B487" s="4" t="s">
        <v>2603</v>
      </c>
      <c r="C487" s="4" t="s">
        <v>2710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 t="s">
        <v>1274</v>
      </c>
      <c r="O487" s="4"/>
      <c r="P487" s="4" t="s">
        <v>2604</v>
      </c>
      <c r="Q487" s="4" t="s">
        <v>2670</v>
      </c>
      <c r="R487" s="4" t="s">
        <v>2670</v>
      </c>
      <c r="S487" s="4"/>
      <c r="T487" s="4"/>
      <c r="U487" s="4" t="s">
        <v>1276</v>
      </c>
      <c r="V487" s="4"/>
      <c r="W487" s="4" t="s">
        <v>2671</v>
      </c>
      <c r="X487" s="4"/>
      <c r="Y487" s="4"/>
      <c r="Z487" s="4"/>
      <c r="AA487" s="4"/>
      <c r="AB487" s="4" t="s">
        <v>1277</v>
      </c>
      <c r="AC487" s="4" t="s">
        <v>1276</v>
      </c>
      <c r="AD487" s="4" t="s">
        <v>2605</v>
      </c>
      <c r="AE487" s="4" t="s">
        <v>1279</v>
      </c>
      <c r="AF487" s="4" t="s">
        <v>1276</v>
      </c>
      <c r="AG487" s="4" t="s">
        <v>1280</v>
      </c>
      <c r="AH487" s="4"/>
    </row>
    <row r="488" spans="1:34" ht="22.5" x14ac:dyDescent="0.25">
      <c r="A488" s="4" t="s">
        <v>1272</v>
      </c>
      <c r="B488" s="4" t="s">
        <v>2292</v>
      </c>
      <c r="C488" s="4" t="s">
        <v>2728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 t="s">
        <v>1274</v>
      </c>
      <c r="O488" s="4"/>
      <c r="P488" s="4" t="s">
        <v>2294</v>
      </c>
      <c r="Q488" s="4" t="s">
        <v>2670</v>
      </c>
      <c r="R488" s="4" t="s">
        <v>2670</v>
      </c>
      <c r="S488" s="4"/>
      <c r="T488" s="4"/>
      <c r="U488" s="4" t="s">
        <v>1276</v>
      </c>
      <c r="V488" s="4"/>
      <c r="W488" s="4" t="s">
        <v>2684</v>
      </c>
      <c r="X488" s="4"/>
      <c r="Y488" s="4"/>
      <c r="Z488" s="4"/>
      <c r="AA488" s="4"/>
      <c r="AB488" s="4" t="s">
        <v>1277</v>
      </c>
      <c r="AC488" s="4" t="s">
        <v>1276</v>
      </c>
      <c r="AD488" s="4" t="s">
        <v>2295</v>
      </c>
      <c r="AE488" s="4" t="s">
        <v>1279</v>
      </c>
      <c r="AF488" s="4" t="s">
        <v>1276</v>
      </c>
      <c r="AG488" s="4" t="s">
        <v>1280</v>
      </c>
      <c r="AH488" s="4"/>
    </row>
    <row r="489" spans="1:34" ht="22.5" x14ac:dyDescent="0.25">
      <c r="A489" s="4" t="s">
        <v>1272</v>
      </c>
      <c r="B489" s="4" t="s">
        <v>2095</v>
      </c>
      <c r="C489" s="4" t="s">
        <v>2729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 t="s">
        <v>1274</v>
      </c>
      <c r="O489" s="4"/>
      <c r="P489" s="4" t="s">
        <v>2097</v>
      </c>
      <c r="Q489" s="4" t="s">
        <v>2670</v>
      </c>
      <c r="R489" s="4" t="s">
        <v>2670</v>
      </c>
      <c r="S489" s="4"/>
      <c r="T489" s="4"/>
      <c r="U489" s="4" t="s">
        <v>1276</v>
      </c>
      <c r="V489" s="4"/>
      <c r="W489" s="4" t="s">
        <v>2695</v>
      </c>
      <c r="X489" s="4"/>
      <c r="Y489" s="4"/>
      <c r="Z489" s="4"/>
      <c r="AA489" s="4"/>
      <c r="AB489" s="4" t="s">
        <v>1277</v>
      </c>
      <c r="AC489" s="4" t="s">
        <v>1276</v>
      </c>
      <c r="AD489" s="4" t="s">
        <v>2098</v>
      </c>
      <c r="AE489" s="4" t="s">
        <v>1279</v>
      </c>
      <c r="AF489" s="4" t="s">
        <v>1276</v>
      </c>
      <c r="AG489" s="4" t="s">
        <v>1280</v>
      </c>
      <c r="AH489" s="4"/>
    </row>
    <row r="490" spans="1:34" ht="22.5" x14ac:dyDescent="0.25">
      <c r="A490" s="4" t="s">
        <v>1272</v>
      </c>
      <c r="B490" s="4" t="s">
        <v>2217</v>
      </c>
      <c r="C490" s="4" t="s">
        <v>2721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 t="s">
        <v>1274</v>
      </c>
      <c r="O490" s="4"/>
      <c r="P490" s="4" t="s">
        <v>2218</v>
      </c>
      <c r="Q490" s="4" t="s">
        <v>2670</v>
      </c>
      <c r="R490" s="4" t="s">
        <v>2670</v>
      </c>
      <c r="S490" s="4"/>
      <c r="T490" s="4"/>
      <c r="U490" s="4" t="s">
        <v>1276</v>
      </c>
      <c r="V490" s="4"/>
      <c r="W490" s="4" t="s">
        <v>2674</v>
      </c>
      <c r="X490" s="4"/>
      <c r="Y490" s="4"/>
      <c r="Z490" s="4"/>
      <c r="AA490" s="4"/>
      <c r="AB490" s="4" t="s">
        <v>1277</v>
      </c>
      <c r="AC490" s="4" t="s">
        <v>1276</v>
      </c>
      <c r="AD490" s="4" t="s">
        <v>2219</v>
      </c>
      <c r="AE490" s="4" t="s">
        <v>1279</v>
      </c>
      <c r="AF490" s="4" t="s">
        <v>1276</v>
      </c>
      <c r="AG490" s="4" t="s">
        <v>1280</v>
      </c>
      <c r="AH490" s="4"/>
    </row>
    <row r="491" spans="1:34" ht="22.5" x14ac:dyDescent="0.25">
      <c r="A491" s="4" t="s">
        <v>1272</v>
      </c>
      <c r="B491" s="4" t="s">
        <v>2631</v>
      </c>
      <c r="C491" s="4" t="s">
        <v>2730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 t="s">
        <v>1274</v>
      </c>
      <c r="O491" s="4"/>
      <c r="P491" s="4" t="s">
        <v>2633</v>
      </c>
      <c r="Q491" s="4" t="s">
        <v>2670</v>
      </c>
      <c r="R491" s="4" t="s">
        <v>2670</v>
      </c>
      <c r="S491" s="4"/>
      <c r="T491" s="4"/>
      <c r="U491" s="4" t="s">
        <v>1276</v>
      </c>
      <c r="V491" s="4"/>
      <c r="W491" s="4" t="s">
        <v>2682</v>
      </c>
      <c r="X491" s="4"/>
      <c r="Y491" s="4"/>
      <c r="Z491" s="4"/>
      <c r="AA491" s="4"/>
      <c r="AB491" s="4" t="s">
        <v>1277</v>
      </c>
      <c r="AC491" s="4" t="s">
        <v>1276</v>
      </c>
      <c r="AD491" s="4" t="s">
        <v>2634</v>
      </c>
      <c r="AE491" s="4" t="s">
        <v>1279</v>
      </c>
      <c r="AF491" s="4" t="s">
        <v>1276</v>
      </c>
      <c r="AG491" s="4" t="s">
        <v>1280</v>
      </c>
      <c r="AH491" s="4"/>
    </row>
    <row r="492" spans="1:34" ht="33.75" x14ac:dyDescent="0.25">
      <c r="A492" s="4" t="s">
        <v>1272</v>
      </c>
      <c r="B492" s="4" t="s">
        <v>1471</v>
      </c>
      <c r="C492" s="4" t="s">
        <v>2731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 t="s">
        <v>1274</v>
      </c>
      <c r="O492" s="4"/>
      <c r="P492" s="4" t="s">
        <v>1472</v>
      </c>
      <c r="Q492" s="4" t="s">
        <v>2670</v>
      </c>
      <c r="R492" s="4" t="s">
        <v>2670</v>
      </c>
      <c r="S492" s="4"/>
      <c r="T492" s="4"/>
      <c r="U492" s="4" t="s">
        <v>1276</v>
      </c>
      <c r="V492" s="4"/>
      <c r="W492" s="4" t="s">
        <v>2674</v>
      </c>
      <c r="X492" s="4"/>
      <c r="Y492" s="4"/>
      <c r="Z492" s="4"/>
      <c r="AA492" s="4"/>
      <c r="AB492" s="4" t="s">
        <v>1277</v>
      </c>
      <c r="AC492" s="4" t="s">
        <v>1276</v>
      </c>
      <c r="AD492" s="4" t="s">
        <v>1473</v>
      </c>
      <c r="AE492" s="4" t="s">
        <v>1279</v>
      </c>
      <c r="AF492" s="4" t="s">
        <v>1276</v>
      </c>
      <c r="AG492" s="4" t="s">
        <v>1280</v>
      </c>
      <c r="AH492" s="4"/>
    </row>
    <row r="493" spans="1:34" ht="22.5" x14ac:dyDescent="0.25">
      <c r="A493" s="4" t="s">
        <v>1272</v>
      </c>
      <c r="B493" s="4" t="s">
        <v>2636</v>
      </c>
      <c r="C493" s="4" t="s">
        <v>2732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 t="s">
        <v>1274</v>
      </c>
      <c r="O493" s="4"/>
      <c r="P493" s="4" t="s">
        <v>2638</v>
      </c>
      <c r="Q493" s="4" t="s">
        <v>2670</v>
      </c>
      <c r="R493" s="4" t="s">
        <v>2670</v>
      </c>
      <c r="S493" s="4"/>
      <c r="T493" s="4"/>
      <c r="U493" s="4" t="s">
        <v>1276</v>
      </c>
      <c r="V493" s="4"/>
      <c r="W493" s="4" t="s">
        <v>2679</v>
      </c>
      <c r="X493" s="4"/>
      <c r="Y493" s="4"/>
      <c r="Z493" s="4"/>
      <c r="AA493" s="4"/>
      <c r="AB493" s="4" t="s">
        <v>1277</v>
      </c>
      <c r="AC493" s="4" t="s">
        <v>1276</v>
      </c>
      <c r="AD493" s="4" t="s">
        <v>2639</v>
      </c>
      <c r="AE493" s="4" t="s">
        <v>1279</v>
      </c>
      <c r="AF493" s="4" t="s">
        <v>1276</v>
      </c>
      <c r="AG493" s="4" t="s">
        <v>1280</v>
      </c>
      <c r="AH493" s="4"/>
    </row>
    <row r="494" spans="1:34" ht="22.5" x14ac:dyDescent="0.25">
      <c r="A494" s="4" t="s">
        <v>1272</v>
      </c>
      <c r="B494" s="4" t="s">
        <v>2015</v>
      </c>
      <c r="C494" s="4" t="s">
        <v>2726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 t="s">
        <v>1274</v>
      </c>
      <c r="O494" s="4"/>
      <c r="P494" s="4" t="s">
        <v>2016</v>
      </c>
      <c r="Q494" s="4" t="s">
        <v>2670</v>
      </c>
      <c r="R494" s="4" t="s">
        <v>2670</v>
      </c>
      <c r="S494" s="4"/>
      <c r="T494" s="4"/>
      <c r="U494" s="4" t="s">
        <v>1276</v>
      </c>
      <c r="V494" s="4"/>
      <c r="W494" s="4" t="s">
        <v>2679</v>
      </c>
      <c r="X494" s="4"/>
      <c r="Y494" s="4"/>
      <c r="Z494" s="4"/>
      <c r="AA494" s="4"/>
      <c r="AB494" s="4" t="s">
        <v>1277</v>
      </c>
      <c r="AC494" s="4" t="s">
        <v>1276</v>
      </c>
      <c r="AD494" s="4" t="s">
        <v>2017</v>
      </c>
      <c r="AE494" s="4" t="s">
        <v>1279</v>
      </c>
      <c r="AF494" s="4" t="s">
        <v>1276</v>
      </c>
      <c r="AG494" s="4" t="s">
        <v>1280</v>
      </c>
      <c r="AH494" s="4"/>
    </row>
    <row r="495" spans="1:34" ht="22.5" x14ac:dyDescent="0.25">
      <c r="A495" s="4" t="s">
        <v>1272</v>
      </c>
      <c r="B495" s="4" t="s">
        <v>2221</v>
      </c>
      <c r="C495" s="4" t="s">
        <v>2720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 t="s">
        <v>1274</v>
      </c>
      <c r="O495" s="4"/>
      <c r="P495" s="4" t="s">
        <v>2222</v>
      </c>
      <c r="Q495" s="4" t="s">
        <v>2670</v>
      </c>
      <c r="R495" s="4" t="s">
        <v>2670</v>
      </c>
      <c r="S495" s="4"/>
      <c r="T495" s="4"/>
      <c r="U495" s="4" t="s">
        <v>1276</v>
      </c>
      <c r="V495" s="4"/>
      <c r="W495" s="4" t="s">
        <v>2679</v>
      </c>
      <c r="X495" s="4"/>
      <c r="Y495" s="4"/>
      <c r="Z495" s="4"/>
      <c r="AA495" s="4"/>
      <c r="AB495" s="4" t="s">
        <v>1277</v>
      </c>
      <c r="AC495" s="4" t="s">
        <v>1276</v>
      </c>
      <c r="AD495" s="4" t="s">
        <v>2223</v>
      </c>
      <c r="AE495" s="4" t="s">
        <v>1279</v>
      </c>
      <c r="AF495" s="4" t="s">
        <v>1276</v>
      </c>
      <c r="AG495" s="4" t="s">
        <v>1280</v>
      </c>
      <c r="AH495" s="4"/>
    </row>
    <row r="496" spans="1:34" ht="22.5" x14ac:dyDescent="0.25">
      <c r="A496" s="4" t="s">
        <v>1272</v>
      </c>
      <c r="B496" s="4" t="s">
        <v>2019</v>
      </c>
      <c r="C496" s="4" t="s">
        <v>2726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 t="s">
        <v>1274</v>
      </c>
      <c r="O496" s="4"/>
      <c r="P496" s="4" t="s">
        <v>2020</v>
      </c>
      <c r="Q496" s="4" t="s">
        <v>2670</v>
      </c>
      <c r="R496" s="4" t="s">
        <v>2670</v>
      </c>
      <c r="S496" s="4"/>
      <c r="T496" s="4"/>
      <c r="U496" s="4" t="s">
        <v>1276</v>
      </c>
      <c r="V496" s="4"/>
      <c r="W496" s="4" t="s">
        <v>2674</v>
      </c>
      <c r="X496" s="4"/>
      <c r="Y496" s="4"/>
      <c r="Z496" s="4"/>
      <c r="AA496" s="4"/>
      <c r="AB496" s="4" t="s">
        <v>1277</v>
      </c>
      <c r="AC496" s="4" t="s">
        <v>1276</v>
      </c>
      <c r="AD496" s="4" t="s">
        <v>2021</v>
      </c>
      <c r="AE496" s="4" t="s">
        <v>1279</v>
      </c>
      <c r="AF496" s="4" t="s">
        <v>1276</v>
      </c>
      <c r="AG496" s="4" t="s">
        <v>1280</v>
      </c>
      <c r="AH496" s="4"/>
    </row>
    <row r="497" spans="1:34" ht="33.75" x14ac:dyDescent="0.25">
      <c r="A497" s="4" t="s">
        <v>1272</v>
      </c>
      <c r="B497" s="4" t="s">
        <v>1487</v>
      </c>
      <c r="C497" s="4" t="s">
        <v>426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 t="s">
        <v>1274</v>
      </c>
      <c r="O497" s="4"/>
      <c r="P497" s="4" t="s">
        <v>1488</v>
      </c>
      <c r="Q497" s="4" t="s">
        <v>2670</v>
      </c>
      <c r="R497" s="4" t="s">
        <v>2670</v>
      </c>
      <c r="S497" s="4"/>
      <c r="T497" s="4"/>
      <c r="U497" s="4" t="s">
        <v>1276</v>
      </c>
      <c r="V497" s="4"/>
      <c r="W497" s="4" t="s">
        <v>2684</v>
      </c>
      <c r="X497" s="4"/>
      <c r="Y497" s="4"/>
      <c r="Z497" s="4"/>
      <c r="AA497" s="4"/>
      <c r="AB497" s="4" t="s">
        <v>1277</v>
      </c>
      <c r="AC497" s="4" t="s">
        <v>1276</v>
      </c>
      <c r="AD497" s="4" t="s">
        <v>1489</v>
      </c>
      <c r="AE497" s="4" t="s">
        <v>1279</v>
      </c>
      <c r="AF497" s="4" t="s">
        <v>1276</v>
      </c>
      <c r="AG497" s="4" t="s">
        <v>1280</v>
      </c>
      <c r="AH497" s="4"/>
    </row>
    <row r="498" spans="1:34" ht="22.5" x14ac:dyDescent="0.25">
      <c r="A498" s="4" t="s">
        <v>1272</v>
      </c>
      <c r="B498" s="4" t="s">
        <v>2616</v>
      </c>
      <c r="C498" s="4" t="s">
        <v>2733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 t="s">
        <v>1274</v>
      </c>
      <c r="O498" s="4"/>
      <c r="P498" s="4" t="s">
        <v>2618</v>
      </c>
      <c r="Q498" s="4" t="s">
        <v>2670</v>
      </c>
      <c r="R498" s="4" t="s">
        <v>2670</v>
      </c>
      <c r="S498" s="4"/>
      <c r="T498" s="4"/>
      <c r="U498" s="4" t="s">
        <v>1276</v>
      </c>
      <c r="V498" s="4"/>
      <c r="W498" s="4" t="s">
        <v>2674</v>
      </c>
      <c r="X498" s="4"/>
      <c r="Y498" s="4"/>
      <c r="Z498" s="4"/>
      <c r="AA498" s="4"/>
      <c r="AB498" s="4" t="s">
        <v>1277</v>
      </c>
      <c r="AC498" s="4" t="s">
        <v>1276</v>
      </c>
      <c r="AD498" s="4" t="s">
        <v>2619</v>
      </c>
      <c r="AE498" s="4" t="s">
        <v>1279</v>
      </c>
      <c r="AF498" s="4" t="s">
        <v>1276</v>
      </c>
      <c r="AG498" s="4" t="s">
        <v>1280</v>
      </c>
      <c r="AH498" s="4"/>
    </row>
    <row r="499" spans="1:34" ht="22.5" x14ac:dyDescent="0.25">
      <c r="A499" s="4" t="s">
        <v>1272</v>
      </c>
      <c r="B499" s="4" t="s">
        <v>1930</v>
      </c>
      <c r="C499" s="4" t="s">
        <v>2734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 t="s">
        <v>1274</v>
      </c>
      <c r="O499" s="4"/>
      <c r="P499" s="4" t="s">
        <v>1932</v>
      </c>
      <c r="Q499" s="4" t="s">
        <v>2670</v>
      </c>
      <c r="R499" s="4" t="s">
        <v>2670</v>
      </c>
      <c r="S499" s="4"/>
      <c r="T499" s="4"/>
      <c r="U499" s="4" t="s">
        <v>1276</v>
      </c>
      <c r="V499" s="4"/>
      <c r="W499" s="4" t="s">
        <v>2673</v>
      </c>
      <c r="X499" s="4"/>
      <c r="Y499" s="4"/>
      <c r="Z499" s="4"/>
      <c r="AA499" s="4"/>
      <c r="AB499" s="4" t="s">
        <v>1277</v>
      </c>
      <c r="AC499" s="4" t="s">
        <v>1276</v>
      </c>
      <c r="AD499" s="4" t="s">
        <v>1933</v>
      </c>
      <c r="AE499" s="4" t="s">
        <v>1279</v>
      </c>
      <c r="AF499" s="4" t="s">
        <v>1276</v>
      </c>
      <c r="AG499" s="4" t="s">
        <v>1280</v>
      </c>
      <c r="AH499" s="4"/>
    </row>
  </sheetData>
  <conditionalFormatting sqref="B1:B60 B62:B74 B76:B123 B126:B354 B425:B426 B500:B1048576">
    <cfRule type="containsText" dxfId="1" priority="1" operator="containsText" text="STP">
      <formula>NOT(ISERROR(SEARCH("STP",B1)))</formula>
    </cfRule>
  </conditionalFormatting>
  <conditionalFormatting sqref="B425:B426 B76:B123 B62:B74 B126:B354 B500:B1048576 B1:B60">
    <cfRule type="duplicateValues" dxfId="0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FF0E1-21AD-4A4F-8B24-5CD5C6E99B1D}">
  <sheetPr codeName="Sheet4"/>
  <dimension ref="A1:H440"/>
  <sheetViews>
    <sheetView workbookViewId="0">
      <selection activeCell="B138" sqref="B138"/>
    </sheetView>
  </sheetViews>
  <sheetFormatPr defaultRowHeight="15" x14ac:dyDescent="0.25"/>
  <cols>
    <col min="1" max="1" width="24.140625" customWidth="1"/>
    <col min="2" max="2" width="8.85546875" customWidth="1"/>
    <col min="3" max="3" width="22.140625" customWidth="1"/>
    <col min="4" max="4" width="14.28515625" customWidth="1"/>
    <col min="5" max="5" width="13.42578125" customWidth="1"/>
    <col min="6" max="6" width="20.85546875" customWidth="1"/>
    <col min="7" max="7" width="18.7109375" customWidth="1"/>
    <col min="8" max="8" width="22.42578125" customWidth="1"/>
  </cols>
  <sheetData>
    <row r="1" spans="1:8" x14ac:dyDescent="0.25">
      <c r="A1" t="s">
        <v>2735</v>
      </c>
      <c r="B1" t="s">
        <v>1229</v>
      </c>
      <c r="C1" t="s">
        <v>2736</v>
      </c>
      <c r="D1" t="s">
        <v>2737</v>
      </c>
      <c r="E1" t="s">
        <v>3</v>
      </c>
      <c r="F1" t="s">
        <v>5</v>
      </c>
      <c r="G1" t="s">
        <v>2738</v>
      </c>
      <c r="H1" t="s">
        <v>2739</v>
      </c>
    </row>
    <row r="2" spans="1:8" x14ac:dyDescent="0.25">
      <c r="A2" s="46" t="s">
        <v>97</v>
      </c>
      <c r="B2" s="6">
        <f t="shared" ref="B2:B33" si="0">VALUE(_xlfn.TEXTAFTER(A2, ".", -1))</f>
        <v>4</v>
      </c>
      <c r="C2" s="6" t="s">
        <v>2740</v>
      </c>
      <c r="D2" s="6">
        <v>5</v>
      </c>
      <c r="E2" t="s">
        <v>94</v>
      </c>
    </row>
    <row r="3" spans="1:8" x14ac:dyDescent="0.25">
      <c r="A3" s="46" t="s">
        <v>2741</v>
      </c>
      <c r="B3" s="6">
        <f t="shared" si="0"/>
        <v>4</v>
      </c>
      <c r="C3" s="6" t="s">
        <v>2742</v>
      </c>
      <c r="D3" s="6">
        <v>5</v>
      </c>
    </row>
    <row r="4" spans="1:8" x14ac:dyDescent="0.25">
      <c r="A4" s="46" t="s">
        <v>2743</v>
      </c>
      <c r="B4" s="6">
        <f t="shared" si="0"/>
        <v>4</v>
      </c>
      <c r="C4" s="6" t="s">
        <v>2742</v>
      </c>
      <c r="D4" s="6">
        <v>5</v>
      </c>
    </row>
    <row r="5" spans="1:8" x14ac:dyDescent="0.25">
      <c r="A5" s="46" t="s">
        <v>124</v>
      </c>
      <c r="B5" s="6">
        <f t="shared" si="0"/>
        <v>4</v>
      </c>
      <c r="C5" s="6" t="s">
        <v>2742</v>
      </c>
      <c r="D5" s="6">
        <v>7</v>
      </c>
    </row>
    <row r="6" spans="1:8" x14ac:dyDescent="0.25">
      <c r="A6" s="46" t="s">
        <v>130</v>
      </c>
      <c r="B6" s="6">
        <f t="shared" si="0"/>
        <v>4</v>
      </c>
      <c r="C6" s="6" t="s">
        <v>2744</v>
      </c>
      <c r="D6" s="6">
        <v>5</v>
      </c>
    </row>
    <row r="7" spans="1:8" x14ac:dyDescent="0.25">
      <c r="A7" s="46" t="s">
        <v>2745</v>
      </c>
      <c r="B7" s="6">
        <f t="shared" si="0"/>
        <v>4</v>
      </c>
      <c r="C7" s="6" t="s">
        <v>2742</v>
      </c>
      <c r="D7" s="6">
        <v>7</v>
      </c>
    </row>
    <row r="8" spans="1:8" x14ac:dyDescent="0.25">
      <c r="A8" s="46" t="s">
        <v>159</v>
      </c>
      <c r="B8" s="6">
        <f t="shared" si="0"/>
        <v>6</v>
      </c>
      <c r="C8" s="6" t="s">
        <v>2746</v>
      </c>
      <c r="D8" s="6">
        <v>5</v>
      </c>
    </row>
    <row r="9" spans="1:8" x14ac:dyDescent="0.25">
      <c r="A9" s="46" t="s">
        <v>147</v>
      </c>
      <c r="B9" s="6">
        <f t="shared" si="0"/>
        <v>6</v>
      </c>
      <c r="C9" s="6" t="s">
        <v>2746</v>
      </c>
      <c r="D9" s="6">
        <v>5</v>
      </c>
    </row>
    <row r="10" spans="1:8" x14ac:dyDescent="0.25">
      <c r="A10" s="46" t="s">
        <v>147</v>
      </c>
      <c r="B10" s="6">
        <f t="shared" si="0"/>
        <v>6</v>
      </c>
      <c r="C10" s="6" t="s">
        <v>215</v>
      </c>
      <c r="D10" s="6">
        <v>5</v>
      </c>
    </row>
    <row r="11" spans="1:8" x14ac:dyDescent="0.25">
      <c r="A11" s="46" t="s">
        <v>191</v>
      </c>
      <c r="B11" s="6">
        <f t="shared" si="0"/>
        <v>6</v>
      </c>
      <c r="C11" s="6" t="s">
        <v>2747</v>
      </c>
      <c r="D11" s="6">
        <v>7</v>
      </c>
    </row>
    <row r="12" spans="1:8" x14ac:dyDescent="0.25">
      <c r="A12" s="46" t="s">
        <v>2748</v>
      </c>
      <c r="B12" s="6">
        <f t="shared" si="0"/>
        <v>6</v>
      </c>
      <c r="C12" s="6" t="s">
        <v>2746</v>
      </c>
      <c r="D12" s="6">
        <v>5</v>
      </c>
    </row>
    <row r="13" spans="1:8" x14ac:dyDescent="0.25">
      <c r="A13" s="46" t="s">
        <v>2748</v>
      </c>
      <c r="B13" s="6">
        <f t="shared" si="0"/>
        <v>6</v>
      </c>
      <c r="C13" s="6" t="s">
        <v>215</v>
      </c>
      <c r="D13" s="6">
        <v>5</v>
      </c>
    </row>
    <row r="14" spans="1:8" x14ac:dyDescent="0.25">
      <c r="A14" s="46" t="s">
        <v>196</v>
      </c>
      <c r="B14" s="6">
        <f t="shared" si="0"/>
        <v>6</v>
      </c>
      <c r="C14" s="6" t="s">
        <v>2746</v>
      </c>
      <c r="D14" s="6">
        <v>5</v>
      </c>
    </row>
    <row r="15" spans="1:8" x14ac:dyDescent="0.25">
      <c r="A15" s="46" t="s">
        <v>2749</v>
      </c>
      <c r="B15" s="6">
        <f t="shared" si="0"/>
        <v>6</v>
      </c>
      <c r="C15" s="6" t="s">
        <v>2747</v>
      </c>
      <c r="D15" s="6">
        <v>7</v>
      </c>
    </row>
    <row r="16" spans="1:8" x14ac:dyDescent="0.25">
      <c r="A16" s="46" t="s">
        <v>177</v>
      </c>
      <c r="B16" s="6">
        <f t="shared" si="0"/>
        <v>6</v>
      </c>
      <c r="C16" s="6" t="s">
        <v>2750</v>
      </c>
      <c r="D16" s="6">
        <v>7</v>
      </c>
    </row>
    <row r="17" spans="1:4" x14ac:dyDescent="0.25">
      <c r="A17" s="46" t="s">
        <v>166</v>
      </c>
      <c r="B17" s="6">
        <f t="shared" si="0"/>
        <v>6</v>
      </c>
      <c r="C17" s="6" t="s">
        <v>2751</v>
      </c>
      <c r="D17" s="6">
        <v>5</v>
      </c>
    </row>
    <row r="18" spans="1:4" x14ac:dyDescent="0.25">
      <c r="A18" s="46" t="s">
        <v>171</v>
      </c>
      <c r="B18" s="6">
        <f t="shared" si="0"/>
        <v>6</v>
      </c>
      <c r="C18" s="6" t="s">
        <v>215</v>
      </c>
      <c r="D18" s="6">
        <v>5</v>
      </c>
    </row>
    <row r="19" spans="1:4" x14ac:dyDescent="0.25">
      <c r="A19" s="46" t="s">
        <v>201</v>
      </c>
      <c r="B19" s="6">
        <f t="shared" si="0"/>
        <v>6</v>
      </c>
      <c r="C19" s="6" t="s">
        <v>215</v>
      </c>
      <c r="D19" s="6">
        <v>5</v>
      </c>
    </row>
    <row r="20" spans="1:4" x14ac:dyDescent="0.25">
      <c r="A20" s="46" t="s">
        <v>2752</v>
      </c>
      <c r="B20" s="6">
        <f t="shared" si="0"/>
        <v>6</v>
      </c>
      <c r="C20" s="6" t="s">
        <v>215</v>
      </c>
      <c r="D20" s="6">
        <v>5</v>
      </c>
    </row>
    <row r="21" spans="1:4" x14ac:dyDescent="0.25">
      <c r="A21" s="46" t="s">
        <v>2753</v>
      </c>
      <c r="B21" s="6">
        <f t="shared" si="0"/>
        <v>6</v>
      </c>
      <c r="C21" s="6" t="s">
        <v>215</v>
      </c>
      <c r="D21" s="6">
        <v>5</v>
      </c>
    </row>
    <row r="22" spans="1:4" x14ac:dyDescent="0.25">
      <c r="A22" s="46" t="s">
        <v>2754</v>
      </c>
      <c r="B22" s="6">
        <f t="shared" si="0"/>
        <v>6</v>
      </c>
      <c r="C22" s="6" t="s">
        <v>215</v>
      </c>
      <c r="D22" s="6">
        <v>5</v>
      </c>
    </row>
    <row r="23" spans="1:4" x14ac:dyDescent="0.25">
      <c r="A23" s="46" t="s">
        <v>2755</v>
      </c>
      <c r="B23" s="6">
        <f t="shared" si="0"/>
        <v>6</v>
      </c>
      <c r="C23" s="6" t="s">
        <v>215</v>
      </c>
      <c r="D23" s="6">
        <v>5</v>
      </c>
    </row>
    <row r="24" spans="1:4" x14ac:dyDescent="0.25">
      <c r="A24" s="46" t="s">
        <v>2756</v>
      </c>
      <c r="B24" s="6">
        <f t="shared" si="0"/>
        <v>6</v>
      </c>
      <c r="C24" s="6" t="s">
        <v>2750</v>
      </c>
      <c r="D24" s="6">
        <v>7</v>
      </c>
    </row>
    <row r="25" spans="1:4" x14ac:dyDescent="0.25">
      <c r="A25" s="46" t="s">
        <v>2757</v>
      </c>
      <c r="B25" s="6">
        <f t="shared" si="0"/>
        <v>6</v>
      </c>
      <c r="C25" s="6" t="s">
        <v>2750</v>
      </c>
      <c r="D25" s="6">
        <v>7</v>
      </c>
    </row>
    <row r="26" spans="1:4" x14ac:dyDescent="0.25">
      <c r="A26" s="46" t="s">
        <v>2758</v>
      </c>
      <c r="B26" s="6">
        <f t="shared" si="0"/>
        <v>6</v>
      </c>
      <c r="C26" s="6" t="s">
        <v>2750</v>
      </c>
      <c r="D26" s="6">
        <v>7</v>
      </c>
    </row>
    <row r="27" spans="1:4" x14ac:dyDescent="0.25">
      <c r="A27" s="46" t="s">
        <v>2759</v>
      </c>
      <c r="B27" s="6">
        <f t="shared" si="0"/>
        <v>6</v>
      </c>
      <c r="C27" s="6" t="s">
        <v>2750</v>
      </c>
      <c r="D27" s="6">
        <v>7</v>
      </c>
    </row>
    <row r="28" spans="1:4" x14ac:dyDescent="0.25">
      <c r="A28" s="46" t="s">
        <v>154</v>
      </c>
      <c r="B28" s="6">
        <f t="shared" si="0"/>
        <v>6</v>
      </c>
      <c r="C28" s="6" t="s">
        <v>2750</v>
      </c>
      <c r="D28" s="6">
        <v>7</v>
      </c>
    </row>
    <row r="29" spans="1:4" x14ac:dyDescent="0.25">
      <c r="A29" s="46" t="s">
        <v>141</v>
      </c>
      <c r="B29" s="6">
        <f t="shared" si="0"/>
        <v>6</v>
      </c>
      <c r="C29" s="6" t="s">
        <v>2750</v>
      </c>
      <c r="D29" s="6">
        <v>7</v>
      </c>
    </row>
    <row r="30" spans="1:4" x14ac:dyDescent="0.25">
      <c r="A30" s="46" t="s">
        <v>249</v>
      </c>
      <c r="B30" s="6">
        <f t="shared" si="0"/>
        <v>8</v>
      </c>
      <c r="C30" s="6" t="s">
        <v>2760</v>
      </c>
      <c r="D30" s="6">
        <v>5</v>
      </c>
    </row>
    <row r="31" spans="1:4" x14ac:dyDescent="0.25">
      <c r="A31" s="46" t="s">
        <v>351</v>
      </c>
      <c r="B31" s="6">
        <f t="shared" si="0"/>
        <v>8</v>
      </c>
      <c r="C31" s="6" t="s">
        <v>2760</v>
      </c>
      <c r="D31" s="6">
        <v>5</v>
      </c>
    </row>
    <row r="32" spans="1:4" x14ac:dyDescent="0.25">
      <c r="A32" s="46" t="s">
        <v>351</v>
      </c>
      <c r="B32" s="6">
        <f t="shared" si="0"/>
        <v>8</v>
      </c>
      <c r="C32" s="6" t="s">
        <v>424</v>
      </c>
      <c r="D32" s="6">
        <v>5</v>
      </c>
    </row>
    <row r="33" spans="1:4" x14ac:dyDescent="0.25">
      <c r="A33" s="46" t="s">
        <v>274</v>
      </c>
      <c r="B33" s="6">
        <f t="shared" si="0"/>
        <v>8</v>
      </c>
      <c r="C33" s="6" t="s">
        <v>289</v>
      </c>
      <c r="D33" s="6">
        <v>7</v>
      </c>
    </row>
    <row r="34" spans="1:4" x14ac:dyDescent="0.25">
      <c r="A34" s="46" t="s">
        <v>423</v>
      </c>
      <c r="B34" s="6">
        <f t="shared" ref="B34:B55" si="1">VALUE(_xlfn.TEXTAFTER(A34, ".", -1))</f>
        <v>8</v>
      </c>
      <c r="C34" s="6" t="s">
        <v>2760</v>
      </c>
      <c r="D34" s="6">
        <v>5</v>
      </c>
    </row>
    <row r="35" spans="1:4" x14ac:dyDescent="0.25">
      <c r="A35" s="46" t="s">
        <v>423</v>
      </c>
      <c r="B35" s="6">
        <f t="shared" si="1"/>
        <v>8</v>
      </c>
      <c r="C35" s="6" t="s">
        <v>424</v>
      </c>
      <c r="D35" s="6">
        <v>5</v>
      </c>
    </row>
    <row r="36" spans="1:4" x14ac:dyDescent="0.25">
      <c r="A36" s="46" t="s">
        <v>2761</v>
      </c>
      <c r="B36" s="6">
        <f t="shared" si="1"/>
        <v>8</v>
      </c>
      <c r="C36" s="6" t="s">
        <v>289</v>
      </c>
      <c r="D36" s="6">
        <v>7</v>
      </c>
    </row>
    <row r="37" spans="1:4" x14ac:dyDescent="0.25">
      <c r="A37" s="46" t="s">
        <v>346</v>
      </c>
      <c r="B37" s="6">
        <f t="shared" si="1"/>
        <v>8</v>
      </c>
      <c r="C37" s="6" t="s">
        <v>289</v>
      </c>
      <c r="D37" s="6">
        <v>7</v>
      </c>
    </row>
    <row r="38" spans="1:4" x14ac:dyDescent="0.25">
      <c r="A38" s="46" t="s">
        <v>372</v>
      </c>
      <c r="B38" s="6">
        <f t="shared" si="1"/>
        <v>8</v>
      </c>
      <c r="C38" s="6" t="s">
        <v>289</v>
      </c>
      <c r="D38" s="6">
        <v>7</v>
      </c>
    </row>
    <row r="39" spans="1:4" x14ac:dyDescent="0.25">
      <c r="A39" s="46" t="s">
        <v>2762</v>
      </c>
      <c r="B39" s="6">
        <f t="shared" si="1"/>
        <v>8</v>
      </c>
      <c r="C39" s="6" t="s">
        <v>289</v>
      </c>
      <c r="D39" s="6">
        <v>7</v>
      </c>
    </row>
    <row r="40" spans="1:4" x14ac:dyDescent="0.25">
      <c r="A40" s="46" t="s">
        <v>311</v>
      </c>
      <c r="B40" s="6">
        <f t="shared" si="1"/>
        <v>8</v>
      </c>
      <c r="C40" s="6" t="s">
        <v>2760</v>
      </c>
      <c r="D40" s="6">
        <v>5</v>
      </c>
    </row>
    <row r="41" spans="1:4" x14ac:dyDescent="0.25">
      <c r="A41" s="46" t="s">
        <v>311</v>
      </c>
      <c r="B41" s="6">
        <f t="shared" si="1"/>
        <v>8</v>
      </c>
      <c r="C41" s="6" t="s">
        <v>377</v>
      </c>
      <c r="D41" s="6">
        <v>5</v>
      </c>
    </row>
    <row r="42" spans="1:4" x14ac:dyDescent="0.25">
      <c r="A42" s="46" t="s">
        <v>2763</v>
      </c>
      <c r="B42" s="6">
        <f t="shared" si="1"/>
        <v>8</v>
      </c>
      <c r="C42" s="6" t="s">
        <v>245</v>
      </c>
      <c r="D42" s="6">
        <v>7</v>
      </c>
    </row>
    <row r="43" spans="1:4" x14ac:dyDescent="0.25">
      <c r="A43" s="46" t="s">
        <v>255</v>
      </c>
      <c r="B43" s="6">
        <f t="shared" si="1"/>
        <v>8</v>
      </c>
      <c r="C43" s="6" t="s">
        <v>245</v>
      </c>
      <c r="D43" s="6">
        <v>7</v>
      </c>
    </row>
    <row r="44" spans="1:4" x14ac:dyDescent="0.25">
      <c r="A44" s="46" t="s">
        <v>396</v>
      </c>
      <c r="B44" s="6">
        <f t="shared" si="1"/>
        <v>8</v>
      </c>
      <c r="C44" s="6" t="s">
        <v>245</v>
      </c>
      <c r="D44" s="6">
        <v>7</v>
      </c>
    </row>
    <row r="45" spans="1:4" x14ac:dyDescent="0.25">
      <c r="A45" s="46" t="s">
        <v>2764</v>
      </c>
      <c r="B45" s="6">
        <f t="shared" si="1"/>
        <v>8</v>
      </c>
      <c r="C45" s="6" t="s">
        <v>245</v>
      </c>
      <c r="D45" s="6">
        <v>7</v>
      </c>
    </row>
    <row r="46" spans="1:4" x14ac:dyDescent="0.25">
      <c r="A46" s="46" t="s">
        <v>2765</v>
      </c>
      <c r="B46" s="6">
        <f t="shared" si="1"/>
        <v>8</v>
      </c>
      <c r="C46" s="6" t="s">
        <v>245</v>
      </c>
      <c r="D46" s="6">
        <v>7</v>
      </c>
    </row>
    <row r="47" spans="1:4" x14ac:dyDescent="0.25">
      <c r="A47" s="46" t="s">
        <v>376</v>
      </c>
      <c r="B47" s="6">
        <f t="shared" si="1"/>
        <v>8</v>
      </c>
      <c r="C47" s="6" t="s">
        <v>2760</v>
      </c>
      <c r="D47" s="6">
        <v>5</v>
      </c>
    </row>
    <row r="48" spans="1:4" x14ac:dyDescent="0.25">
      <c r="A48" s="46" t="s">
        <v>376</v>
      </c>
      <c r="B48" s="6">
        <f t="shared" si="1"/>
        <v>8</v>
      </c>
      <c r="C48" s="6" t="s">
        <v>377</v>
      </c>
      <c r="D48" s="6">
        <v>5</v>
      </c>
    </row>
    <row r="49" spans="1:4" x14ac:dyDescent="0.25">
      <c r="A49" s="46" t="s">
        <v>264</v>
      </c>
      <c r="B49" s="6">
        <f t="shared" si="1"/>
        <v>8</v>
      </c>
      <c r="C49" s="6" t="s">
        <v>2760</v>
      </c>
      <c r="D49" s="6">
        <v>5</v>
      </c>
    </row>
    <row r="50" spans="1:4" x14ac:dyDescent="0.25">
      <c r="A50" s="46" t="s">
        <v>2766</v>
      </c>
      <c r="B50" s="6">
        <f t="shared" si="1"/>
        <v>8</v>
      </c>
      <c r="C50" s="6" t="s">
        <v>289</v>
      </c>
      <c r="D50" s="6">
        <v>7</v>
      </c>
    </row>
    <row r="51" spans="1:4" x14ac:dyDescent="0.25">
      <c r="A51" s="46" t="s">
        <v>239</v>
      </c>
      <c r="B51" s="6">
        <f t="shared" si="1"/>
        <v>8</v>
      </c>
      <c r="C51" s="6" t="s">
        <v>245</v>
      </c>
      <c r="D51" s="6">
        <v>7</v>
      </c>
    </row>
    <row r="52" spans="1:4" x14ac:dyDescent="0.25">
      <c r="A52" s="46" t="s">
        <v>368</v>
      </c>
      <c r="B52" s="6">
        <f t="shared" si="1"/>
        <v>8</v>
      </c>
      <c r="C52" s="6" t="s">
        <v>245</v>
      </c>
      <c r="D52" s="6">
        <v>7</v>
      </c>
    </row>
    <row r="53" spans="1:4" x14ac:dyDescent="0.25">
      <c r="A53" s="46" t="s">
        <v>401</v>
      </c>
      <c r="B53" s="6">
        <f t="shared" si="1"/>
        <v>8</v>
      </c>
      <c r="C53" s="6" t="s">
        <v>289</v>
      </c>
      <c r="D53" s="6">
        <v>7</v>
      </c>
    </row>
    <row r="54" spans="1:4" x14ac:dyDescent="0.25">
      <c r="A54" s="46" t="s">
        <v>361</v>
      </c>
      <c r="B54" s="6">
        <f t="shared" si="1"/>
        <v>8</v>
      </c>
      <c r="C54" s="6" t="s">
        <v>245</v>
      </c>
      <c r="D54" s="6">
        <v>7</v>
      </c>
    </row>
    <row r="55" spans="1:4" x14ac:dyDescent="0.25">
      <c r="A55" s="46" t="s">
        <v>381</v>
      </c>
      <c r="B55" s="6">
        <f t="shared" si="1"/>
        <v>8</v>
      </c>
      <c r="C55" s="6" t="s">
        <v>289</v>
      </c>
      <c r="D55" s="6">
        <v>7</v>
      </c>
    </row>
    <row r="56" spans="1:4" x14ac:dyDescent="0.25">
      <c r="A56" s="46" t="s">
        <v>2767</v>
      </c>
      <c r="B56" s="6">
        <v>8</v>
      </c>
      <c r="C56" s="6" t="s">
        <v>289</v>
      </c>
      <c r="D56" s="6">
        <v>7</v>
      </c>
    </row>
    <row r="57" spans="1:4" x14ac:dyDescent="0.25">
      <c r="A57" s="46" t="s">
        <v>2768</v>
      </c>
      <c r="B57" s="6">
        <v>8</v>
      </c>
      <c r="C57" s="6" t="s">
        <v>245</v>
      </c>
      <c r="D57" s="6">
        <v>7</v>
      </c>
    </row>
    <row r="58" spans="1:4" x14ac:dyDescent="0.25">
      <c r="A58" s="46" t="s">
        <v>260</v>
      </c>
      <c r="B58" s="6">
        <f t="shared" ref="B58:B104" si="2">VALUE(_xlfn.TEXTAFTER(A58, ".", -1))</f>
        <v>8</v>
      </c>
      <c r="C58" s="6" t="s">
        <v>424</v>
      </c>
      <c r="D58" s="6">
        <v>5</v>
      </c>
    </row>
    <row r="59" spans="1:4" x14ac:dyDescent="0.25">
      <c r="A59" s="46" t="s">
        <v>298</v>
      </c>
      <c r="B59" s="6">
        <f t="shared" si="2"/>
        <v>8</v>
      </c>
      <c r="C59" s="6" t="s">
        <v>424</v>
      </c>
      <c r="D59" s="6">
        <v>5</v>
      </c>
    </row>
    <row r="60" spans="1:4" x14ac:dyDescent="0.25">
      <c r="A60" s="46" t="s">
        <v>406</v>
      </c>
      <c r="B60" s="6">
        <f t="shared" si="2"/>
        <v>8</v>
      </c>
      <c r="C60" s="6" t="s">
        <v>2769</v>
      </c>
      <c r="D60" s="6">
        <v>5</v>
      </c>
    </row>
    <row r="61" spans="1:4" x14ac:dyDescent="0.25">
      <c r="A61" s="46" t="s">
        <v>269</v>
      </c>
      <c r="B61" s="6">
        <f t="shared" si="2"/>
        <v>8</v>
      </c>
      <c r="C61" s="6" t="s">
        <v>2769</v>
      </c>
      <c r="D61" s="6">
        <v>5</v>
      </c>
    </row>
    <row r="62" spans="1:4" x14ac:dyDescent="0.25">
      <c r="A62" s="46" t="s">
        <v>283</v>
      </c>
      <c r="B62" s="6">
        <f t="shared" si="2"/>
        <v>8</v>
      </c>
      <c r="C62" s="6" t="s">
        <v>377</v>
      </c>
      <c r="D62" s="6">
        <v>5</v>
      </c>
    </row>
    <row r="63" spans="1:4" x14ac:dyDescent="0.25">
      <c r="A63" s="46" t="s">
        <v>328</v>
      </c>
      <c r="B63" s="6">
        <f t="shared" si="2"/>
        <v>8</v>
      </c>
      <c r="C63" s="6" t="s">
        <v>377</v>
      </c>
      <c r="D63" s="6">
        <v>5</v>
      </c>
    </row>
    <row r="64" spans="1:4" x14ac:dyDescent="0.25">
      <c r="A64" s="46" t="s">
        <v>2770</v>
      </c>
      <c r="B64" s="6">
        <f t="shared" si="2"/>
        <v>8</v>
      </c>
      <c r="C64" s="6" t="s">
        <v>245</v>
      </c>
      <c r="D64" s="6">
        <v>7</v>
      </c>
    </row>
    <row r="65" spans="1:4" x14ac:dyDescent="0.25">
      <c r="A65" s="46" t="s">
        <v>2771</v>
      </c>
      <c r="B65" s="6">
        <f t="shared" si="2"/>
        <v>8</v>
      </c>
      <c r="C65" s="6" t="s">
        <v>245</v>
      </c>
      <c r="D65" s="6">
        <v>7</v>
      </c>
    </row>
    <row r="66" spans="1:4" x14ac:dyDescent="0.25">
      <c r="A66" s="46" t="s">
        <v>2772</v>
      </c>
      <c r="B66" s="6">
        <f t="shared" si="2"/>
        <v>8</v>
      </c>
      <c r="C66" s="6" t="s">
        <v>289</v>
      </c>
      <c r="D66" s="6">
        <v>7</v>
      </c>
    </row>
    <row r="67" spans="1:4" x14ac:dyDescent="0.25">
      <c r="A67" s="46" t="s">
        <v>2773</v>
      </c>
      <c r="B67" s="6">
        <f t="shared" si="2"/>
        <v>8</v>
      </c>
      <c r="C67" s="6" t="s">
        <v>289</v>
      </c>
      <c r="D67" s="6">
        <v>7</v>
      </c>
    </row>
    <row r="68" spans="1:4" x14ac:dyDescent="0.25">
      <c r="A68" s="46" t="s">
        <v>2774</v>
      </c>
      <c r="B68" s="6">
        <f t="shared" si="2"/>
        <v>8</v>
      </c>
      <c r="C68" s="6" t="s">
        <v>289</v>
      </c>
      <c r="D68" s="6">
        <v>7</v>
      </c>
    </row>
    <row r="69" spans="1:4" x14ac:dyDescent="0.25">
      <c r="A69" s="46" t="s">
        <v>2775</v>
      </c>
      <c r="B69" s="6">
        <f t="shared" si="2"/>
        <v>8</v>
      </c>
      <c r="C69" s="6" t="s">
        <v>289</v>
      </c>
      <c r="D69" s="6">
        <v>7</v>
      </c>
    </row>
    <row r="70" spans="1:4" x14ac:dyDescent="0.25">
      <c r="A70" s="46" t="s">
        <v>2776</v>
      </c>
      <c r="B70" s="6">
        <f t="shared" si="2"/>
        <v>8</v>
      </c>
      <c r="C70" s="6" t="s">
        <v>289</v>
      </c>
      <c r="D70" s="6">
        <v>7</v>
      </c>
    </row>
    <row r="71" spans="1:4" x14ac:dyDescent="0.25">
      <c r="A71" s="46" t="s">
        <v>2777</v>
      </c>
      <c r="B71" s="6">
        <f t="shared" si="2"/>
        <v>8</v>
      </c>
      <c r="C71" s="6" t="s">
        <v>245</v>
      </c>
      <c r="D71" s="6">
        <v>7</v>
      </c>
    </row>
    <row r="72" spans="1:4" x14ac:dyDescent="0.25">
      <c r="A72" s="46" t="s">
        <v>2778</v>
      </c>
      <c r="B72" s="6">
        <f t="shared" si="2"/>
        <v>8</v>
      </c>
      <c r="C72" s="6" t="s">
        <v>245</v>
      </c>
      <c r="D72" s="6">
        <v>7</v>
      </c>
    </row>
    <row r="73" spans="1:4" x14ac:dyDescent="0.25">
      <c r="A73" s="46" t="s">
        <v>2779</v>
      </c>
      <c r="B73" s="6">
        <f t="shared" si="2"/>
        <v>8</v>
      </c>
      <c r="C73" s="6" t="s">
        <v>245</v>
      </c>
      <c r="D73" s="6">
        <v>7</v>
      </c>
    </row>
    <row r="74" spans="1:4" x14ac:dyDescent="0.25">
      <c r="A74" s="46" t="s">
        <v>2780</v>
      </c>
      <c r="B74" s="6">
        <f t="shared" si="2"/>
        <v>8</v>
      </c>
      <c r="C74" s="6" t="s">
        <v>245</v>
      </c>
      <c r="D74" s="6">
        <v>7</v>
      </c>
    </row>
    <row r="75" spans="1:4" x14ac:dyDescent="0.25">
      <c r="A75" s="46" t="s">
        <v>2781</v>
      </c>
      <c r="B75" s="6">
        <f t="shared" si="2"/>
        <v>8</v>
      </c>
      <c r="C75" s="6" t="s">
        <v>289</v>
      </c>
      <c r="D75" s="6">
        <v>7</v>
      </c>
    </row>
    <row r="76" spans="1:4" x14ac:dyDescent="0.25">
      <c r="A76" s="46" t="s">
        <v>386</v>
      </c>
      <c r="B76" s="6">
        <f t="shared" si="2"/>
        <v>8</v>
      </c>
      <c r="C76" s="6" t="s">
        <v>245</v>
      </c>
      <c r="D76" s="6">
        <v>7</v>
      </c>
    </row>
    <row r="77" spans="1:4" x14ac:dyDescent="0.25">
      <c r="A77" s="46" t="s">
        <v>1503</v>
      </c>
      <c r="B77" s="6">
        <f t="shared" si="2"/>
        <v>8</v>
      </c>
      <c r="C77" s="6" t="s">
        <v>289</v>
      </c>
      <c r="D77" s="6">
        <v>7</v>
      </c>
    </row>
    <row r="78" spans="1:4" x14ac:dyDescent="0.25">
      <c r="A78" s="46" t="s">
        <v>417</v>
      </c>
      <c r="B78" s="6">
        <f t="shared" si="2"/>
        <v>8</v>
      </c>
      <c r="C78" s="6" t="s">
        <v>245</v>
      </c>
      <c r="D78" s="6">
        <v>7</v>
      </c>
    </row>
    <row r="79" spans="1:4" x14ac:dyDescent="0.25">
      <c r="A79" s="46" t="s">
        <v>293</v>
      </c>
      <c r="B79" s="6">
        <f t="shared" si="2"/>
        <v>8</v>
      </c>
      <c r="C79" s="6" t="s">
        <v>289</v>
      </c>
      <c r="D79" s="6">
        <v>7</v>
      </c>
    </row>
    <row r="80" spans="1:4" x14ac:dyDescent="0.25">
      <c r="A80" s="46" t="s">
        <v>2782</v>
      </c>
      <c r="B80" s="6">
        <f t="shared" si="2"/>
        <v>8</v>
      </c>
      <c r="C80" s="6" t="s">
        <v>289</v>
      </c>
      <c r="D80" s="6">
        <v>7</v>
      </c>
    </row>
    <row r="81" spans="1:4" x14ac:dyDescent="0.25">
      <c r="A81" s="46" t="s">
        <v>2783</v>
      </c>
      <c r="B81" s="6">
        <f t="shared" si="2"/>
        <v>8</v>
      </c>
      <c r="C81" s="6" t="s">
        <v>245</v>
      </c>
      <c r="D81" s="6">
        <v>7</v>
      </c>
    </row>
    <row r="82" spans="1:4" x14ac:dyDescent="0.25">
      <c r="A82" s="46" t="s">
        <v>2784</v>
      </c>
      <c r="B82" s="6">
        <f t="shared" si="2"/>
        <v>8</v>
      </c>
      <c r="C82" s="6" t="s">
        <v>245</v>
      </c>
      <c r="D82" s="6">
        <v>7</v>
      </c>
    </row>
    <row r="83" spans="1:4" x14ac:dyDescent="0.25">
      <c r="A83" s="46" t="s">
        <v>2785</v>
      </c>
      <c r="B83" s="6">
        <f t="shared" si="2"/>
        <v>8</v>
      </c>
      <c r="C83" s="6" t="s">
        <v>289</v>
      </c>
      <c r="D83" s="6">
        <v>7</v>
      </c>
    </row>
    <row r="84" spans="1:4" x14ac:dyDescent="0.25">
      <c r="A84" s="46" t="s">
        <v>438</v>
      </c>
      <c r="B84" s="6">
        <f t="shared" si="2"/>
        <v>10</v>
      </c>
      <c r="C84" s="6" t="s">
        <v>2786</v>
      </c>
      <c r="D84" s="6">
        <v>5</v>
      </c>
    </row>
    <row r="85" spans="1:4" x14ac:dyDescent="0.25">
      <c r="A85" s="46" t="s">
        <v>488</v>
      </c>
      <c r="B85" s="6">
        <f t="shared" si="2"/>
        <v>10</v>
      </c>
      <c r="C85" s="6" t="s">
        <v>2787</v>
      </c>
      <c r="D85" s="6">
        <v>5</v>
      </c>
    </row>
    <row r="86" spans="1:4" x14ac:dyDescent="0.25">
      <c r="A86" s="46" t="s">
        <v>488</v>
      </c>
      <c r="B86" s="6">
        <f t="shared" si="2"/>
        <v>10</v>
      </c>
      <c r="C86" s="6" t="s">
        <v>454</v>
      </c>
      <c r="D86" s="6">
        <v>5</v>
      </c>
    </row>
    <row r="87" spans="1:4" x14ac:dyDescent="0.25">
      <c r="A87" s="46" t="s">
        <v>453</v>
      </c>
      <c r="B87" s="6">
        <f t="shared" si="2"/>
        <v>10</v>
      </c>
      <c r="C87" s="6" t="s">
        <v>2787</v>
      </c>
      <c r="D87" s="6">
        <v>5</v>
      </c>
    </row>
    <row r="88" spans="1:4" x14ac:dyDescent="0.25">
      <c r="A88" s="46" t="s">
        <v>453</v>
      </c>
      <c r="B88" s="6">
        <f t="shared" si="2"/>
        <v>10</v>
      </c>
      <c r="C88" s="6" t="s">
        <v>454</v>
      </c>
      <c r="D88" s="6">
        <v>5</v>
      </c>
    </row>
    <row r="89" spans="1:4" x14ac:dyDescent="0.25">
      <c r="A89" s="46" t="s">
        <v>527</v>
      </c>
      <c r="B89" s="6">
        <f t="shared" si="2"/>
        <v>10</v>
      </c>
      <c r="C89" s="6" t="s">
        <v>2786</v>
      </c>
      <c r="D89" s="6">
        <v>5</v>
      </c>
    </row>
    <row r="90" spans="1:4" x14ac:dyDescent="0.25">
      <c r="A90" s="46" t="s">
        <v>527</v>
      </c>
      <c r="B90" s="6">
        <f t="shared" si="2"/>
        <v>10</v>
      </c>
      <c r="C90" s="6" t="s">
        <v>522</v>
      </c>
      <c r="D90" s="6">
        <v>5</v>
      </c>
    </row>
    <row r="91" spans="1:4" x14ac:dyDescent="0.25">
      <c r="A91" s="46" t="s">
        <v>2788</v>
      </c>
      <c r="B91" s="6">
        <f t="shared" si="2"/>
        <v>10</v>
      </c>
      <c r="C91" s="6" t="s">
        <v>464</v>
      </c>
      <c r="D91" s="6">
        <v>7</v>
      </c>
    </row>
    <row r="92" spans="1:4" x14ac:dyDescent="0.25">
      <c r="A92" s="46" t="s">
        <v>443</v>
      </c>
      <c r="B92" s="6">
        <f t="shared" si="2"/>
        <v>10</v>
      </c>
      <c r="C92" s="6" t="s">
        <v>464</v>
      </c>
      <c r="D92" s="6">
        <v>7</v>
      </c>
    </row>
    <row r="93" spans="1:4" x14ac:dyDescent="0.25">
      <c r="A93" s="46" t="s">
        <v>433</v>
      </c>
      <c r="B93" s="6">
        <f t="shared" si="2"/>
        <v>10</v>
      </c>
      <c r="C93" s="6" t="s">
        <v>464</v>
      </c>
      <c r="D93" s="6">
        <v>7</v>
      </c>
    </row>
    <row r="94" spans="1:4" x14ac:dyDescent="0.25">
      <c r="A94" s="46" t="s">
        <v>2789</v>
      </c>
      <c r="B94" s="6">
        <f t="shared" si="2"/>
        <v>10</v>
      </c>
      <c r="C94" s="6" t="s">
        <v>464</v>
      </c>
      <c r="D94" s="6">
        <v>7</v>
      </c>
    </row>
    <row r="95" spans="1:4" x14ac:dyDescent="0.25">
      <c r="A95" s="46" t="s">
        <v>2790</v>
      </c>
      <c r="B95" s="6">
        <f t="shared" si="2"/>
        <v>10</v>
      </c>
      <c r="C95" s="6" t="s">
        <v>464</v>
      </c>
      <c r="D95" s="6">
        <v>7</v>
      </c>
    </row>
    <row r="96" spans="1:4" x14ac:dyDescent="0.25">
      <c r="A96" s="46" t="s">
        <v>2791</v>
      </c>
      <c r="B96" s="6">
        <f t="shared" si="2"/>
        <v>10</v>
      </c>
      <c r="C96" s="6" t="s">
        <v>464</v>
      </c>
      <c r="D96" s="6">
        <v>7</v>
      </c>
    </row>
    <row r="97" spans="1:4" x14ac:dyDescent="0.25">
      <c r="A97" s="46" t="s">
        <v>521</v>
      </c>
      <c r="B97" s="6">
        <f t="shared" si="2"/>
        <v>10</v>
      </c>
      <c r="C97" s="6" t="s">
        <v>2786</v>
      </c>
      <c r="D97" s="6">
        <v>5</v>
      </c>
    </row>
    <row r="98" spans="1:4" x14ac:dyDescent="0.25">
      <c r="A98" s="46" t="s">
        <v>521</v>
      </c>
      <c r="B98" s="6">
        <f t="shared" si="2"/>
        <v>10</v>
      </c>
      <c r="C98" s="6" t="s">
        <v>522</v>
      </c>
      <c r="D98" s="6">
        <v>5</v>
      </c>
    </row>
    <row r="99" spans="1:4" x14ac:dyDescent="0.25">
      <c r="A99" s="46" t="s">
        <v>556</v>
      </c>
      <c r="B99" s="6">
        <f t="shared" si="2"/>
        <v>10</v>
      </c>
      <c r="C99" s="6" t="s">
        <v>2786</v>
      </c>
      <c r="D99" s="6">
        <v>5</v>
      </c>
    </row>
    <row r="100" spans="1:4" x14ac:dyDescent="0.25">
      <c r="A100" s="46" t="s">
        <v>2792</v>
      </c>
      <c r="B100" s="6">
        <f t="shared" si="2"/>
        <v>10</v>
      </c>
      <c r="C100" s="6" t="s">
        <v>464</v>
      </c>
      <c r="D100" s="6">
        <v>7</v>
      </c>
    </row>
    <row r="101" spans="1:4" x14ac:dyDescent="0.25">
      <c r="A101" s="46" t="s">
        <v>471</v>
      </c>
      <c r="B101" s="6">
        <f t="shared" si="2"/>
        <v>10</v>
      </c>
      <c r="C101" s="6" t="s">
        <v>2793</v>
      </c>
      <c r="D101" s="6">
        <v>7</v>
      </c>
    </row>
    <row r="102" spans="1:4" x14ac:dyDescent="0.25">
      <c r="A102" s="46" t="s">
        <v>551</v>
      </c>
      <c r="B102" s="6">
        <f t="shared" si="2"/>
        <v>10</v>
      </c>
      <c r="C102" s="6" t="s">
        <v>464</v>
      </c>
      <c r="D102" s="6">
        <v>7</v>
      </c>
    </row>
    <row r="103" spans="1:4" x14ac:dyDescent="0.25">
      <c r="A103" s="46" t="s">
        <v>517</v>
      </c>
      <c r="B103" s="6">
        <f t="shared" si="2"/>
        <v>10</v>
      </c>
      <c r="C103" s="6" t="s">
        <v>464</v>
      </c>
      <c r="D103" s="6">
        <v>7</v>
      </c>
    </row>
    <row r="104" spans="1:4" x14ac:dyDescent="0.25">
      <c r="A104" s="46" t="s">
        <v>564</v>
      </c>
      <c r="B104" s="6">
        <f t="shared" si="2"/>
        <v>10</v>
      </c>
      <c r="C104" s="6" t="s">
        <v>464</v>
      </c>
      <c r="D104" s="6">
        <v>7</v>
      </c>
    </row>
    <row r="105" spans="1:4" x14ac:dyDescent="0.25">
      <c r="A105" s="46" t="s">
        <v>2794</v>
      </c>
      <c r="B105" s="6">
        <v>10</v>
      </c>
      <c r="C105" s="6" t="s">
        <v>464</v>
      </c>
      <c r="D105" s="6">
        <v>7</v>
      </c>
    </row>
    <row r="106" spans="1:4" x14ac:dyDescent="0.25">
      <c r="A106" s="46" t="s">
        <v>504</v>
      </c>
      <c r="B106" s="6">
        <f t="shared" ref="B106:B139" si="3">VALUE(_xlfn.TEXTAFTER(A106, ".", -1))</f>
        <v>10</v>
      </c>
      <c r="C106" s="6" t="s">
        <v>454</v>
      </c>
      <c r="D106" s="6">
        <v>5</v>
      </c>
    </row>
    <row r="107" spans="1:4" x14ac:dyDescent="0.25">
      <c r="A107" s="46" t="s">
        <v>546</v>
      </c>
      <c r="B107" s="6">
        <f t="shared" si="3"/>
        <v>10</v>
      </c>
      <c r="C107" s="6" t="s">
        <v>454</v>
      </c>
      <c r="D107" s="6">
        <v>5</v>
      </c>
    </row>
    <row r="108" spans="1:4" x14ac:dyDescent="0.25">
      <c r="A108" s="46" t="s">
        <v>533</v>
      </c>
      <c r="B108" s="6">
        <f t="shared" si="3"/>
        <v>10</v>
      </c>
      <c r="C108" s="6" t="s">
        <v>2769</v>
      </c>
      <c r="D108" s="6">
        <v>5</v>
      </c>
    </row>
    <row r="109" spans="1:4" x14ac:dyDescent="0.25">
      <c r="A109" s="46" t="s">
        <v>477</v>
      </c>
      <c r="B109" s="6">
        <f t="shared" si="3"/>
        <v>10</v>
      </c>
      <c r="C109" s="6" t="s">
        <v>522</v>
      </c>
      <c r="D109" s="6">
        <v>5</v>
      </c>
    </row>
    <row r="110" spans="1:4" x14ac:dyDescent="0.25">
      <c r="A110" s="46" t="s">
        <v>538</v>
      </c>
      <c r="B110" s="6">
        <f t="shared" si="3"/>
        <v>10</v>
      </c>
      <c r="C110" s="6" t="s">
        <v>522</v>
      </c>
      <c r="D110" s="6">
        <v>5</v>
      </c>
    </row>
    <row r="111" spans="1:4" x14ac:dyDescent="0.25">
      <c r="A111" s="46" t="s">
        <v>483</v>
      </c>
      <c r="B111" s="6">
        <f t="shared" si="3"/>
        <v>10</v>
      </c>
      <c r="C111" s="6" t="s">
        <v>464</v>
      </c>
      <c r="D111" s="6">
        <v>7</v>
      </c>
    </row>
    <row r="112" spans="1:4" x14ac:dyDescent="0.25">
      <c r="A112" s="46" t="s">
        <v>577</v>
      </c>
      <c r="B112" s="6">
        <f t="shared" si="3"/>
        <v>10</v>
      </c>
      <c r="C112" s="6" t="s">
        <v>464</v>
      </c>
      <c r="D112" s="6">
        <v>7</v>
      </c>
    </row>
    <row r="113" spans="1:4" x14ac:dyDescent="0.25">
      <c r="A113" s="46" t="s">
        <v>569</v>
      </c>
      <c r="B113" s="6">
        <f t="shared" si="3"/>
        <v>10</v>
      </c>
      <c r="C113" s="6" t="s">
        <v>464</v>
      </c>
      <c r="D113" s="6">
        <v>7</v>
      </c>
    </row>
    <row r="114" spans="1:4" x14ac:dyDescent="0.25">
      <c r="A114" s="46" t="s">
        <v>2795</v>
      </c>
      <c r="B114" s="6">
        <f t="shared" si="3"/>
        <v>10</v>
      </c>
      <c r="C114" s="6" t="s">
        <v>464</v>
      </c>
      <c r="D114" s="6">
        <v>7</v>
      </c>
    </row>
    <row r="115" spans="1:4" x14ac:dyDescent="0.25">
      <c r="A115" s="46" t="s">
        <v>2796</v>
      </c>
      <c r="B115" s="6">
        <f t="shared" si="3"/>
        <v>10</v>
      </c>
      <c r="C115" s="6" t="s">
        <v>464</v>
      </c>
      <c r="D115" s="6">
        <v>7</v>
      </c>
    </row>
    <row r="116" spans="1:4" x14ac:dyDescent="0.25">
      <c r="A116" s="46" t="s">
        <v>494</v>
      </c>
      <c r="B116" s="6">
        <f t="shared" si="3"/>
        <v>10</v>
      </c>
      <c r="C116" s="6" t="s">
        <v>464</v>
      </c>
      <c r="D116" s="6">
        <v>7</v>
      </c>
    </row>
    <row r="117" spans="1:4" x14ac:dyDescent="0.25">
      <c r="A117" s="46" t="s">
        <v>448</v>
      </c>
      <c r="B117" s="6">
        <f t="shared" si="3"/>
        <v>10</v>
      </c>
      <c r="C117" s="6" t="s">
        <v>464</v>
      </c>
      <c r="D117" s="6">
        <v>7</v>
      </c>
    </row>
    <row r="118" spans="1:4" x14ac:dyDescent="0.25">
      <c r="A118" s="46" t="s">
        <v>2797</v>
      </c>
      <c r="B118" s="6">
        <f t="shared" si="3"/>
        <v>10</v>
      </c>
      <c r="C118" s="6" t="s">
        <v>464</v>
      </c>
      <c r="D118" s="6">
        <v>7</v>
      </c>
    </row>
    <row r="119" spans="1:4" x14ac:dyDescent="0.25">
      <c r="A119" s="46" t="s">
        <v>598</v>
      </c>
      <c r="B119" s="6">
        <f t="shared" si="3"/>
        <v>12</v>
      </c>
      <c r="C119" s="6" t="s">
        <v>2798</v>
      </c>
      <c r="D119" s="6">
        <v>5</v>
      </c>
    </row>
    <row r="120" spans="1:4" x14ac:dyDescent="0.25">
      <c r="A120" s="46" t="s">
        <v>693</v>
      </c>
      <c r="B120" s="6">
        <f t="shared" si="3"/>
        <v>12</v>
      </c>
      <c r="C120" s="6" t="s">
        <v>709</v>
      </c>
      <c r="D120" s="6">
        <v>5</v>
      </c>
    </row>
    <row r="121" spans="1:4" x14ac:dyDescent="0.25">
      <c r="A121" s="46" t="s">
        <v>693</v>
      </c>
      <c r="B121" s="6">
        <f t="shared" si="3"/>
        <v>12</v>
      </c>
      <c r="C121" s="6" t="s">
        <v>2799</v>
      </c>
      <c r="D121" s="6">
        <v>5</v>
      </c>
    </row>
    <row r="122" spans="1:4" x14ac:dyDescent="0.25">
      <c r="A122" s="46" t="s">
        <v>582</v>
      </c>
      <c r="B122" s="6">
        <f t="shared" si="3"/>
        <v>12</v>
      </c>
      <c r="C122" s="6" t="s">
        <v>670</v>
      </c>
      <c r="D122" s="6">
        <v>7</v>
      </c>
    </row>
    <row r="123" spans="1:4" x14ac:dyDescent="0.25">
      <c r="A123" s="46" t="s">
        <v>1643</v>
      </c>
      <c r="B123" s="6">
        <f t="shared" si="3"/>
        <v>12</v>
      </c>
      <c r="C123" s="6" t="s">
        <v>709</v>
      </c>
      <c r="D123" s="6">
        <v>5</v>
      </c>
    </row>
    <row r="124" spans="1:4" x14ac:dyDescent="0.25">
      <c r="A124" s="46" t="s">
        <v>1643</v>
      </c>
      <c r="B124" s="6">
        <f t="shared" si="3"/>
        <v>12</v>
      </c>
      <c r="C124" s="6" t="s">
        <v>2799</v>
      </c>
      <c r="D124" s="6">
        <v>5</v>
      </c>
    </row>
    <row r="125" spans="1:4" x14ac:dyDescent="0.25">
      <c r="A125" s="46" t="s">
        <v>2800</v>
      </c>
      <c r="B125" s="6">
        <f t="shared" si="3"/>
        <v>12</v>
      </c>
      <c r="C125" s="6" t="s">
        <v>670</v>
      </c>
      <c r="D125" s="6">
        <v>7</v>
      </c>
    </row>
    <row r="126" spans="1:4" x14ac:dyDescent="0.25">
      <c r="A126" s="46" t="s">
        <v>609</v>
      </c>
      <c r="B126" s="6">
        <f t="shared" si="3"/>
        <v>12</v>
      </c>
      <c r="C126" s="6" t="s">
        <v>670</v>
      </c>
      <c r="D126" s="6">
        <v>7</v>
      </c>
    </row>
    <row r="127" spans="1:4" x14ac:dyDescent="0.25">
      <c r="A127" s="46" t="s">
        <v>703</v>
      </c>
      <c r="B127" s="6">
        <f t="shared" si="3"/>
        <v>12</v>
      </c>
      <c r="C127" s="6" t="s">
        <v>2801</v>
      </c>
      <c r="D127" s="6">
        <v>7</v>
      </c>
    </row>
    <row r="128" spans="1:4" x14ac:dyDescent="0.25">
      <c r="A128" s="46" t="s">
        <v>2802</v>
      </c>
      <c r="B128" s="6">
        <f t="shared" si="3"/>
        <v>12</v>
      </c>
      <c r="C128" s="6" t="s">
        <v>670</v>
      </c>
      <c r="D128" s="6">
        <v>7</v>
      </c>
    </row>
    <row r="129" spans="1:4" x14ac:dyDescent="0.25">
      <c r="A129" s="46" t="s">
        <v>633</v>
      </c>
      <c r="B129" s="6">
        <f t="shared" si="3"/>
        <v>12</v>
      </c>
      <c r="C129" s="6" t="s">
        <v>2798</v>
      </c>
      <c r="D129" s="6">
        <v>5</v>
      </c>
    </row>
    <row r="130" spans="1:4" x14ac:dyDescent="0.25">
      <c r="A130" s="46" t="s">
        <v>633</v>
      </c>
      <c r="B130" s="6">
        <f t="shared" si="3"/>
        <v>12</v>
      </c>
      <c r="C130" s="6" t="s">
        <v>2803</v>
      </c>
      <c r="D130" s="6">
        <v>5</v>
      </c>
    </row>
    <row r="131" spans="1:4" x14ac:dyDescent="0.25">
      <c r="A131" s="46" t="s">
        <v>2804</v>
      </c>
      <c r="B131" s="6">
        <f t="shared" si="3"/>
        <v>12</v>
      </c>
      <c r="C131" s="6" t="s">
        <v>670</v>
      </c>
      <c r="D131" s="6">
        <v>7</v>
      </c>
    </row>
    <row r="132" spans="1:4" x14ac:dyDescent="0.25">
      <c r="A132" s="46" t="s">
        <v>2805</v>
      </c>
      <c r="B132" s="6">
        <f t="shared" si="3"/>
        <v>12</v>
      </c>
      <c r="C132" s="6" t="s">
        <v>670</v>
      </c>
      <c r="D132" s="6">
        <v>7</v>
      </c>
    </row>
    <row r="133" spans="1:4" x14ac:dyDescent="0.25">
      <c r="A133" s="46" t="s">
        <v>649</v>
      </c>
      <c r="B133" s="6">
        <f t="shared" si="3"/>
        <v>12</v>
      </c>
      <c r="C133" s="6" t="s">
        <v>2798</v>
      </c>
      <c r="D133" s="6">
        <v>5</v>
      </c>
    </row>
    <row r="134" spans="1:4" x14ac:dyDescent="0.25">
      <c r="A134" s="46" t="s">
        <v>649</v>
      </c>
      <c r="B134" s="6">
        <f t="shared" si="3"/>
        <v>12</v>
      </c>
      <c r="C134" s="6" t="s">
        <v>2803</v>
      </c>
      <c r="D134" s="6">
        <v>5</v>
      </c>
    </row>
    <row r="135" spans="1:4" x14ac:dyDescent="0.25">
      <c r="A135" s="46" t="s">
        <v>587</v>
      </c>
      <c r="B135" s="6">
        <f t="shared" si="3"/>
        <v>12</v>
      </c>
      <c r="C135" s="6" t="s">
        <v>2798</v>
      </c>
      <c r="D135" s="6">
        <v>5</v>
      </c>
    </row>
    <row r="136" spans="1:4" x14ac:dyDescent="0.25">
      <c r="A136" s="46" t="s">
        <v>2806</v>
      </c>
      <c r="B136" s="6">
        <f t="shared" si="3"/>
        <v>12</v>
      </c>
      <c r="C136" s="6" t="s">
        <v>670</v>
      </c>
      <c r="D136" s="6">
        <v>7</v>
      </c>
    </row>
    <row r="137" spans="1:4" x14ac:dyDescent="0.25">
      <c r="A137" s="46" t="s">
        <v>626</v>
      </c>
      <c r="B137" s="6">
        <f t="shared" si="3"/>
        <v>12</v>
      </c>
      <c r="C137" s="6" t="s">
        <v>2807</v>
      </c>
      <c r="D137" s="6">
        <v>7</v>
      </c>
    </row>
    <row r="138" spans="1:4" x14ac:dyDescent="0.25">
      <c r="A138" s="46" t="s">
        <v>698</v>
      </c>
      <c r="B138" s="6">
        <f t="shared" si="3"/>
        <v>12</v>
      </c>
      <c r="C138" s="6" t="s">
        <v>670</v>
      </c>
      <c r="D138" s="6">
        <v>7</v>
      </c>
    </row>
    <row r="139" spans="1:4" x14ac:dyDescent="0.25">
      <c r="A139" s="46" t="s">
        <v>683</v>
      </c>
      <c r="B139" s="6">
        <f t="shared" si="3"/>
        <v>12</v>
      </c>
      <c r="C139" s="6" t="s">
        <v>670</v>
      </c>
      <c r="D139" s="6">
        <v>7</v>
      </c>
    </row>
    <row r="140" spans="1:4" x14ac:dyDescent="0.25">
      <c r="A140" s="46" t="s">
        <v>2808</v>
      </c>
      <c r="B140" s="6">
        <v>12</v>
      </c>
      <c r="C140" s="6" t="s">
        <v>670</v>
      </c>
      <c r="D140" s="6">
        <v>7</v>
      </c>
    </row>
    <row r="141" spans="1:4" x14ac:dyDescent="0.25">
      <c r="A141" s="46" t="s">
        <v>591</v>
      </c>
      <c r="B141" s="6">
        <f t="shared" ref="B141:B172" si="4">VALUE(_xlfn.TEXTAFTER(A141, ".", -1))</f>
        <v>12</v>
      </c>
      <c r="C141" s="6" t="s">
        <v>709</v>
      </c>
      <c r="D141" s="6">
        <v>5</v>
      </c>
    </row>
    <row r="142" spans="1:4" x14ac:dyDescent="0.25">
      <c r="A142" s="46" t="s">
        <v>2809</v>
      </c>
      <c r="B142" s="6">
        <f t="shared" si="4"/>
        <v>12</v>
      </c>
      <c r="C142" s="6" t="s">
        <v>2810</v>
      </c>
      <c r="D142" s="6">
        <v>5</v>
      </c>
    </row>
    <row r="143" spans="1:4" x14ac:dyDescent="0.25">
      <c r="A143" s="46" t="s">
        <v>664</v>
      </c>
      <c r="B143" s="6">
        <f t="shared" si="4"/>
        <v>12</v>
      </c>
      <c r="C143" s="6" t="s">
        <v>709</v>
      </c>
      <c r="D143" s="6">
        <v>5</v>
      </c>
    </row>
    <row r="144" spans="1:4" x14ac:dyDescent="0.25">
      <c r="A144" s="46" t="s">
        <v>616</v>
      </c>
      <c r="B144" s="6">
        <f t="shared" si="4"/>
        <v>12</v>
      </c>
      <c r="C144" s="6" t="s">
        <v>2811</v>
      </c>
      <c r="D144" s="6">
        <v>5</v>
      </c>
    </row>
    <row r="145" spans="1:4" x14ac:dyDescent="0.25">
      <c r="A145" s="46" t="s">
        <v>644</v>
      </c>
      <c r="B145" s="6">
        <f t="shared" si="4"/>
        <v>12</v>
      </c>
      <c r="C145" s="6" t="s">
        <v>2803</v>
      </c>
      <c r="D145" s="6">
        <v>5</v>
      </c>
    </row>
    <row r="146" spans="1:4" x14ac:dyDescent="0.25">
      <c r="A146" s="46" t="s">
        <v>603</v>
      </c>
      <c r="B146" s="6">
        <f t="shared" si="4"/>
        <v>12</v>
      </c>
      <c r="C146" s="6" t="s">
        <v>2803</v>
      </c>
      <c r="D146" s="6">
        <v>5</v>
      </c>
    </row>
    <row r="147" spans="1:4" x14ac:dyDescent="0.25">
      <c r="A147" s="46" t="s">
        <v>716</v>
      </c>
      <c r="B147" s="6">
        <f t="shared" si="4"/>
        <v>12</v>
      </c>
      <c r="C147" s="6" t="s">
        <v>670</v>
      </c>
      <c r="D147" s="6">
        <v>7</v>
      </c>
    </row>
    <row r="148" spans="1:4" x14ac:dyDescent="0.25">
      <c r="A148" s="46" t="s">
        <v>659</v>
      </c>
      <c r="B148" s="6">
        <f t="shared" si="4"/>
        <v>12</v>
      </c>
      <c r="C148" s="6" t="s">
        <v>670</v>
      </c>
      <c r="D148" s="6">
        <v>7</v>
      </c>
    </row>
    <row r="149" spans="1:4" x14ac:dyDescent="0.25">
      <c r="A149" s="46" t="s">
        <v>678</v>
      </c>
      <c r="B149" s="6">
        <f t="shared" si="4"/>
        <v>12</v>
      </c>
      <c r="C149" s="6" t="s">
        <v>670</v>
      </c>
      <c r="D149" s="6">
        <v>7</v>
      </c>
    </row>
    <row r="150" spans="1:4" x14ac:dyDescent="0.25">
      <c r="A150" s="46" t="s">
        <v>688</v>
      </c>
      <c r="B150" s="6">
        <f t="shared" si="4"/>
        <v>12</v>
      </c>
      <c r="C150" s="6" t="s">
        <v>670</v>
      </c>
      <c r="D150" s="6">
        <v>7</v>
      </c>
    </row>
    <row r="151" spans="1:4" x14ac:dyDescent="0.25">
      <c r="A151" s="46" t="s">
        <v>638</v>
      </c>
      <c r="B151" s="6">
        <f t="shared" si="4"/>
        <v>12</v>
      </c>
      <c r="C151" s="6" t="s">
        <v>670</v>
      </c>
      <c r="D151" s="6">
        <v>7</v>
      </c>
    </row>
    <row r="152" spans="1:4" x14ac:dyDescent="0.25">
      <c r="A152" s="46" t="s">
        <v>727</v>
      </c>
      <c r="B152" s="6">
        <f t="shared" si="4"/>
        <v>12</v>
      </c>
      <c r="C152" s="6" t="s">
        <v>670</v>
      </c>
      <c r="D152" s="6">
        <v>7</v>
      </c>
    </row>
    <row r="153" spans="1:4" x14ac:dyDescent="0.25">
      <c r="A153" s="46" t="s">
        <v>688</v>
      </c>
      <c r="B153" s="6">
        <f t="shared" si="4"/>
        <v>12</v>
      </c>
      <c r="C153" s="6" t="s">
        <v>670</v>
      </c>
      <c r="D153" s="6">
        <v>7</v>
      </c>
    </row>
    <row r="154" spans="1:4" x14ac:dyDescent="0.25">
      <c r="A154" s="46" t="s">
        <v>638</v>
      </c>
      <c r="B154" s="6">
        <f t="shared" si="4"/>
        <v>12</v>
      </c>
      <c r="C154" s="6" t="s">
        <v>670</v>
      </c>
      <c r="D154" s="6">
        <v>7</v>
      </c>
    </row>
    <row r="155" spans="1:4" x14ac:dyDescent="0.25">
      <c r="A155" s="46" t="s">
        <v>727</v>
      </c>
      <c r="B155" s="6">
        <f t="shared" si="4"/>
        <v>12</v>
      </c>
      <c r="C155" s="6" t="s">
        <v>670</v>
      </c>
      <c r="D155" s="6">
        <v>7</v>
      </c>
    </row>
    <row r="156" spans="1:4" x14ac:dyDescent="0.25">
      <c r="A156" s="46" t="s">
        <v>2812</v>
      </c>
      <c r="B156" s="6">
        <f t="shared" si="4"/>
        <v>12</v>
      </c>
      <c r="C156" s="6" t="s">
        <v>670</v>
      </c>
      <c r="D156" s="6">
        <v>7</v>
      </c>
    </row>
    <row r="157" spans="1:4" x14ac:dyDescent="0.25">
      <c r="A157" s="46" t="s">
        <v>2813</v>
      </c>
      <c r="B157" s="6">
        <f t="shared" si="4"/>
        <v>12</v>
      </c>
      <c r="C157" s="6" t="s">
        <v>670</v>
      </c>
      <c r="D157" s="6">
        <v>7</v>
      </c>
    </row>
    <row r="158" spans="1:4" x14ac:dyDescent="0.25">
      <c r="A158" s="46" t="s">
        <v>678</v>
      </c>
      <c r="B158" s="6">
        <f t="shared" si="4"/>
        <v>12</v>
      </c>
      <c r="C158" s="6" t="s">
        <v>670</v>
      </c>
      <c r="D158" s="6">
        <v>7</v>
      </c>
    </row>
    <row r="159" spans="1:4" x14ac:dyDescent="0.25">
      <c r="A159" s="46" t="s">
        <v>659</v>
      </c>
      <c r="B159" s="6">
        <f t="shared" si="4"/>
        <v>12</v>
      </c>
      <c r="C159" s="6" t="s">
        <v>670</v>
      </c>
      <c r="D159" s="6">
        <v>7</v>
      </c>
    </row>
    <row r="160" spans="1:4" x14ac:dyDescent="0.25">
      <c r="A160" s="46" t="s">
        <v>2814</v>
      </c>
      <c r="B160" s="6">
        <f t="shared" si="4"/>
        <v>12</v>
      </c>
      <c r="C160" s="6" t="s">
        <v>670</v>
      </c>
      <c r="D160" s="6">
        <v>7</v>
      </c>
    </row>
    <row r="161" spans="1:4" x14ac:dyDescent="0.25">
      <c r="A161" s="46" t="s">
        <v>766</v>
      </c>
      <c r="B161" s="6">
        <f t="shared" si="4"/>
        <v>14</v>
      </c>
      <c r="C161" s="6" t="s">
        <v>2798</v>
      </c>
      <c r="D161" s="6">
        <v>5</v>
      </c>
    </row>
    <row r="162" spans="1:4" x14ac:dyDescent="0.25">
      <c r="A162" s="46" t="s">
        <v>742</v>
      </c>
      <c r="B162" s="6">
        <f t="shared" si="4"/>
        <v>14</v>
      </c>
      <c r="C162" s="6" t="s">
        <v>2815</v>
      </c>
      <c r="D162" s="6">
        <v>5</v>
      </c>
    </row>
    <row r="163" spans="1:4" x14ac:dyDescent="0.25">
      <c r="A163" s="46" t="s">
        <v>742</v>
      </c>
      <c r="B163" s="6">
        <f t="shared" si="4"/>
        <v>14</v>
      </c>
      <c r="C163" s="6" t="s">
        <v>2799</v>
      </c>
      <c r="D163" s="6">
        <v>5</v>
      </c>
    </row>
    <row r="164" spans="1:4" x14ac:dyDescent="0.25">
      <c r="A164" s="46" t="s">
        <v>733</v>
      </c>
      <c r="B164" s="6">
        <f t="shared" si="4"/>
        <v>14</v>
      </c>
      <c r="C164" s="6" t="s">
        <v>2815</v>
      </c>
      <c r="D164" s="6">
        <v>5</v>
      </c>
    </row>
    <row r="165" spans="1:4" x14ac:dyDescent="0.25">
      <c r="A165" s="46" t="s">
        <v>733</v>
      </c>
      <c r="B165" s="6">
        <f t="shared" si="4"/>
        <v>14</v>
      </c>
      <c r="C165" s="6" t="s">
        <v>2799</v>
      </c>
      <c r="D165" s="6">
        <v>5</v>
      </c>
    </row>
    <row r="166" spans="1:4" x14ac:dyDescent="0.25">
      <c r="A166" s="46" t="s">
        <v>756</v>
      </c>
      <c r="B166" s="6">
        <f t="shared" si="4"/>
        <v>14</v>
      </c>
      <c r="C166" s="6" t="s">
        <v>2798</v>
      </c>
      <c r="D166" s="6">
        <v>5</v>
      </c>
    </row>
    <row r="167" spans="1:4" x14ac:dyDescent="0.25">
      <c r="A167" s="46" t="s">
        <v>756</v>
      </c>
      <c r="B167" s="6">
        <f t="shared" si="4"/>
        <v>14</v>
      </c>
      <c r="C167" s="6" t="s">
        <v>2803</v>
      </c>
      <c r="D167" s="6">
        <v>5</v>
      </c>
    </row>
    <row r="168" spans="1:4" x14ac:dyDescent="0.25">
      <c r="A168" s="46" t="s">
        <v>747</v>
      </c>
      <c r="B168" s="6">
        <f t="shared" si="4"/>
        <v>14</v>
      </c>
      <c r="C168" s="6" t="s">
        <v>2798</v>
      </c>
      <c r="D168" s="6">
        <v>5</v>
      </c>
    </row>
    <row r="169" spans="1:4" x14ac:dyDescent="0.25">
      <c r="A169" s="46" t="s">
        <v>747</v>
      </c>
      <c r="B169" s="6">
        <f t="shared" si="4"/>
        <v>14</v>
      </c>
      <c r="C169" s="6" t="s">
        <v>2803</v>
      </c>
      <c r="D169" s="6">
        <v>5</v>
      </c>
    </row>
    <row r="170" spans="1:4" x14ac:dyDescent="0.25">
      <c r="A170" s="46" t="s">
        <v>777</v>
      </c>
      <c r="B170" s="6">
        <f t="shared" si="4"/>
        <v>14</v>
      </c>
      <c r="C170" s="6" t="s">
        <v>2798</v>
      </c>
      <c r="D170" s="6">
        <v>5</v>
      </c>
    </row>
    <row r="171" spans="1:4" x14ac:dyDescent="0.25">
      <c r="A171" s="46" t="s">
        <v>738</v>
      </c>
      <c r="B171" s="6">
        <f t="shared" si="4"/>
        <v>14</v>
      </c>
      <c r="C171" s="6" t="s">
        <v>2815</v>
      </c>
      <c r="D171" s="6">
        <v>5</v>
      </c>
    </row>
    <row r="172" spans="1:4" x14ac:dyDescent="0.25">
      <c r="A172" s="46" t="s">
        <v>770</v>
      </c>
      <c r="B172" s="6">
        <f t="shared" si="4"/>
        <v>14</v>
      </c>
      <c r="C172" s="6" t="s">
        <v>2815</v>
      </c>
      <c r="D172" s="6">
        <v>5</v>
      </c>
    </row>
    <row r="173" spans="1:4" x14ac:dyDescent="0.25">
      <c r="A173" s="46" t="s">
        <v>761</v>
      </c>
      <c r="B173" s="6">
        <f t="shared" ref="B173:B196" si="5">VALUE(_xlfn.TEXTAFTER(A173, ".", -1))</f>
        <v>14</v>
      </c>
      <c r="C173" s="6" t="s">
        <v>2811</v>
      </c>
      <c r="D173" s="6">
        <v>5</v>
      </c>
    </row>
    <row r="174" spans="1:4" x14ac:dyDescent="0.25">
      <c r="A174" s="46" t="s">
        <v>752</v>
      </c>
      <c r="B174" s="6">
        <f t="shared" si="5"/>
        <v>14</v>
      </c>
      <c r="C174" s="6" t="s">
        <v>2803</v>
      </c>
      <c r="D174" s="6">
        <v>5</v>
      </c>
    </row>
    <row r="175" spans="1:4" x14ac:dyDescent="0.25">
      <c r="A175" s="46" t="s">
        <v>773</v>
      </c>
      <c r="B175" s="6">
        <f t="shared" si="5"/>
        <v>14</v>
      </c>
      <c r="C175" s="6" t="s">
        <v>2803</v>
      </c>
      <c r="D175" s="6">
        <v>5</v>
      </c>
    </row>
    <row r="176" spans="1:4" x14ac:dyDescent="0.25">
      <c r="A176" s="46" t="s">
        <v>799</v>
      </c>
      <c r="B176" s="6">
        <f t="shared" si="5"/>
        <v>16</v>
      </c>
      <c r="C176" s="6" t="s">
        <v>2816</v>
      </c>
      <c r="D176" s="6">
        <v>5</v>
      </c>
    </row>
    <row r="177" spans="1:4" x14ac:dyDescent="0.25">
      <c r="A177" s="46" t="s">
        <v>857</v>
      </c>
      <c r="B177" s="6">
        <f t="shared" si="5"/>
        <v>16</v>
      </c>
      <c r="C177" s="6" t="s">
        <v>2817</v>
      </c>
      <c r="D177" s="6">
        <v>5</v>
      </c>
    </row>
    <row r="178" spans="1:4" x14ac:dyDescent="0.25">
      <c r="A178" s="46" t="s">
        <v>857</v>
      </c>
      <c r="B178" s="6">
        <f t="shared" si="5"/>
        <v>16</v>
      </c>
      <c r="C178" s="6" t="s">
        <v>2818</v>
      </c>
      <c r="D178" s="6">
        <v>5</v>
      </c>
    </row>
    <row r="179" spans="1:4" x14ac:dyDescent="0.25">
      <c r="A179" s="46" t="s">
        <v>873</v>
      </c>
      <c r="B179" s="6">
        <f t="shared" si="5"/>
        <v>16</v>
      </c>
      <c r="C179" s="6" t="s">
        <v>2817</v>
      </c>
      <c r="D179" s="6">
        <v>5</v>
      </c>
    </row>
    <row r="180" spans="1:4" x14ac:dyDescent="0.25">
      <c r="A180" s="46" t="s">
        <v>873</v>
      </c>
      <c r="B180" s="6">
        <f t="shared" si="5"/>
        <v>16</v>
      </c>
      <c r="C180" s="6" t="s">
        <v>2818</v>
      </c>
      <c r="D180" s="6">
        <v>5</v>
      </c>
    </row>
    <row r="181" spans="1:4" x14ac:dyDescent="0.25">
      <c r="A181" s="46" t="s">
        <v>2819</v>
      </c>
      <c r="B181" s="6">
        <f t="shared" si="5"/>
        <v>16</v>
      </c>
      <c r="C181" s="6" t="s">
        <v>877</v>
      </c>
      <c r="D181" s="6">
        <v>7</v>
      </c>
    </row>
    <row r="182" spans="1:4" x14ac:dyDescent="0.25">
      <c r="A182" s="46" t="s">
        <v>790</v>
      </c>
      <c r="B182" s="6">
        <f t="shared" si="5"/>
        <v>16</v>
      </c>
      <c r="C182" s="6" t="s">
        <v>877</v>
      </c>
      <c r="D182" s="6">
        <v>7</v>
      </c>
    </row>
    <row r="183" spans="1:4" x14ac:dyDescent="0.25">
      <c r="A183" s="46" t="s">
        <v>843</v>
      </c>
      <c r="B183" s="6">
        <f t="shared" si="5"/>
        <v>16</v>
      </c>
      <c r="C183" s="6" t="s">
        <v>877</v>
      </c>
      <c r="D183" s="6">
        <v>7</v>
      </c>
    </row>
    <row r="184" spans="1:4" x14ac:dyDescent="0.25">
      <c r="A184" s="46" t="s">
        <v>2820</v>
      </c>
      <c r="B184" s="6">
        <f t="shared" si="5"/>
        <v>16</v>
      </c>
      <c r="C184" s="6" t="s">
        <v>877</v>
      </c>
      <c r="D184" s="6">
        <v>7</v>
      </c>
    </row>
    <row r="185" spans="1:4" x14ac:dyDescent="0.25">
      <c r="A185" s="46" t="s">
        <v>803</v>
      </c>
      <c r="B185" s="6">
        <f t="shared" si="5"/>
        <v>16</v>
      </c>
      <c r="C185" s="6" t="s">
        <v>2816</v>
      </c>
      <c r="D185" s="6">
        <v>5</v>
      </c>
    </row>
    <row r="186" spans="1:4" x14ac:dyDescent="0.25">
      <c r="A186" s="46" t="s">
        <v>803</v>
      </c>
      <c r="B186" s="6">
        <f t="shared" si="5"/>
        <v>16</v>
      </c>
      <c r="C186" s="6" t="s">
        <v>2821</v>
      </c>
      <c r="D186" s="6">
        <v>5</v>
      </c>
    </row>
    <row r="187" spans="1:4" x14ac:dyDescent="0.25">
      <c r="A187" s="46" t="s">
        <v>2822</v>
      </c>
      <c r="B187" s="6">
        <f t="shared" si="5"/>
        <v>16</v>
      </c>
      <c r="C187" s="6" t="s">
        <v>877</v>
      </c>
      <c r="D187" s="6">
        <v>7</v>
      </c>
    </row>
    <row r="188" spans="1:4" x14ac:dyDescent="0.25">
      <c r="A188" s="46" t="s">
        <v>2823</v>
      </c>
      <c r="B188" s="6">
        <f t="shared" si="5"/>
        <v>16</v>
      </c>
      <c r="C188" s="6" t="s">
        <v>877</v>
      </c>
      <c r="D188" s="6">
        <v>7</v>
      </c>
    </row>
    <row r="189" spans="1:4" x14ac:dyDescent="0.25">
      <c r="A189" s="46" t="s">
        <v>1829</v>
      </c>
      <c r="B189" s="6">
        <f t="shared" si="5"/>
        <v>16</v>
      </c>
      <c r="C189" s="6" t="s">
        <v>2816</v>
      </c>
      <c r="D189" s="6">
        <v>5</v>
      </c>
    </row>
    <row r="190" spans="1:4" x14ac:dyDescent="0.25">
      <c r="A190" s="46" t="s">
        <v>1829</v>
      </c>
      <c r="B190" s="6">
        <f t="shared" si="5"/>
        <v>16</v>
      </c>
      <c r="C190" s="6" t="s">
        <v>2821</v>
      </c>
      <c r="D190" s="6">
        <v>5</v>
      </c>
    </row>
    <row r="191" spans="1:4" x14ac:dyDescent="0.25">
      <c r="A191" s="46" t="s">
        <v>839</v>
      </c>
      <c r="B191" s="6">
        <f t="shared" si="5"/>
        <v>16</v>
      </c>
      <c r="C191" s="6" t="s">
        <v>2816</v>
      </c>
      <c r="D191" s="6">
        <v>5</v>
      </c>
    </row>
    <row r="192" spans="1:4" x14ac:dyDescent="0.25">
      <c r="A192" s="46" t="s">
        <v>2824</v>
      </c>
      <c r="B192" s="6">
        <f t="shared" si="5"/>
        <v>16</v>
      </c>
      <c r="C192" s="6" t="s">
        <v>877</v>
      </c>
      <c r="D192" s="6">
        <v>7</v>
      </c>
    </row>
    <row r="193" spans="1:4" x14ac:dyDescent="0.25">
      <c r="A193" s="46" t="s">
        <v>814</v>
      </c>
      <c r="B193" s="6">
        <f t="shared" si="5"/>
        <v>16</v>
      </c>
      <c r="C193" s="6" t="s">
        <v>2825</v>
      </c>
      <c r="D193" s="6">
        <v>7</v>
      </c>
    </row>
    <row r="194" spans="1:4" x14ac:dyDescent="0.25">
      <c r="A194" s="46" t="s">
        <v>818</v>
      </c>
      <c r="B194" s="6">
        <f t="shared" si="5"/>
        <v>16</v>
      </c>
      <c r="C194" s="6" t="s">
        <v>877</v>
      </c>
      <c r="D194" s="6">
        <v>7</v>
      </c>
    </row>
    <row r="195" spans="1:4" x14ac:dyDescent="0.25">
      <c r="A195" s="46" t="s">
        <v>865</v>
      </c>
      <c r="B195" s="6">
        <f t="shared" si="5"/>
        <v>16</v>
      </c>
      <c r="C195" s="6" t="s">
        <v>877</v>
      </c>
      <c r="D195" s="6">
        <v>7</v>
      </c>
    </row>
    <row r="196" spans="1:4" x14ac:dyDescent="0.25">
      <c r="A196" s="46" t="s">
        <v>1855</v>
      </c>
      <c r="B196" s="6">
        <f t="shared" si="5"/>
        <v>16</v>
      </c>
      <c r="C196" s="6" t="s">
        <v>877</v>
      </c>
      <c r="D196" s="6">
        <v>7</v>
      </c>
    </row>
    <row r="197" spans="1:4" x14ac:dyDescent="0.25">
      <c r="A197" s="46" t="s">
        <v>2826</v>
      </c>
      <c r="B197" s="6">
        <v>16</v>
      </c>
      <c r="C197" s="6" t="s">
        <v>877</v>
      </c>
      <c r="D197" s="6">
        <v>7</v>
      </c>
    </row>
    <row r="198" spans="1:4" x14ac:dyDescent="0.25">
      <c r="A198" s="46" t="s">
        <v>826</v>
      </c>
      <c r="B198" s="6">
        <f t="shared" ref="B198:B244" si="6">VALUE(_xlfn.TEXTAFTER(A198, ".", -1))</f>
        <v>16</v>
      </c>
      <c r="C198" s="6" t="s">
        <v>2818</v>
      </c>
      <c r="D198" s="6">
        <v>5</v>
      </c>
    </row>
    <row r="199" spans="1:4" x14ac:dyDescent="0.25">
      <c r="A199" s="46" t="s">
        <v>1790</v>
      </c>
      <c r="B199" s="6">
        <f t="shared" si="6"/>
        <v>16</v>
      </c>
      <c r="C199" s="6" t="s">
        <v>2827</v>
      </c>
      <c r="D199" s="6">
        <v>5</v>
      </c>
    </row>
    <row r="200" spans="1:4" x14ac:dyDescent="0.25">
      <c r="A200" s="46" t="s">
        <v>809</v>
      </c>
      <c r="B200" s="6">
        <f t="shared" si="6"/>
        <v>16</v>
      </c>
      <c r="C200" s="6" t="s">
        <v>2821</v>
      </c>
      <c r="D200" s="6">
        <v>5</v>
      </c>
    </row>
    <row r="201" spans="1:4" x14ac:dyDescent="0.25">
      <c r="A201" s="46" t="s">
        <v>847</v>
      </c>
      <c r="B201" s="6">
        <f t="shared" si="6"/>
        <v>16</v>
      </c>
      <c r="C201" s="6" t="s">
        <v>2821</v>
      </c>
      <c r="D201" s="6">
        <v>5</v>
      </c>
    </row>
    <row r="202" spans="1:4" x14ac:dyDescent="0.25">
      <c r="A202" s="46" t="s">
        <v>822</v>
      </c>
      <c r="B202" s="6">
        <f t="shared" si="6"/>
        <v>16</v>
      </c>
      <c r="C202" s="6" t="s">
        <v>877</v>
      </c>
      <c r="D202" s="6">
        <v>7</v>
      </c>
    </row>
    <row r="203" spans="1:4" x14ac:dyDescent="0.25">
      <c r="A203" s="46" t="s">
        <v>861</v>
      </c>
      <c r="B203" s="6">
        <f t="shared" si="6"/>
        <v>16</v>
      </c>
      <c r="C203" s="6" t="s">
        <v>877</v>
      </c>
      <c r="D203" s="6">
        <v>7</v>
      </c>
    </row>
    <row r="204" spans="1:4" x14ac:dyDescent="0.25">
      <c r="A204" s="46" t="s">
        <v>853</v>
      </c>
      <c r="B204" s="6">
        <f t="shared" si="6"/>
        <v>16</v>
      </c>
      <c r="C204" s="6" t="s">
        <v>877</v>
      </c>
      <c r="D204" s="6">
        <v>7</v>
      </c>
    </row>
    <row r="205" spans="1:4" x14ac:dyDescent="0.25">
      <c r="A205" s="46" t="s">
        <v>2828</v>
      </c>
      <c r="B205" s="6">
        <f t="shared" si="6"/>
        <v>16</v>
      </c>
      <c r="C205" s="6" t="s">
        <v>877</v>
      </c>
      <c r="D205" s="6">
        <v>7</v>
      </c>
    </row>
    <row r="206" spans="1:4" x14ac:dyDescent="0.25">
      <c r="A206" s="46" t="s">
        <v>2829</v>
      </c>
      <c r="B206" s="6">
        <f t="shared" si="6"/>
        <v>16</v>
      </c>
      <c r="C206" s="6" t="s">
        <v>877</v>
      </c>
      <c r="D206" s="6">
        <v>7</v>
      </c>
    </row>
    <row r="207" spans="1:4" x14ac:dyDescent="0.25">
      <c r="A207" s="46" t="s">
        <v>795</v>
      </c>
      <c r="B207" s="6">
        <f t="shared" si="6"/>
        <v>16</v>
      </c>
      <c r="C207" s="6" t="s">
        <v>877</v>
      </c>
      <c r="D207" s="6">
        <v>7</v>
      </c>
    </row>
    <row r="208" spans="1:4" x14ac:dyDescent="0.25">
      <c r="A208" s="46" t="s">
        <v>869</v>
      </c>
      <c r="B208" s="6">
        <f t="shared" si="6"/>
        <v>16</v>
      </c>
      <c r="C208" s="6" t="s">
        <v>877</v>
      </c>
      <c r="D208" s="6">
        <v>7</v>
      </c>
    </row>
    <row r="209" spans="1:4" x14ac:dyDescent="0.25">
      <c r="A209" s="46" t="s">
        <v>2830</v>
      </c>
      <c r="B209" s="6">
        <f t="shared" si="6"/>
        <v>16</v>
      </c>
      <c r="C209" s="6" t="s">
        <v>877</v>
      </c>
      <c r="D209" s="6">
        <v>7</v>
      </c>
    </row>
    <row r="210" spans="1:4" x14ac:dyDescent="0.25">
      <c r="A210" s="46" t="s">
        <v>1883</v>
      </c>
      <c r="B210" s="6">
        <f t="shared" si="6"/>
        <v>18</v>
      </c>
      <c r="C210" s="6" t="s">
        <v>2816</v>
      </c>
      <c r="D210" s="6">
        <v>5</v>
      </c>
    </row>
    <row r="211" spans="1:4" x14ac:dyDescent="0.25">
      <c r="A211" s="46" t="s">
        <v>1931</v>
      </c>
      <c r="B211" s="6">
        <f t="shared" si="6"/>
        <v>18</v>
      </c>
      <c r="C211" s="6" t="s">
        <v>2831</v>
      </c>
      <c r="D211" s="6">
        <v>5</v>
      </c>
    </row>
    <row r="212" spans="1:4" x14ac:dyDescent="0.25">
      <c r="A212" s="46" t="s">
        <v>1931</v>
      </c>
      <c r="B212" s="6">
        <f t="shared" si="6"/>
        <v>18</v>
      </c>
      <c r="C212" s="6" t="s">
        <v>2832</v>
      </c>
      <c r="D212" s="6">
        <v>5</v>
      </c>
    </row>
    <row r="213" spans="1:4" x14ac:dyDescent="0.25">
      <c r="A213" s="46" t="s">
        <v>1888</v>
      </c>
      <c r="B213" s="6">
        <f t="shared" si="6"/>
        <v>18</v>
      </c>
      <c r="C213" s="6" t="s">
        <v>2831</v>
      </c>
      <c r="D213" s="6">
        <v>5</v>
      </c>
    </row>
    <row r="214" spans="1:4" x14ac:dyDescent="0.25">
      <c r="A214" s="46" t="s">
        <v>1888</v>
      </c>
      <c r="B214" s="6">
        <f t="shared" si="6"/>
        <v>18</v>
      </c>
      <c r="C214" s="6" t="s">
        <v>2832</v>
      </c>
      <c r="D214" s="6">
        <v>5</v>
      </c>
    </row>
    <row r="215" spans="1:4" x14ac:dyDescent="0.25">
      <c r="A215" s="46" t="s">
        <v>1926</v>
      </c>
      <c r="B215" s="6">
        <f t="shared" si="6"/>
        <v>18</v>
      </c>
      <c r="C215" s="6" t="s">
        <v>2816</v>
      </c>
      <c r="D215" s="6">
        <v>5</v>
      </c>
    </row>
    <row r="216" spans="1:4" x14ac:dyDescent="0.25">
      <c r="A216" s="46" t="s">
        <v>1926</v>
      </c>
      <c r="B216" s="6">
        <f t="shared" si="6"/>
        <v>18</v>
      </c>
      <c r="C216" s="6" t="s">
        <v>2821</v>
      </c>
      <c r="D216" s="6">
        <v>5</v>
      </c>
    </row>
    <row r="217" spans="1:4" x14ac:dyDescent="0.25">
      <c r="A217" s="46" t="s">
        <v>1908</v>
      </c>
      <c r="B217" s="6">
        <f t="shared" si="6"/>
        <v>18</v>
      </c>
      <c r="C217" s="6" t="s">
        <v>2816</v>
      </c>
      <c r="D217" s="6">
        <v>5</v>
      </c>
    </row>
    <row r="218" spans="1:4" x14ac:dyDescent="0.25">
      <c r="A218" s="46" t="s">
        <v>1908</v>
      </c>
      <c r="B218" s="6">
        <f t="shared" si="6"/>
        <v>18</v>
      </c>
      <c r="C218" s="6" t="s">
        <v>2821</v>
      </c>
      <c r="D218" s="6">
        <v>5</v>
      </c>
    </row>
    <row r="219" spans="1:4" x14ac:dyDescent="0.25">
      <c r="A219" s="46" t="s">
        <v>1893</v>
      </c>
      <c r="B219" s="6">
        <f t="shared" si="6"/>
        <v>18</v>
      </c>
      <c r="C219" s="6" t="s">
        <v>2832</v>
      </c>
      <c r="D219" s="6">
        <v>5</v>
      </c>
    </row>
    <row r="220" spans="1:4" x14ac:dyDescent="0.25">
      <c r="A220" s="46" t="s">
        <v>1898</v>
      </c>
      <c r="B220" s="6">
        <f t="shared" si="6"/>
        <v>18</v>
      </c>
      <c r="C220" s="6" t="s">
        <v>2831</v>
      </c>
      <c r="D220" s="6">
        <v>5</v>
      </c>
    </row>
    <row r="221" spans="1:4" x14ac:dyDescent="0.25">
      <c r="A221" s="46" t="s">
        <v>1878</v>
      </c>
      <c r="B221" s="6">
        <f t="shared" si="6"/>
        <v>18</v>
      </c>
      <c r="C221" s="6" t="s">
        <v>2827</v>
      </c>
      <c r="D221" s="6">
        <v>5</v>
      </c>
    </row>
    <row r="222" spans="1:4" x14ac:dyDescent="0.25">
      <c r="A222" s="46" t="s">
        <v>1921</v>
      </c>
      <c r="B222" s="6">
        <f t="shared" si="6"/>
        <v>18</v>
      </c>
      <c r="C222" s="6" t="s">
        <v>2821</v>
      </c>
      <c r="D222" s="6">
        <v>5</v>
      </c>
    </row>
    <row r="223" spans="1:4" x14ac:dyDescent="0.25">
      <c r="A223" s="46" t="s">
        <v>1903</v>
      </c>
      <c r="B223" s="6">
        <f t="shared" si="6"/>
        <v>18</v>
      </c>
      <c r="C223" s="6" t="s">
        <v>2821</v>
      </c>
      <c r="D223" s="6">
        <v>5</v>
      </c>
    </row>
    <row r="224" spans="1:4" x14ac:dyDescent="0.25">
      <c r="A224" s="46" t="s">
        <v>2006</v>
      </c>
      <c r="B224" s="6">
        <f t="shared" si="6"/>
        <v>20</v>
      </c>
      <c r="C224" s="6" t="s">
        <v>966</v>
      </c>
      <c r="D224" s="6">
        <v>5</v>
      </c>
    </row>
    <row r="225" spans="1:4" x14ac:dyDescent="0.25">
      <c r="A225" s="46" t="s">
        <v>1971</v>
      </c>
      <c r="B225" s="6">
        <f t="shared" si="6"/>
        <v>20</v>
      </c>
      <c r="C225" s="6" t="s">
        <v>2833</v>
      </c>
      <c r="D225" s="6">
        <v>5</v>
      </c>
    </row>
    <row r="226" spans="1:4" x14ac:dyDescent="0.25">
      <c r="A226" s="46" t="s">
        <v>1971</v>
      </c>
      <c r="B226" s="6">
        <f t="shared" si="6"/>
        <v>20</v>
      </c>
      <c r="C226" s="6" t="s">
        <v>966</v>
      </c>
      <c r="D226" s="6">
        <v>5</v>
      </c>
    </row>
    <row r="227" spans="1:4" x14ac:dyDescent="0.25">
      <c r="A227" s="46" t="s">
        <v>1991</v>
      </c>
      <c r="B227" s="6">
        <f t="shared" si="6"/>
        <v>20</v>
      </c>
      <c r="C227" s="6" t="s">
        <v>2833</v>
      </c>
      <c r="D227" s="6">
        <v>5</v>
      </c>
    </row>
    <row r="228" spans="1:4" x14ac:dyDescent="0.25">
      <c r="A228" s="46" t="s">
        <v>1991</v>
      </c>
      <c r="B228" s="6">
        <f t="shared" si="6"/>
        <v>20</v>
      </c>
      <c r="C228" s="6" t="s">
        <v>966</v>
      </c>
      <c r="D228" s="6">
        <v>5</v>
      </c>
    </row>
    <row r="229" spans="1:4" x14ac:dyDescent="0.25">
      <c r="A229" s="46" t="s">
        <v>2834</v>
      </c>
      <c r="B229" s="6">
        <f t="shared" si="6"/>
        <v>20</v>
      </c>
      <c r="C229" s="6" t="s">
        <v>915</v>
      </c>
      <c r="D229" s="6">
        <v>7</v>
      </c>
    </row>
    <row r="230" spans="1:4" x14ac:dyDescent="0.25">
      <c r="A230" s="46" t="s">
        <v>1981</v>
      </c>
      <c r="B230" s="6">
        <f t="shared" si="6"/>
        <v>20</v>
      </c>
      <c r="C230" s="6" t="s">
        <v>915</v>
      </c>
      <c r="D230" s="6">
        <v>7</v>
      </c>
    </row>
    <row r="231" spans="1:4" x14ac:dyDescent="0.25">
      <c r="A231" s="46" t="s">
        <v>1976</v>
      </c>
      <c r="B231" s="6">
        <f t="shared" si="6"/>
        <v>20</v>
      </c>
      <c r="C231" s="6" t="s">
        <v>915</v>
      </c>
      <c r="D231" s="6">
        <v>7</v>
      </c>
    </row>
    <row r="232" spans="1:4" x14ac:dyDescent="0.25">
      <c r="A232" s="46" t="s">
        <v>2835</v>
      </c>
      <c r="B232" s="6">
        <f t="shared" si="6"/>
        <v>20</v>
      </c>
      <c r="C232" s="6" t="s">
        <v>915</v>
      </c>
      <c r="D232" s="6">
        <v>7</v>
      </c>
    </row>
    <row r="233" spans="1:4" x14ac:dyDescent="0.25">
      <c r="A233" s="46" t="s">
        <v>2836</v>
      </c>
      <c r="B233" s="6">
        <f t="shared" si="6"/>
        <v>20</v>
      </c>
      <c r="C233" s="6" t="s">
        <v>941</v>
      </c>
      <c r="D233" s="6">
        <v>5</v>
      </c>
    </row>
    <row r="234" spans="1:4" x14ac:dyDescent="0.25">
      <c r="A234" s="46" t="s">
        <v>2836</v>
      </c>
      <c r="B234" s="6">
        <f t="shared" si="6"/>
        <v>20</v>
      </c>
      <c r="C234" s="6" t="s">
        <v>966</v>
      </c>
      <c r="D234" s="6">
        <v>5</v>
      </c>
    </row>
    <row r="235" spans="1:4" x14ac:dyDescent="0.25">
      <c r="A235" s="46" t="s">
        <v>2837</v>
      </c>
      <c r="B235" s="6">
        <f t="shared" si="6"/>
        <v>20</v>
      </c>
      <c r="C235" s="6" t="s">
        <v>915</v>
      </c>
      <c r="D235" s="6">
        <v>7</v>
      </c>
    </row>
    <row r="236" spans="1:4" x14ac:dyDescent="0.25">
      <c r="A236" s="46" t="s">
        <v>2838</v>
      </c>
      <c r="B236" s="6">
        <f t="shared" si="6"/>
        <v>20</v>
      </c>
      <c r="C236" s="6" t="s">
        <v>915</v>
      </c>
      <c r="D236" s="6">
        <v>7</v>
      </c>
    </row>
    <row r="237" spans="1:4" x14ac:dyDescent="0.25">
      <c r="A237" s="46" t="s">
        <v>2027</v>
      </c>
      <c r="B237" s="6">
        <f t="shared" si="6"/>
        <v>20</v>
      </c>
      <c r="C237" s="6" t="s">
        <v>941</v>
      </c>
      <c r="D237" s="6">
        <v>5</v>
      </c>
    </row>
    <row r="238" spans="1:4" x14ac:dyDescent="0.25">
      <c r="A238" s="46" t="s">
        <v>2027</v>
      </c>
      <c r="B238" s="6">
        <f t="shared" si="6"/>
        <v>20</v>
      </c>
      <c r="C238" s="6" t="s">
        <v>966</v>
      </c>
      <c r="D238" s="6">
        <v>5</v>
      </c>
    </row>
    <row r="239" spans="1:4" x14ac:dyDescent="0.25">
      <c r="A239" s="46" t="s">
        <v>2011</v>
      </c>
      <c r="B239" s="6">
        <f t="shared" si="6"/>
        <v>20</v>
      </c>
      <c r="C239" s="6" t="s">
        <v>966</v>
      </c>
      <c r="D239" s="6">
        <v>5</v>
      </c>
    </row>
    <row r="240" spans="1:4" x14ac:dyDescent="0.25">
      <c r="A240" s="46" t="s">
        <v>2839</v>
      </c>
      <c r="B240" s="6">
        <f t="shared" si="6"/>
        <v>20</v>
      </c>
      <c r="C240" s="6" t="s">
        <v>915</v>
      </c>
      <c r="D240" s="6">
        <v>7</v>
      </c>
    </row>
    <row r="241" spans="1:4" x14ac:dyDescent="0.25">
      <c r="A241" s="46" t="s">
        <v>2840</v>
      </c>
      <c r="B241" s="6">
        <f t="shared" si="6"/>
        <v>20</v>
      </c>
      <c r="C241" s="6" t="s">
        <v>915</v>
      </c>
      <c r="D241" s="6">
        <v>7</v>
      </c>
    </row>
    <row r="242" spans="1:4" x14ac:dyDescent="0.25">
      <c r="A242" s="46" t="s">
        <v>2001</v>
      </c>
      <c r="B242" s="6">
        <f t="shared" si="6"/>
        <v>20</v>
      </c>
      <c r="C242" s="6" t="s">
        <v>915</v>
      </c>
      <c r="D242" s="6">
        <v>7</v>
      </c>
    </row>
    <row r="243" spans="1:4" x14ac:dyDescent="0.25">
      <c r="A243" s="46" t="s">
        <v>2032</v>
      </c>
      <c r="B243" s="6">
        <f t="shared" si="6"/>
        <v>20</v>
      </c>
      <c r="C243" s="6" t="s">
        <v>915</v>
      </c>
      <c r="D243" s="6">
        <v>7</v>
      </c>
    </row>
    <row r="244" spans="1:4" x14ac:dyDescent="0.25">
      <c r="A244" s="46" t="s">
        <v>2037</v>
      </c>
      <c r="B244" s="6">
        <f t="shared" si="6"/>
        <v>20</v>
      </c>
      <c r="C244" s="6" t="s">
        <v>915</v>
      </c>
      <c r="D244" s="6">
        <v>7</v>
      </c>
    </row>
    <row r="245" spans="1:4" x14ac:dyDescent="0.25">
      <c r="A245" s="46" t="s">
        <v>2841</v>
      </c>
      <c r="B245" s="6">
        <v>20</v>
      </c>
      <c r="C245" s="6" t="s">
        <v>915</v>
      </c>
      <c r="D245" s="6">
        <v>7</v>
      </c>
    </row>
    <row r="246" spans="1:4" x14ac:dyDescent="0.25">
      <c r="A246" s="46" t="s">
        <v>1956</v>
      </c>
      <c r="B246" s="6">
        <f t="shared" ref="B246:B270" si="7">VALUE(_xlfn.TEXTAFTER(A246, ".", -1))</f>
        <v>20</v>
      </c>
      <c r="C246" s="6" t="s">
        <v>2833</v>
      </c>
      <c r="D246" s="6">
        <v>5</v>
      </c>
    </row>
    <row r="247" spans="1:4" x14ac:dyDescent="0.25">
      <c r="A247" s="46" t="s">
        <v>1986</v>
      </c>
      <c r="B247" s="6">
        <f t="shared" si="7"/>
        <v>20</v>
      </c>
      <c r="C247" s="6" t="s">
        <v>2833</v>
      </c>
      <c r="D247" s="6">
        <v>5</v>
      </c>
    </row>
    <row r="248" spans="1:4" x14ac:dyDescent="0.25">
      <c r="A248" s="46" t="s">
        <v>1946</v>
      </c>
      <c r="B248" s="6">
        <f t="shared" si="7"/>
        <v>20</v>
      </c>
      <c r="C248" s="6" t="s">
        <v>2842</v>
      </c>
      <c r="D248" s="6">
        <v>5</v>
      </c>
    </row>
    <row r="249" spans="1:4" x14ac:dyDescent="0.25">
      <c r="A249" s="46" t="s">
        <v>1961</v>
      </c>
      <c r="B249" s="6">
        <f t="shared" si="7"/>
        <v>20</v>
      </c>
      <c r="C249" s="6" t="s">
        <v>941</v>
      </c>
      <c r="D249" s="6">
        <v>5</v>
      </c>
    </row>
    <row r="250" spans="1:4" x14ac:dyDescent="0.25">
      <c r="A250" s="46" t="s">
        <v>2047</v>
      </c>
      <c r="B250" s="6">
        <f t="shared" si="7"/>
        <v>20</v>
      </c>
      <c r="C250" s="6" t="s">
        <v>915</v>
      </c>
      <c r="D250" s="6">
        <v>7</v>
      </c>
    </row>
    <row r="251" spans="1:4" x14ac:dyDescent="0.25">
      <c r="A251" s="46" t="s">
        <v>2056</v>
      </c>
      <c r="B251" s="6">
        <f t="shared" si="7"/>
        <v>20</v>
      </c>
      <c r="C251" s="6" t="s">
        <v>915</v>
      </c>
      <c r="D251" s="6">
        <v>7</v>
      </c>
    </row>
    <row r="252" spans="1:4" x14ac:dyDescent="0.25">
      <c r="A252" s="46" t="s">
        <v>2051</v>
      </c>
      <c r="B252" s="6">
        <f t="shared" si="7"/>
        <v>20</v>
      </c>
      <c r="C252" s="6" t="s">
        <v>915</v>
      </c>
      <c r="D252" s="6">
        <v>7</v>
      </c>
    </row>
    <row r="253" spans="1:4" x14ac:dyDescent="0.25">
      <c r="A253" s="46" t="s">
        <v>2843</v>
      </c>
      <c r="B253" s="6">
        <f t="shared" si="7"/>
        <v>20</v>
      </c>
      <c r="C253" s="6" t="s">
        <v>915</v>
      </c>
      <c r="D253" s="6">
        <v>7</v>
      </c>
    </row>
    <row r="254" spans="1:4" x14ac:dyDescent="0.25">
      <c r="A254" s="46" t="s">
        <v>2844</v>
      </c>
      <c r="B254" s="6">
        <f t="shared" si="7"/>
        <v>20</v>
      </c>
      <c r="C254" s="6" t="s">
        <v>915</v>
      </c>
      <c r="D254" s="6">
        <v>7</v>
      </c>
    </row>
    <row r="255" spans="1:4" x14ac:dyDescent="0.25">
      <c r="A255" s="46" t="s">
        <v>2066</v>
      </c>
      <c r="B255" s="6">
        <f t="shared" si="7"/>
        <v>20</v>
      </c>
      <c r="C255" s="6" t="s">
        <v>915</v>
      </c>
      <c r="D255" s="6">
        <v>7</v>
      </c>
    </row>
    <row r="256" spans="1:4" x14ac:dyDescent="0.25">
      <c r="A256" s="46" t="s">
        <v>2061</v>
      </c>
      <c r="B256" s="6">
        <f t="shared" si="7"/>
        <v>20</v>
      </c>
      <c r="C256" s="6" t="s">
        <v>915</v>
      </c>
      <c r="D256" s="6">
        <v>7</v>
      </c>
    </row>
    <row r="257" spans="1:4" x14ac:dyDescent="0.25">
      <c r="A257" s="46" t="s">
        <v>2845</v>
      </c>
      <c r="B257" s="6">
        <f t="shared" si="7"/>
        <v>20</v>
      </c>
      <c r="C257" s="6" t="s">
        <v>915</v>
      </c>
      <c r="D257" s="6">
        <v>7</v>
      </c>
    </row>
    <row r="258" spans="1:4" x14ac:dyDescent="0.25">
      <c r="A258" s="46" t="s">
        <v>2081</v>
      </c>
      <c r="B258" s="6">
        <f t="shared" si="7"/>
        <v>22</v>
      </c>
      <c r="C258" s="6" t="s">
        <v>966</v>
      </c>
      <c r="D258" s="6">
        <v>5</v>
      </c>
    </row>
    <row r="259" spans="1:4" x14ac:dyDescent="0.25">
      <c r="A259" s="46" t="s">
        <v>2846</v>
      </c>
      <c r="B259" s="6">
        <f t="shared" si="7"/>
        <v>22</v>
      </c>
      <c r="C259" s="6" t="s">
        <v>966</v>
      </c>
      <c r="D259" s="6">
        <v>5</v>
      </c>
    </row>
    <row r="260" spans="1:4" x14ac:dyDescent="0.25">
      <c r="A260" s="46" t="s">
        <v>2846</v>
      </c>
      <c r="B260" s="6">
        <f t="shared" si="7"/>
        <v>22</v>
      </c>
      <c r="C260" s="6" t="s">
        <v>2847</v>
      </c>
      <c r="D260" s="6">
        <v>5</v>
      </c>
    </row>
    <row r="261" spans="1:4" x14ac:dyDescent="0.25">
      <c r="A261" s="46" t="s">
        <v>2076</v>
      </c>
      <c r="B261" s="6">
        <f t="shared" si="7"/>
        <v>22</v>
      </c>
      <c r="C261" s="6" t="s">
        <v>966</v>
      </c>
      <c r="D261" s="6">
        <v>5</v>
      </c>
    </row>
    <row r="262" spans="1:4" x14ac:dyDescent="0.25">
      <c r="A262" s="46" t="s">
        <v>2076</v>
      </c>
      <c r="B262" s="6">
        <f t="shared" si="7"/>
        <v>22</v>
      </c>
      <c r="C262" s="6" t="s">
        <v>2847</v>
      </c>
      <c r="D262" s="6">
        <v>5</v>
      </c>
    </row>
    <row r="263" spans="1:4" x14ac:dyDescent="0.25">
      <c r="A263" s="46" t="s">
        <v>2071</v>
      </c>
      <c r="B263" s="6">
        <f t="shared" si="7"/>
        <v>22</v>
      </c>
      <c r="C263" s="6" t="s">
        <v>941</v>
      </c>
      <c r="D263" s="6">
        <v>5</v>
      </c>
    </row>
    <row r="264" spans="1:4" x14ac:dyDescent="0.25">
      <c r="A264" s="46" t="s">
        <v>2071</v>
      </c>
      <c r="B264" s="6">
        <f t="shared" si="7"/>
        <v>22</v>
      </c>
      <c r="C264" s="6" t="s">
        <v>966</v>
      </c>
      <c r="D264" s="6">
        <v>5</v>
      </c>
    </row>
    <row r="265" spans="1:4" x14ac:dyDescent="0.25">
      <c r="A265" s="46" t="s">
        <v>2086</v>
      </c>
      <c r="B265" s="6">
        <f t="shared" si="7"/>
        <v>22</v>
      </c>
      <c r="C265" s="6" t="s">
        <v>941</v>
      </c>
      <c r="D265" s="6">
        <v>5</v>
      </c>
    </row>
    <row r="266" spans="1:4" x14ac:dyDescent="0.25">
      <c r="A266" s="46" t="s">
        <v>2086</v>
      </c>
      <c r="B266" s="6">
        <f t="shared" si="7"/>
        <v>22</v>
      </c>
      <c r="C266" s="6" t="s">
        <v>966</v>
      </c>
      <c r="D266" s="6">
        <v>5</v>
      </c>
    </row>
    <row r="267" spans="1:4" x14ac:dyDescent="0.25">
      <c r="A267" s="46" t="s">
        <v>2101</v>
      </c>
      <c r="B267" s="6">
        <f t="shared" si="7"/>
        <v>22</v>
      </c>
      <c r="C267" s="6" t="s">
        <v>966</v>
      </c>
      <c r="D267" s="6">
        <v>5</v>
      </c>
    </row>
    <row r="268" spans="1:4" x14ac:dyDescent="0.25">
      <c r="A268" s="46" t="s">
        <v>2848</v>
      </c>
      <c r="B268" s="6">
        <f t="shared" si="7"/>
        <v>22</v>
      </c>
      <c r="C268" s="6" t="s">
        <v>915</v>
      </c>
      <c r="D268" s="6">
        <v>7</v>
      </c>
    </row>
    <row r="269" spans="1:4" x14ac:dyDescent="0.25">
      <c r="A269" s="46" t="s">
        <v>2849</v>
      </c>
      <c r="B269" s="6">
        <f t="shared" si="7"/>
        <v>22</v>
      </c>
      <c r="C269" s="6" t="s">
        <v>915</v>
      </c>
      <c r="D269" s="6">
        <v>7</v>
      </c>
    </row>
    <row r="270" spans="1:4" x14ac:dyDescent="0.25">
      <c r="A270" s="46" t="s">
        <v>2136</v>
      </c>
      <c r="B270" s="6">
        <f t="shared" si="7"/>
        <v>22</v>
      </c>
      <c r="C270" s="6" t="s">
        <v>915</v>
      </c>
      <c r="D270" s="6">
        <v>7</v>
      </c>
    </row>
    <row r="271" spans="1:4" x14ac:dyDescent="0.25">
      <c r="A271" s="46" t="s">
        <v>2850</v>
      </c>
      <c r="B271" s="6">
        <v>22</v>
      </c>
      <c r="C271" s="6" t="s">
        <v>915</v>
      </c>
      <c r="D271" s="6">
        <v>7</v>
      </c>
    </row>
    <row r="272" spans="1:4" x14ac:dyDescent="0.25">
      <c r="A272" s="46" t="s">
        <v>2096</v>
      </c>
      <c r="B272" s="6">
        <f t="shared" ref="B272:B301" si="8">VALUE(_xlfn.TEXTAFTER(A272, ".", -1))</f>
        <v>22</v>
      </c>
      <c r="C272" s="6" t="s">
        <v>2847</v>
      </c>
      <c r="D272" s="6">
        <v>5</v>
      </c>
    </row>
    <row r="273" spans="1:4" x14ac:dyDescent="0.25">
      <c r="A273" s="46" t="s">
        <v>2851</v>
      </c>
      <c r="B273" s="6">
        <f t="shared" si="8"/>
        <v>22</v>
      </c>
      <c r="C273" s="6" t="s">
        <v>2847</v>
      </c>
      <c r="D273" s="6">
        <v>5</v>
      </c>
    </row>
    <row r="274" spans="1:4" x14ac:dyDescent="0.25">
      <c r="A274" s="46" t="s">
        <v>2091</v>
      </c>
      <c r="B274" s="6">
        <f t="shared" si="8"/>
        <v>22</v>
      </c>
      <c r="C274" s="6" t="s">
        <v>941</v>
      </c>
      <c r="D274" s="6">
        <v>5</v>
      </c>
    </row>
    <row r="275" spans="1:4" x14ac:dyDescent="0.25">
      <c r="A275" s="46" t="s">
        <v>2111</v>
      </c>
      <c r="B275" s="6">
        <f t="shared" si="8"/>
        <v>22</v>
      </c>
      <c r="C275" s="6" t="s">
        <v>915</v>
      </c>
      <c r="D275" s="6">
        <v>7</v>
      </c>
    </row>
    <row r="276" spans="1:4" x14ac:dyDescent="0.25">
      <c r="A276" s="46" t="s">
        <v>2106</v>
      </c>
      <c r="B276" s="6">
        <f t="shared" si="8"/>
        <v>22</v>
      </c>
      <c r="C276" s="6" t="s">
        <v>915</v>
      </c>
      <c r="D276" s="6">
        <v>7</v>
      </c>
    </row>
    <row r="277" spans="1:4" x14ac:dyDescent="0.25">
      <c r="A277" s="46" t="s">
        <v>2852</v>
      </c>
      <c r="B277" s="6">
        <f t="shared" si="8"/>
        <v>22</v>
      </c>
      <c r="C277" s="6" t="s">
        <v>915</v>
      </c>
      <c r="D277" s="6">
        <v>7</v>
      </c>
    </row>
    <row r="278" spans="1:4" x14ac:dyDescent="0.25">
      <c r="A278" s="46" t="s">
        <v>2853</v>
      </c>
      <c r="B278" s="6">
        <f t="shared" si="8"/>
        <v>22</v>
      </c>
      <c r="C278" s="6" t="s">
        <v>915</v>
      </c>
      <c r="D278" s="6">
        <v>7</v>
      </c>
    </row>
    <row r="279" spans="1:4" x14ac:dyDescent="0.25">
      <c r="A279" s="46" t="s">
        <v>2854</v>
      </c>
      <c r="B279" s="6">
        <f t="shared" si="8"/>
        <v>22</v>
      </c>
      <c r="C279" s="6" t="s">
        <v>915</v>
      </c>
      <c r="D279" s="6">
        <v>7</v>
      </c>
    </row>
    <row r="280" spans="1:4" x14ac:dyDescent="0.25">
      <c r="A280" s="46" t="s">
        <v>2855</v>
      </c>
      <c r="B280" s="6">
        <f t="shared" si="8"/>
        <v>22</v>
      </c>
      <c r="C280" s="6" t="s">
        <v>915</v>
      </c>
      <c r="D280" s="6">
        <v>7</v>
      </c>
    </row>
    <row r="281" spans="1:4" x14ac:dyDescent="0.25">
      <c r="A281" s="46" t="s">
        <v>2856</v>
      </c>
      <c r="B281" s="6">
        <f t="shared" si="8"/>
        <v>22</v>
      </c>
      <c r="C281" s="6" t="s">
        <v>915</v>
      </c>
      <c r="D281" s="6">
        <v>7</v>
      </c>
    </row>
    <row r="282" spans="1:4" x14ac:dyDescent="0.25">
      <c r="A282" s="46" t="s">
        <v>2857</v>
      </c>
      <c r="B282" s="6">
        <f t="shared" si="8"/>
        <v>22</v>
      </c>
      <c r="C282" s="6" t="s">
        <v>915</v>
      </c>
      <c r="D282" s="6">
        <v>7</v>
      </c>
    </row>
    <row r="283" spans="1:4" x14ac:dyDescent="0.25">
      <c r="A283" s="46" t="s">
        <v>2858</v>
      </c>
      <c r="B283" s="6">
        <f t="shared" si="8"/>
        <v>22</v>
      </c>
      <c r="C283" s="6" t="s">
        <v>915</v>
      </c>
      <c r="D283" s="6">
        <v>7</v>
      </c>
    </row>
    <row r="284" spans="1:4" x14ac:dyDescent="0.25">
      <c r="A284" s="46" t="s">
        <v>2859</v>
      </c>
      <c r="B284" s="6">
        <f t="shared" si="8"/>
        <v>22</v>
      </c>
      <c r="C284" s="6" t="s">
        <v>915</v>
      </c>
      <c r="D284" s="6">
        <v>7</v>
      </c>
    </row>
    <row r="285" spans="1:4" x14ac:dyDescent="0.25">
      <c r="A285" s="46" t="s">
        <v>2116</v>
      </c>
      <c r="B285" s="6">
        <f t="shared" si="8"/>
        <v>22</v>
      </c>
      <c r="C285" s="6" t="s">
        <v>915</v>
      </c>
      <c r="D285" s="6">
        <v>7</v>
      </c>
    </row>
    <row r="286" spans="1:4" x14ac:dyDescent="0.25">
      <c r="A286" s="46" t="s">
        <v>2161</v>
      </c>
      <c r="B286" s="6">
        <f t="shared" si="8"/>
        <v>24</v>
      </c>
      <c r="C286" s="6" t="s">
        <v>966</v>
      </c>
      <c r="D286" s="6">
        <v>5</v>
      </c>
    </row>
    <row r="287" spans="1:4" x14ac:dyDescent="0.25">
      <c r="A287" s="46" t="s">
        <v>2146</v>
      </c>
      <c r="B287" s="6">
        <f t="shared" si="8"/>
        <v>24</v>
      </c>
      <c r="C287" s="6" t="s">
        <v>966</v>
      </c>
      <c r="D287" s="6">
        <v>5</v>
      </c>
    </row>
    <row r="288" spans="1:4" x14ac:dyDescent="0.25">
      <c r="A288" s="46" t="s">
        <v>2146</v>
      </c>
      <c r="B288" s="6">
        <f t="shared" si="8"/>
        <v>24</v>
      </c>
      <c r="C288" s="6" t="s">
        <v>2847</v>
      </c>
      <c r="D288" s="6">
        <v>5</v>
      </c>
    </row>
    <row r="289" spans="1:4" x14ac:dyDescent="0.25">
      <c r="A289" s="46" t="s">
        <v>2199</v>
      </c>
      <c r="B289" s="6">
        <f t="shared" si="8"/>
        <v>24</v>
      </c>
      <c r="C289" s="6" t="s">
        <v>966</v>
      </c>
      <c r="D289" s="6">
        <v>5</v>
      </c>
    </row>
    <row r="290" spans="1:4" x14ac:dyDescent="0.25">
      <c r="A290" s="46" t="s">
        <v>2199</v>
      </c>
      <c r="B290" s="6">
        <f t="shared" si="8"/>
        <v>24</v>
      </c>
      <c r="C290" s="6" t="s">
        <v>2847</v>
      </c>
      <c r="D290" s="6">
        <v>5</v>
      </c>
    </row>
    <row r="291" spans="1:4" x14ac:dyDescent="0.25">
      <c r="A291" s="46" t="s">
        <v>2860</v>
      </c>
      <c r="B291" s="6">
        <f t="shared" si="8"/>
        <v>24</v>
      </c>
      <c r="C291" s="6" t="s">
        <v>2861</v>
      </c>
      <c r="D291" s="6">
        <v>7</v>
      </c>
    </row>
    <row r="292" spans="1:4" x14ac:dyDescent="0.25">
      <c r="A292" s="46" t="s">
        <v>2189</v>
      </c>
      <c r="B292" s="6">
        <f t="shared" si="8"/>
        <v>24</v>
      </c>
      <c r="C292" s="6" t="s">
        <v>2861</v>
      </c>
      <c r="D292" s="6">
        <v>7</v>
      </c>
    </row>
    <row r="293" spans="1:4" x14ac:dyDescent="0.25">
      <c r="A293" s="46" t="s">
        <v>2184</v>
      </c>
      <c r="B293" s="6">
        <f t="shared" si="8"/>
        <v>24</v>
      </c>
      <c r="C293" s="6" t="s">
        <v>2861</v>
      </c>
      <c r="D293" s="6">
        <v>7</v>
      </c>
    </row>
    <row r="294" spans="1:4" x14ac:dyDescent="0.25">
      <c r="A294" s="46" t="s">
        <v>2862</v>
      </c>
      <c r="B294" s="6">
        <f t="shared" si="8"/>
        <v>24</v>
      </c>
      <c r="C294" s="6" t="s">
        <v>2861</v>
      </c>
      <c r="D294" s="6">
        <v>7</v>
      </c>
    </row>
    <row r="295" spans="1:4" x14ac:dyDescent="0.25">
      <c r="A295" s="46" t="s">
        <v>2863</v>
      </c>
      <c r="B295" s="6">
        <f t="shared" si="8"/>
        <v>24</v>
      </c>
      <c r="C295" s="6" t="s">
        <v>2861</v>
      </c>
      <c r="D295" s="6">
        <v>7</v>
      </c>
    </row>
    <row r="296" spans="1:4" x14ac:dyDescent="0.25">
      <c r="A296" s="46" t="s">
        <v>2864</v>
      </c>
      <c r="B296" s="6">
        <f t="shared" si="8"/>
        <v>24</v>
      </c>
      <c r="C296" s="6" t="s">
        <v>2861</v>
      </c>
      <c r="D296" s="6">
        <v>7</v>
      </c>
    </row>
    <row r="297" spans="1:4" x14ac:dyDescent="0.25">
      <c r="A297" s="46" t="s">
        <v>2213</v>
      </c>
      <c r="B297" s="6">
        <f t="shared" si="8"/>
        <v>24</v>
      </c>
      <c r="C297" s="6" t="s">
        <v>966</v>
      </c>
      <c r="D297" s="6">
        <v>5</v>
      </c>
    </row>
    <row r="298" spans="1:4" x14ac:dyDescent="0.25">
      <c r="A298" s="46" t="s">
        <v>2865</v>
      </c>
      <c r="B298" s="6">
        <f t="shared" si="8"/>
        <v>24</v>
      </c>
      <c r="C298" s="6" t="s">
        <v>2861</v>
      </c>
      <c r="D298" s="6">
        <v>7</v>
      </c>
    </row>
    <row r="299" spans="1:4" x14ac:dyDescent="0.25">
      <c r="A299" s="46" t="s">
        <v>2194</v>
      </c>
      <c r="B299" s="6">
        <f t="shared" si="8"/>
        <v>24</v>
      </c>
      <c r="C299" s="6" t="s">
        <v>1001</v>
      </c>
      <c r="D299" s="6">
        <v>7</v>
      </c>
    </row>
    <row r="300" spans="1:4" x14ac:dyDescent="0.25">
      <c r="A300" s="46" t="s">
        <v>2226</v>
      </c>
      <c r="B300" s="6">
        <f t="shared" si="8"/>
        <v>24</v>
      </c>
      <c r="C300" s="6" t="s">
        <v>1001</v>
      </c>
      <c r="D300" s="6">
        <v>7</v>
      </c>
    </row>
    <row r="301" spans="1:4" x14ac:dyDescent="0.25">
      <c r="A301" s="46" t="s">
        <v>2231</v>
      </c>
      <c r="B301" s="6">
        <f t="shared" si="8"/>
        <v>24</v>
      </c>
      <c r="C301" s="6" t="s">
        <v>1001</v>
      </c>
      <c r="D301" s="6">
        <v>7</v>
      </c>
    </row>
    <row r="302" spans="1:4" x14ac:dyDescent="0.25">
      <c r="A302" s="46" t="s">
        <v>2866</v>
      </c>
      <c r="B302" s="6">
        <v>24</v>
      </c>
      <c r="C302" s="6" t="s">
        <v>1001</v>
      </c>
      <c r="D302" s="6">
        <v>7</v>
      </c>
    </row>
    <row r="303" spans="1:4" x14ac:dyDescent="0.25">
      <c r="A303" s="46" t="s">
        <v>2156</v>
      </c>
      <c r="B303" s="6">
        <f t="shared" ref="B303:B315" si="9">VALUE(_xlfn.TEXTAFTER(A303, ".", -1))</f>
        <v>24</v>
      </c>
      <c r="C303" s="6" t="s">
        <v>2847</v>
      </c>
      <c r="D303" s="6">
        <v>5</v>
      </c>
    </row>
    <row r="304" spans="1:4" x14ac:dyDescent="0.25">
      <c r="A304" s="46" t="s">
        <v>2204</v>
      </c>
      <c r="B304" s="6">
        <f t="shared" si="9"/>
        <v>24</v>
      </c>
      <c r="C304" s="6" t="s">
        <v>2847</v>
      </c>
      <c r="D304" s="6">
        <v>5</v>
      </c>
    </row>
    <row r="305" spans="1:4" x14ac:dyDescent="0.25">
      <c r="A305" s="46" t="s">
        <v>2151</v>
      </c>
      <c r="B305" s="6">
        <f t="shared" si="9"/>
        <v>24</v>
      </c>
      <c r="C305" s="6" t="s">
        <v>2842</v>
      </c>
      <c r="D305" s="6">
        <v>5</v>
      </c>
    </row>
    <row r="306" spans="1:4" x14ac:dyDescent="0.25">
      <c r="A306" s="46" t="s">
        <v>2860</v>
      </c>
      <c r="B306" s="6">
        <f t="shared" si="9"/>
        <v>24</v>
      </c>
      <c r="C306" s="6" t="s">
        <v>2867</v>
      </c>
      <c r="D306" s="6">
        <v>7</v>
      </c>
    </row>
    <row r="307" spans="1:4" x14ac:dyDescent="0.25">
      <c r="A307" s="46" t="s">
        <v>2189</v>
      </c>
      <c r="B307" s="6">
        <f t="shared" si="9"/>
        <v>24</v>
      </c>
      <c r="C307" s="6" t="s">
        <v>2867</v>
      </c>
      <c r="D307" s="6">
        <v>7</v>
      </c>
    </row>
    <row r="308" spans="1:4" x14ac:dyDescent="0.25">
      <c r="A308" s="46" t="s">
        <v>2184</v>
      </c>
      <c r="B308" s="6">
        <f t="shared" si="9"/>
        <v>24</v>
      </c>
      <c r="C308" s="6" t="s">
        <v>2867</v>
      </c>
      <c r="D308" s="6">
        <v>7</v>
      </c>
    </row>
    <row r="309" spans="1:4" x14ac:dyDescent="0.25">
      <c r="A309" s="46" t="s">
        <v>2862</v>
      </c>
      <c r="B309" s="6">
        <f t="shared" si="9"/>
        <v>24</v>
      </c>
      <c r="C309" s="6" t="s">
        <v>2867</v>
      </c>
      <c r="D309" s="6">
        <v>7</v>
      </c>
    </row>
    <row r="310" spans="1:4" x14ac:dyDescent="0.25">
      <c r="A310" s="46" t="s">
        <v>2863</v>
      </c>
      <c r="B310" s="6">
        <f t="shared" si="9"/>
        <v>24</v>
      </c>
      <c r="C310" s="6" t="s">
        <v>2867</v>
      </c>
      <c r="D310" s="6">
        <v>7</v>
      </c>
    </row>
    <row r="311" spans="1:4" x14ac:dyDescent="0.25">
      <c r="A311" s="46" t="s">
        <v>2864</v>
      </c>
      <c r="B311" s="6">
        <f t="shared" si="9"/>
        <v>24</v>
      </c>
      <c r="C311" s="6" t="s">
        <v>2867</v>
      </c>
      <c r="D311" s="6">
        <v>7</v>
      </c>
    </row>
    <row r="312" spans="1:4" x14ac:dyDescent="0.25">
      <c r="A312" s="46" t="s">
        <v>2865</v>
      </c>
      <c r="B312" s="6">
        <f t="shared" si="9"/>
        <v>24</v>
      </c>
      <c r="C312" s="6" t="s">
        <v>2867</v>
      </c>
      <c r="D312" s="6">
        <v>7</v>
      </c>
    </row>
    <row r="313" spans="1:4" x14ac:dyDescent="0.25">
      <c r="A313" s="46" t="s">
        <v>2194</v>
      </c>
      <c r="B313" s="6">
        <f t="shared" si="9"/>
        <v>24</v>
      </c>
      <c r="C313" s="6" t="s">
        <v>2867</v>
      </c>
      <c r="D313" s="6">
        <v>7</v>
      </c>
    </row>
    <row r="314" spans="1:4" x14ac:dyDescent="0.25">
      <c r="A314" s="46" t="s">
        <v>2226</v>
      </c>
      <c r="B314" s="6">
        <f t="shared" si="9"/>
        <v>24</v>
      </c>
      <c r="C314" s="6" t="s">
        <v>2867</v>
      </c>
      <c r="D314" s="6">
        <v>7</v>
      </c>
    </row>
    <row r="315" spans="1:4" x14ac:dyDescent="0.25">
      <c r="A315" s="46" t="s">
        <v>2231</v>
      </c>
      <c r="B315" s="6">
        <f t="shared" si="9"/>
        <v>24</v>
      </c>
      <c r="C315" s="6" t="s">
        <v>2867</v>
      </c>
      <c r="D315" s="6">
        <v>7</v>
      </c>
    </row>
    <row r="316" spans="1:4" x14ac:dyDescent="0.25">
      <c r="A316" s="46" t="s">
        <v>2866</v>
      </c>
      <c r="B316" s="6">
        <v>24</v>
      </c>
      <c r="C316" s="6" t="s">
        <v>2867</v>
      </c>
      <c r="D316" s="6">
        <v>7</v>
      </c>
    </row>
    <row r="317" spans="1:4" x14ac:dyDescent="0.25">
      <c r="A317" s="46" t="s">
        <v>2241</v>
      </c>
      <c r="B317" s="6">
        <f t="shared" ref="B317:B338" si="10">VALUE(_xlfn.TEXTAFTER(A317, ".", -1))</f>
        <v>24</v>
      </c>
      <c r="C317" s="6" t="s">
        <v>1001</v>
      </c>
      <c r="D317" s="6">
        <v>7</v>
      </c>
    </row>
    <row r="318" spans="1:4" x14ac:dyDescent="0.25">
      <c r="A318" s="46" t="s">
        <v>2250</v>
      </c>
      <c r="B318" s="6">
        <f t="shared" si="10"/>
        <v>24</v>
      </c>
      <c r="C318" s="6" t="s">
        <v>1001</v>
      </c>
      <c r="D318" s="6">
        <v>7</v>
      </c>
    </row>
    <row r="319" spans="1:4" x14ac:dyDescent="0.25">
      <c r="A319" s="46" t="s">
        <v>2245</v>
      </c>
      <c r="B319" s="6">
        <f t="shared" si="10"/>
        <v>24</v>
      </c>
      <c r="C319" s="6" t="s">
        <v>1001</v>
      </c>
      <c r="D319" s="6">
        <v>7</v>
      </c>
    </row>
    <row r="320" spans="1:4" x14ac:dyDescent="0.25">
      <c r="A320" s="46" t="s">
        <v>2868</v>
      </c>
      <c r="B320" s="6">
        <f t="shared" si="10"/>
        <v>24</v>
      </c>
      <c r="C320" s="6" t="s">
        <v>1001</v>
      </c>
      <c r="D320" s="6">
        <v>7</v>
      </c>
    </row>
    <row r="321" spans="1:4" x14ac:dyDescent="0.25">
      <c r="A321" s="46" t="s">
        <v>2869</v>
      </c>
      <c r="B321" s="6">
        <f t="shared" si="10"/>
        <v>24</v>
      </c>
      <c r="C321" s="6" t="s">
        <v>1001</v>
      </c>
      <c r="D321" s="6">
        <v>7</v>
      </c>
    </row>
    <row r="322" spans="1:4" x14ac:dyDescent="0.25">
      <c r="A322" s="46" t="s">
        <v>2259</v>
      </c>
      <c r="B322" s="6">
        <f t="shared" si="10"/>
        <v>24</v>
      </c>
      <c r="C322" s="6" t="s">
        <v>1001</v>
      </c>
      <c r="D322" s="6">
        <v>7</v>
      </c>
    </row>
    <row r="323" spans="1:4" x14ac:dyDescent="0.25">
      <c r="A323" s="46" t="s">
        <v>2254</v>
      </c>
      <c r="B323" s="6">
        <f t="shared" si="10"/>
        <v>24</v>
      </c>
      <c r="C323" s="6" t="s">
        <v>1001</v>
      </c>
      <c r="D323" s="6">
        <v>7</v>
      </c>
    </row>
    <row r="324" spans="1:4" x14ac:dyDescent="0.25">
      <c r="A324" s="46" t="s">
        <v>2870</v>
      </c>
      <c r="B324" s="6">
        <f t="shared" si="10"/>
        <v>24</v>
      </c>
      <c r="C324" s="6" t="s">
        <v>1001</v>
      </c>
      <c r="D324" s="6">
        <v>7</v>
      </c>
    </row>
    <row r="325" spans="1:4" x14ac:dyDescent="0.25">
      <c r="A325" s="46" t="s">
        <v>2274</v>
      </c>
      <c r="B325" s="6">
        <f t="shared" si="10"/>
        <v>26</v>
      </c>
      <c r="C325" s="6" t="s">
        <v>2871</v>
      </c>
      <c r="D325" s="6">
        <v>5</v>
      </c>
    </row>
    <row r="326" spans="1:4" x14ac:dyDescent="0.25">
      <c r="A326" s="46" t="s">
        <v>2293</v>
      </c>
      <c r="B326" s="6">
        <f t="shared" si="10"/>
        <v>26</v>
      </c>
      <c r="C326" s="6" t="s">
        <v>2872</v>
      </c>
      <c r="D326" s="6">
        <v>5</v>
      </c>
    </row>
    <row r="327" spans="1:4" x14ac:dyDescent="0.25">
      <c r="A327" s="46" t="s">
        <v>2293</v>
      </c>
      <c r="B327" s="6">
        <f t="shared" si="10"/>
        <v>26</v>
      </c>
      <c r="C327" s="6" t="s">
        <v>2871</v>
      </c>
      <c r="D327" s="6">
        <v>5</v>
      </c>
    </row>
    <row r="328" spans="1:4" x14ac:dyDescent="0.25">
      <c r="A328" s="46" t="s">
        <v>2279</v>
      </c>
      <c r="B328" s="6">
        <f t="shared" si="10"/>
        <v>26</v>
      </c>
      <c r="C328" s="6" t="s">
        <v>2872</v>
      </c>
      <c r="D328" s="6">
        <v>5</v>
      </c>
    </row>
    <row r="329" spans="1:4" x14ac:dyDescent="0.25">
      <c r="A329" s="46" t="s">
        <v>2279</v>
      </c>
      <c r="B329" s="6">
        <f t="shared" si="10"/>
        <v>26</v>
      </c>
      <c r="C329" s="6" t="s">
        <v>2871</v>
      </c>
      <c r="D329" s="6">
        <v>5</v>
      </c>
    </row>
    <row r="330" spans="1:4" x14ac:dyDescent="0.25">
      <c r="A330" s="46" t="s">
        <v>2331</v>
      </c>
      <c r="B330" s="6">
        <f t="shared" si="10"/>
        <v>26</v>
      </c>
      <c r="C330" s="6" t="s">
        <v>2873</v>
      </c>
      <c r="D330" s="6">
        <v>7</v>
      </c>
    </row>
    <row r="331" spans="1:4" x14ac:dyDescent="0.25">
      <c r="A331" s="46" t="s">
        <v>2303</v>
      </c>
      <c r="B331" s="6">
        <f t="shared" si="10"/>
        <v>26</v>
      </c>
      <c r="C331" s="6" t="s">
        <v>1068</v>
      </c>
      <c r="D331" s="6">
        <v>7</v>
      </c>
    </row>
    <row r="332" spans="1:4" x14ac:dyDescent="0.25">
      <c r="A332" s="46" t="s">
        <v>2298</v>
      </c>
      <c r="B332" s="6">
        <f t="shared" si="10"/>
        <v>26</v>
      </c>
      <c r="C332" s="6" t="s">
        <v>1068</v>
      </c>
      <c r="D332" s="6">
        <v>7</v>
      </c>
    </row>
    <row r="333" spans="1:4" x14ac:dyDescent="0.25">
      <c r="A333" s="46" t="s">
        <v>2326</v>
      </c>
      <c r="B333" s="6">
        <f t="shared" si="10"/>
        <v>26</v>
      </c>
      <c r="C333" s="6" t="s">
        <v>1068</v>
      </c>
      <c r="D333" s="6">
        <v>7</v>
      </c>
    </row>
    <row r="334" spans="1:4" x14ac:dyDescent="0.25">
      <c r="A334" s="46" t="s">
        <v>2288</v>
      </c>
      <c r="B334" s="6">
        <f t="shared" si="10"/>
        <v>26</v>
      </c>
      <c r="C334" s="6" t="s">
        <v>2871</v>
      </c>
      <c r="D334" s="6">
        <v>5</v>
      </c>
    </row>
    <row r="335" spans="1:4" x14ac:dyDescent="0.25">
      <c r="A335" s="46" t="s">
        <v>2874</v>
      </c>
      <c r="B335" s="6">
        <f t="shared" si="10"/>
        <v>26</v>
      </c>
      <c r="C335" s="6" t="s">
        <v>1068</v>
      </c>
      <c r="D335" s="6">
        <v>7</v>
      </c>
    </row>
    <row r="336" spans="1:4" x14ac:dyDescent="0.25">
      <c r="A336" s="46" t="s">
        <v>2313</v>
      </c>
      <c r="B336" s="6">
        <f t="shared" si="10"/>
        <v>26</v>
      </c>
      <c r="C336" s="6" t="s">
        <v>1068</v>
      </c>
      <c r="D336" s="6">
        <v>7</v>
      </c>
    </row>
    <row r="337" spans="1:4" x14ac:dyDescent="0.25">
      <c r="A337" s="46" t="s">
        <v>2340</v>
      </c>
      <c r="B337" s="6">
        <f t="shared" si="10"/>
        <v>26</v>
      </c>
      <c r="C337" s="6" t="s">
        <v>1068</v>
      </c>
      <c r="D337" s="6">
        <v>7</v>
      </c>
    </row>
    <row r="338" spans="1:4" x14ac:dyDescent="0.25">
      <c r="A338" s="46" t="s">
        <v>2345</v>
      </c>
      <c r="B338" s="6">
        <f t="shared" si="10"/>
        <v>26</v>
      </c>
      <c r="C338" s="6" t="s">
        <v>1068</v>
      </c>
      <c r="D338" s="6">
        <v>7</v>
      </c>
    </row>
    <row r="339" spans="1:4" x14ac:dyDescent="0.25">
      <c r="A339" s="46" t="s">
        <v>2875</v>
      </c>
      <c r="B339" s="6">
        <v>26</v>
      </c>
      <c r="C339" s="6" t="s">
        <v>1068</v>
      </c>
      <c r="D339" s="6">
        <v>7</v>
      </c>
    </row>
    <row r="340" spans="1:4" x14ac:dyDescent="0.25">
      <c r="A340" s="46" t="s">
        <v>2269</v>
      </c>
      <c r="B340" s="6">
        <f t="shared" ref="B340:B350" si="11">VALUE(_xlfn.TEXTAFTER(A340, ".", -1))</f>
        <v>26</v>
      </c>
      <c r="C340" s="6" t="s">
        <v>2872</v>
      </c>
      <c r="D340" s="6">
        <v>5</v>
      </c>
    </row>
    <row r="341" spans="1:4" x14ac:dyDescent="0.25">
      <c r="A341" s="46" t="s">
        <v>2876</v>
      </c>
      <c r="B341" s="6">
        <f t="shared" si="11"/>
        <v>26</v>
      </c>
      <c r="C341" s="6" t="s">
        <v>2872</v>
      </c>
      <c r="D341" s="6">
        <v>5</v>
      </c>
    </row>
    <row r="342" spans="1:4" x14ac:dyDescent="0.25">
      <c r="A342" s="46" t="s">
        <v>2264</v>
      </c>
      <c r="B342" s="6">
        <f t="shared" si="11"/>
        <v>26</v>
      </c>
      <c r="C342" s="6" t="s">
        <v>2877</v>
      </c>
      <c r="D342" s="6">
        <v>5</v>
      </c>
    </row>
    <row r="343" spans="1:4" x14ac:dyDescent="0.25">
      <c r="A343" s="46" t="s">
        <v>2331</v>
      </c>
      <c r="B343" s="6">
        <f t="shared" si="11"/>
        <v>26</v>
      </c>
      <c r="C343" s="6" t="s">
        <v>2867</v>
      </c>
      <c r="D343" s="6">
        <v>7</v>
      </c>
    </row>
    <row r="344" spans="1:4" x14ac:dyDescent="0.25">
      <c r="A344" s="46" t="s">
        <v>2303</v>
      </c>
      <c r="B344" s="6">
        <f t="shared" si="11"/>
        <v>26</v>
      </c>
      <c r="C344" s="6" t="s">
        <v>2867</v>
      </c>
      <c r="D344" s="6">
        <v>7</v>
      </c>
    </row>
    <row r="345" spans="1:4" x14ac:dyDescent="0.25">
      <c r="A345" s="46" t="s">
        <v>2298</v>
      </c>
      <c r="B345" s="6">
        <f t="shared" si="11"/>
        <v>26</v>
      </c>
      <c r="C345" s="6" t="s">
        <v>2867</v>
      </c>
      <c r="D345" s="6">
        <v>7</v>
      </c>
    </row>
    <row r="346" spans="1:4" x14ac:dyDescent="0.25">
      <c r="A346" s="46" t="s">
        <v>2326</v>
      </c>
      <c r="B346" s="6">
        <f t="shared" si="11"/>
        <v>26</v>
      </c>
      <c r="C346" s="6" t="s">
        <v>2867</v>
      </c>
      <c r="D346" s="6">
        <v>7</v>
      </c>
    </row>
    <row r="347" spans="1:4" x14ac:dyDescent="0.25">
      <c r="A347" s="46" t="s">
        <v>2874</v>
      </c>
      <c r="B347" s="6">
        <f t="shared" si="11"/>
        <v>26</v>
      </c>
      <c r="C347" s="6" t="s">
        <v>2867</v>
      </c>
      <c r="D347" s="6">
        <v>7</v>
      </c>
    </row>
    <row r="348" spans="1:4" x14ac:dyDescent="0.25">
      <c r="A348" s="46" t="s">
        <v>2313</v>
      </c>
      <c r="B348" s="6">
        <f t="shared" si="11"/>
        <v>26</v>
      </c>
      <c r="C348" s="6" t="s">
        <v>2867</v>
      </c>
      <c r="D348" s="6">
        <v>7</v>
      </c>
    </row>
    <row r="349" spans="1:4" x14ac:dyDescent="0.25">
      <c r="A349" s="46" t="s">
        <v>2340</v>
      </c>
      <c r="B349" s="6">
        <f t="shared" si="11"/>
        <v>26</v>
      </c>
      <c r="C349" s="6" t="s">
        <v>2867</v>
      </c>
      <c r="D349" s="6">
        <v>7</v>
      </c>
    </row>
    <row r="350" spans="1:4" x14ac:dyDescent="0.25">
      <c r="A350" s="46" t="s">
        <v>2345</v>
      </c>
      <c r="B350" s="6">
        <f t="shared" si="11"/>
        <v>26</v>
      </c>
      <c r="C350" s="6" t="s">
        <v>2867</v>
      </c>
      <c r="D350" s="6">
        <v>7</v>
      </c>
    </row>
    <row r="351" spans="1:4" x14ac:dyDescent="0.25">
      <c r="A351" s="46" t="s">
        <v>2875</v>
      </c>
      <c r="B351" s="6">
        <v>26</v>
      </c>
      <c r="C351" s="6" t="s">
        <v>2867</v>
      </c>
      <c r="D351" s="6">
        <v>7</v>
      </c>
    </row>
    <row r="352" spans="1:4" x14ac:dyDescent="0.25">
      <c r="A352" s="46" t="s">
        <v>2878</v>
      </c>
      <c r="B352" s="6">
        <f t="shared" ref="B352:B381" si="12">VALUE(_xlfn.TEXTAFTER(A352, ".", -1))</f>
        <v>26</v>
      </c>
      <c r="C352" s="6" t="s">
        <v>1068</v>
      </c>
      <c r="D352" s="6">
        <v>7</v>
      </c>
    </row>
    <row r="353" spans="1:4" x14ac:dyDescent="0.25">
      <c r="A353" s="46" t="s">
        <v>2879</v>
      </c>
      <c r="B353" s="6">
        <f t="shared" si="12"/>
        <v>26</v>
      </c>
      <c r="C353" s="6" t="s">
        <v>1068</v>
      </c>
      <c r="D353" s="6">
        <v>7</v>
      </c>
    </row>
    <row r="354" spans="1:4" x14ac:dyDescent="0.25">
      <c r="A354" s="46" t="s">
        <v>2880</v>
      </c>
      <c r="B354" s="6">
        <f t="shared" si="12"/>
        <v>26</v>
      </c>
      <c r="C354" s="6" t="s">
        <v>1068</v>
      </c>
      <c r="D354" s="6">
        <v>7</v>
      </c>
    </row>
    <row r="355" spans="1:4" x14ac:dyDescent="0.25">
      <c r="A355" s="46" t="s">
        <v>2881</v>
      </c>
      <c r="B355" s="6">
        <f t="shared" si="12"/>
        <v>26</v>
      </c>
      <c r="C355" s="6" t="s">
        <v>1068</v>
      </c>
      <c r="D355" s="6">
        <v>7</v>
      </c>
    </row>
    <row r="356" spans="1:4" x14ac:dyDescent="0.25">
      <c r="A356" s="46" t="s">
        <v>2882</v>
      </c>
      <c r="B356" s="6">
        <f t="shared" si="12"/>
        <v>26</v>
      </c>
      <c r="C356" s="6" t="s">
        <v>1068</v>
      </c>
      <c r="D356" s="6">
        <v>7</v>
      </c>
    </row>
    <row r="357" spans="1:4" x14ac:dyDescent="0.25">
      <c r="A357" s="46" t="s">
        <v>2883</v>
      </c>
      <c r="B357" s="6">
        <f t="shared" si="12"/>
        <v>26</v>
      </c>
      <c r="C357" s="6" t="s">
        <v>1068</v>
      </c>
      <c r="D357" s="6">
        <v>7</v>
      </c>
    </row>
    <row r="358" spans="1:4" x14ac:dyDescent="0.25">
      <c r="A358" s="46" t="s">
        <v>2884</v>
      </c>
      <c r="B358" s="6">
        <f t="shared" si="12"/>
        <v>26</v>
      </c>
      <c r="C358" s="6" t="s">
        <v>1068</v>
      </c>
      <c r="D358" s="6">
        <v>7</v>
      </c>
    </row>
    <row r="359" spans="1:4" x14ac:dyDescent="0.25">
      <c r="A359" s="46" t="s">
        <v>2885</v>
      </c>
      <c r="B359" s="6">
        <f t="shared" si="12"/>
        <v>26</v>
      </c>
      <c r="C359" s="6" t="s">
        <v>1068</v>
      </c>
      <c r="D359" s="6">
        <v>7</v>
      </c>
    </row>
    <row r="360" spans="1:4" x14ac:dyDescent="0.25">
      <c r="A360" s="46" t="s">
        <v>2886</v>
      </c>
      <c r="B360" s="6">
        <f t="shared" si="12"/>
        <v>28</v>
      </c>
      <c r="C360" s="6" t="s">
        <v>2871</v>
      </c>
      <c r="D360" s="6">
        <v>5</v>
      </c>
    </row>
    <row r="361" spans="1:4" x14ac:dyDescent="0.25">
      <c r="A361" s="46" t="s">
        <v>2887</v>
      </c>
      <c r="B361" s="6">
        <f t="shared" si="12"/>
        <v>28</v>
      </c>
      <c r="C361" s="6" t="s">
        <v>2871</v>
      </c>
      <c r="D361" s="6">
        <v>5</v>
      </c>
    </row>
    <row r="362" spans="1:4" x14ac:dyDescent="0.25">
      <c r="A362" s="46" t="s">
        <v>2887</v>
      </c>
      <c r="B362" s="6">
        <f t="shared" si="12"/>
        <v>28</v>
      </c>
      <c r="C362" s="6" t="s">
        <v>2888</v>
      </c>
      <c r="D362" s="6">
        <v>5</v>
      </c>
    </row>
    <row r="363" spans="1:4" x14ac:dyDescent="0.25">
      <c r="A363" s="46" t="s">
        <v>2365</v>
      </c>
      <c r="B363" s="6">
        <f t="shared" si="12"/>
        <v>28</v>
      </c>
      <c r="C363" s="6" t="s">
        <v>2871</v>
      </c>
      <c r="D363" s="6">
        <v>5</v>
      </c>
    </row>
    <row r="364" spans="1:4" x14ac:dyDescent="0.25">
      <c r="A364" s="46" t="s">
        <v>2365</v>
      </c>
      <c r="B364" s="6">
        <f t="shared" si="12"/>
        <v>28</v>
      </c>
      <c r="C364" s="6" t="s">
        <v>2888</v>
      </c>
      <c r="D364" s="6">
        <v>5</v>
      </c>
    </row>
    <row r="365" spans="1:4" x14ac:dyDescent="0.25">
      <c r="A365" s="46" t="s">
        <v>2355</v>
      </c>
      <c r="B365" s="6">
        <f t="shared" si="12"/>
        <v>28</v>
      </c>
      <c r="C365" s="6" t="s">
        <v>2871</v>
      </c>
      <c r="D365" s="6">
        <v>5</v>
      </c>
    </row>
    <row r="366" spans="1:4" x14ac:dyDescent="0.25">
      <c r="A366" s="46" t="s">
        <v>2360</v>
      </c>
      <c r="B366" s="6">
        <f t="shared" si="12"/>
        <v>28</v>
      </c>
      <c r="C366" s="6" t="s">
        <v>2888</v>
      </c>
      <c r="D366" s="6">
        <v>5</v>
      </c>
    </row>
    <row r="367" spans="1:4" x14ac:dyDescent="0.25">
      <c r="A367" s="46" t="s">
        <v>2350</v>
      </c>
      <c r="B367" s="6">
        <f t="shared" si="12"/>
        <v>28</v>
      </c>
      <c r="C367" s="6" t="s">
        <v>2877</v>
      </c>
      <c r="D367" s="6">
        <v>5</v>
      </c>
    </row>
    <row r="368" spans="1:4" x14ac:dyDescent="0.25">
      <c r="A368" s="46" t="s">
        <v>2384</v>
      </c>
      <c r="B368" s="6">
        <f t="shared" si="12"/>
        <v>30</v>
      </c>
      <c r="C368" s="6" t="s">
        <v>2871</v>
      </c>
      <c r="D368" s="6">
        <v>5</v>
      </c>
    </row>
    <row r="369" spans="1:4" x14ac:dyDescent="0.25">
      <c r="A369" s="46" t="s">
        <v>2389</v>
      </c>
      <c r="B369" s="6">
        <f t="shared" si="12"/>
        <v>30</v>
      </c>
      <c r="C369" s="6" t="s">
        <v>2871</v>
      </c>
      <c r="D369" s="6">
        <v>5</v>
      </c>
    </row>
    <row r="370" spans="1:4" x14ac:dyDescent="0.25">
      <c r="A370" s="46" t="s">
        <v>2389</v>
      </c>
      <c r="B370" s="6">
        <f t="shared" si="12"/>
        <v>30</v>
      </c>
      <c r="C370" s="6" t="s">
        <v>2888</v>
      </c>
      <c r="D370" s="6">
        <v>5</v>
      </c>
    </row>
    <row r="371" spans="1:4" x14ac:dyDescent="0.25">
      <c r="A371" s="46" t="s">
        <v>2394</v>
      </c>
      <c r="B371" s="6">
        <f t="shared" si="12"/>
        <v>30</v>
      </c>
      <c r="C371" s="6" t="s">
        <v>2871</v>
      </c>
      <c r="D371" s="6">
        <v>5</v>
      </c>
    </row>
    <row r="372" spans="1:4" x14ac:dyDescent="0.25">
      <c r="A372" s="46" t="s">
        <v>2394</v>
      </c>
      <c r="B372" s="6">
        <f t="shared" si="12"/>
        <v>30</v>
      </c>
      <c r="C372" s="6" t="s">
        <v>2888</v>
      </c>
      <c r="D372" s="6">
        <v>5</v>
      </c>
    </row>
    <row r="373" spans="1:4" x14ac:dyDescent="0.25">
      <c r="A373" s="46" t="s">
        <v>2889</v>
      </c>
      <c r="B373" s="6">
        <f t="shared" si="12"/>
        <v>30</v>
      </c>
      <c r="C373" s="6" t="s">
        <v>1086</v>
      </c>
      <c r="D373" s="6">
        <v>7</v>
      </c>
    </row>
    <row r="374" spans="1:4" x14ac:dyDescent="0.25">
      <c r="A374" s="46" t="s">
        <v>2431</v>
      </c>
      <c r="B374" s="6">
        <f t="shared" si="12"/>
        <v>30</v>
      </c>
      <c r="C374" s="6" t="s">
        <v>1086</v>
      </c>
      <c r="D374" s="6">
        <v>7</v>
      </c>
    </row>
    <row r="375" spans="1:4" x14ac:dyDescent="0.25">
      <c r="A375" s="46" t="s">
        <v>2416</v>
      </c>
      <c r="B375" s="6">
        <f t="shared" si="12"/>
        <v>30</v>
      </c>
      <c r="C375" s="6" t="s">
        <v>1086</v>
      </c>
      <c r="D375" s="6">
        <v>7</v>
      </c>
    </row>
    <row r="376" spans="1:4" x14ac:dyDescent="0.25">
      <c r="A376" s="46" t="s">
        <v>2890</v>
      </c>
      <c r="B376" s="6">
        <f t="shared" si="12"/>
        <v>30</v>
      </c>
      <c r="C376" s="6" t="s">
        <v>1086</v>
      </c>
      <c r="D376" s="6">
        <v>7</v>
      </c>
    </row>
    <row r="377" spans="1:4" x14ac:dyDescent="0.25">
      <c r="A377" s="46" t="s">
        <v>2403</v>
      </c>
      <c r="B377" s="6">
        <f t="shared" si="12"/>
        <v>30</v>
      </c>
      <c r="C377" s="6" t="s">
        <v>2871</v>
      </c>
      <c r="D377" s="6">
        <v>5</v>
      </c>
    </row>
    <row r="378" spans="1:4" x14ac:dyDescent="0.25">
      <c r="A378" s="46" t="s">
        <v>2891</v>
      </c>
      <c r="B378" s="6">
        <f t="shared" si="12"/>
        <v>30</v>
      </c>
      <c r="C378" s="6" t="s">
        <v>1086</v>
      </c>
      <c r="D378" s="6">
        <v>7</v>
      </c>
    </row>
    <row r="379" spans="1:4" x14ac:dyDescent="0.25">
      <c r="A379" s="46" t="s">
        <v>2426</v>
      </c>
      <c r="B379" s="6">
        <f t="shared" si="12"/>
        <v>30</v>
      </c>
      <c r="C379" s="6" t="s">
        <v>1086</v>
      </c>
      <c r="D379" s="6">
        <v>7</v>
      </c>
    </row>
    <row r="380" spans="1:4" x14ac:dyDescent="0.25">
      <c r="A380" s="46" t="s">
        <v>2440</v>
      </c>
      <c r="B380" s="6">
        <f t="shared" si="12"/>
        <v>30</v>
      </c>
      <c r="C380" s="6" t="s">
        <v>1086</v>
      </c>
      <c r="D380" s="6">
        <v>7</v>
      </c>
    </row>
    <row r="381" spans="1:4" x14ac:dyDescent="0.25">
      <c r="A381" s="46" t="s">
        <v>2445</v>
      </c>
      <c r="B381" s="6">
        <f t="shared" si="12"/>
        <v>30</v>
      </c>
      <c r="C381" s="6" t="s">
        <v>1086</v>
      </c>
      <c r="D381" s="6">
        <v>7</v>
      </c>
    </row>
    <row r="382" spans="1:4" x14ac:dyDescent="0.25">
      <c r="A382" s="46" t="s">
        <v>2892</v>
      </c>
      <c r="B382" s="6">
        <v>30</v>
      </c>
      <c r="C382" s="6" t="s">
        <v>1086</v>
      </c>
      <c r="D382" s="6">
        <v>7</v>
      </c>
    </row>
    <row r="383" spans="1:4" x14ac:dyDescent="0.25">
      <c r="A383" s="46" t="s">
        <v>2375</v>
      </c>
      <c r="B383" s="6">
        <f t="shared" ref="B383:B414" si="13">VALUE(_xlfn.TEXTAFTER(A383, ".", -1))</f>
        <v>30</v>
      </c>
      <c r="C383" s="6" t="s">
        <v>2888</v>
      </c>
      <c r="D383" s="6">
        <v>5</v>
      </c>
    </row>
    <row r="384" spans="1:4" x14ac:dyDescent="0.25">
      <c r="A384" s="46" t="s">
        <v>2370</v>
      </c>
      <c r="B384" s="6">
        <f t="shared" si="13"/>
        <v>30</v>
      </c>
      <c r="C384" s="6" t="s">
        <v>2877</v>
      </c>
      <c r="D384" s="6">
        <v>5</v>
      </c>
    </row>
    <row r="385" spans="1:4" x14ac:dyDescent="0.25">
      <c r="A385" s="46" t="s">
        <v>2450</v>
      </c>
      <c r="B385" s="6">
        <f t="shared" si="13"/>
        <v>30</v>
      </c>
      <c r="C385" s="6" t="s">
        <v>1086</v>
      </c>
      <c r="D385" s="6">
        <v>7</v>
      </c>
    </row>
    <row r="386" spans="1:4" x14ac:dyDescent="0.25">
      <c r="A386" s="46" t="s">
        <v>2455</v>
      </c>
      <c r="B386" s="6">
        <f t="shared" si="13"/>
        <v>30</v>
      </c>
      <c r="C386" s="6" t="s">
        <v>1086</v>
      </c>
      <c r="D386" s="6">
        <v>7</v>
      </c>
    </row>
    <row r="387" spans="1:4" x14ac:dyDescent="0.25">
      <c r="A387" s="46" t="s">
        <v>1117</v>
      </c>
      <c r="B387" s="6">
        <f t="shared" si="13"/>
        <v>30</v>
      </c>
      <c r="C387" s="6" t="s">
        <v>1086</v>
      </c>
      <c r="D387" s="6">
        <v>7</v>
      </c>
    </row>
    <row r="388" spans="1:4" x14ac:dyDescent="0.25">
      <c r="A388" s="46" t="s">
        <v>2893</v>
      </c>
      <c r="B388" s="6">
        <f t="shared" si="13"/>
        <v>30</v>
      </c>
      <c r="C388" s="6" t="s">
        <v>1086</v>
      </c>
      <c r="D388" s="6">
        <v>7</v>
      </c>
    </row>
    <row r="389" spans="1:4" x14ac:dyDescent="0.25">
      <c r="A389" s="46" t="s">
        <v>2894</v>
      </c>
      <c r="B389" s="6">
        <f t="shared" si="13"/>
        <v>30</v>
      </c>
      <c r="C389" s="6" t="s">
        <v>1086</v>
      </c>
      <c r="D389" s="6">
        <v>7</v>
      </c>
    </row>
    <row r="390" spans="1:4" x14ac:dyDescent="0.25">
      <c r="A390" s="46" t="s">
        <v>2465</v>
      </c>
      <c r="B390" s="6">
        <f t="shared" si="13"/>
        <v>30</v>
      </c>
      <c r="C390" s="6" t="s">
        <v>1086</v>
      </c>
      <c r="D390" s="6">
        <v>7</v>
      </c>
    </row>
    <row r="391" spans="1:4" x14ac:dyDescent="0.25">
      <c r="A391" s="46" t="s">
        <v>2470</v>
      </c>
      <c r="B391" s="6">
        <f t="shared" si="13"/>
        <v>30</v>
      </c>
      <c r="C391" s="6" t="s">
        <v>1086</v>
      </c>
      <c r="D391" s="6">
        <v>7</v>
      </c>
    </row>
    <row r="392" spans="1:4" x14ac:dyDescent="0.25">
      <c r="A392" s="46" t="s">
        <v>2895</v>
      </c>
      <c r="B392" s="6">
        <f t="shared" si="13"/>
        <v>30</v>
      </c>
      <c r="C392" s="6" t="s">
        <v>1086</v>
      </c>
      <c r="D392" s="6">
        <v>7</v>
      </c>
    </row>
    <row r="393" spans="1:4" x14ac:dyDescent="0.25">
      <c r="A393" s="46" t="s">
        <v>2475</v>
      </c>
      <c r="B393" s="6">
        <f t="shared" si="13"/>
        <v>32</v>
      </c>
      <c r="C393" s="6" t="s">
        <v>2896</v>
      </c>
      <c r="D393" s="6">
        <v>5</v>
      </c>
    </row>
    <row r="394" spans="1:4" x14ac:dyDescent="0.25">
      <c r="A394" s="46" t="s">
        <v>2897</v>
      </c>
      <c r="B394" s="6">
        <f t="shared" si="13"/>
        <v>32</v>
      </c>
      <c r="C394" s="6" t="s">
        <v>2896</v>
      </c>
      <c r="D394" s="6">
        <v>5</v>
      </c>
    </row>
    <row r="395" spans="1:4" x14ac:dyDescent="0.25">
      <c r="A395" s="46" t="s">
        <v>2897</v>
      </c>
      <c r="B395" s="6">
        <f t="shared" si="13"/>
        <v>32</v>
      </c>
      <c r="C395" s="6" t="s">
        <v>1140</v>
      </c>
      <c r="D395" s="6">
        <v>5</v>
      </c>
    </row>
    <row r="396" spans="1:4" x14ac:dyDescent="0.25">
      <c r="A396" s="46" t="s">
        <v>2485</v>
      </c>
      <c r="B396" s="6">
        <f t="shared" si="13"/>
        <v>32</v>
      </c>
      <c r="C396" s="6" t="s">
        <v>2896</v>
      </c>
      <c r="D396" s="6">
        <v>5</v>
      </c>
    </row>
    <row r="397" spans="1:4" x14ac:dyDescent="0.25">
      <c r="A397" s="46" t="s">
        <v>2485</v>
      </c>
      <c r="B397" s="6">
        <f t="shared" si="13"/>
        <v>32</v>
      </c>
      <c r="C397" s="6" t="s">
        <v>1140</v>
      </c>
      <c r="D397" s="6">
        <v>5</v>
      </c>
    </row>
    <row r="398" spans="1:4" x14ac:dyDescent="0.25">
      <c r="A398" s="46" t="s">
        <v>2480</v>
      </c>
      <c r="B398" s="6">
        <f t="shared" si="13"/>
        <v>32</v>
      </c>
      <c r="C398" s="6" t="s">
        <v>2896</v>
      </c>
      <c r="D398" s="6">
        <v>5</v>
      </c>
    </row>
    <row r="399" spans="1:4" x14ac:dyDescent="0.25">
      <c r="A399" s="46" t="s">
        <v>2898</v>
      </c>
      <c r="B399" s="6">
        <f t="shared" si="13"/>
        <v>32</v>
      </c>
      <c r="C399" s="6" t="s">
        <v>1140</v>
      </c>
      <c r="D399" s="6">
        <v>5</v>
      </c>
    </row>
    <row r="400" spans="1:4" x14ac:dyDescent="0.25">
      <c r="A400" s="46" t="s">
        <v>2498</v>
      </c>
      <c r="B400" s="6">
        <f t="shared" si="13"/>
        <v>32</v>
      </c>
      <c r="C400" s="6" t="s">
        <v>2899</v>
      </c>
      <c r="D400" s="6">
        <v>5</v>
      </c>
    </row>
    <row r="401" spans="1:4" x14ac:dyDescent="0.25">
      <c r="A401" s="46" t="s">
        <v>2513</v>
      </c>
      <c r="B401" s="6">
        <f t="shared" si="13"/>
        <v>34</v>
      </c>
      <c r="C401" s="6" t="s">
        <v>2896</v>
      </c>
      <c r="D401" s="6">
        <v>5</v>
      </c>
    </row>
    <row r="402" spans="1:4" x14ac:dyDescent="0.25">
      <c r="A402" s="46" t="s">
        <v>2503</v>
      </c>
      <c r="B402" s="6">
        <f t="shared" si="13"/>
        <v>34</v>
      </c>
      <c r="C402" s="6" t="s">
        <v>2896</v>
      </c>
      <c r="D402" s="6">
        <v>5</v>
      </c>
    </row>
    <row r="403" spans="1:4" x14ac:dyDescent="0.25">
      <c r="A403" s="46" t="s">
        <v>2503</v>
      </c>
      <c r="B403" s="6">
        <f t="shared" si="13"/>
        <v>34</v>
      </c>
      <c r="C403" s="6" t="s">
        <v>1140</v>
      </c>
      <c r="D403" s="6">
        <v>5</v>
      </c>
    </row>
    <row r="404" spans="1:4" x14ac:dyDescent="0.25">
      <c r="A404" s="46" t="s">
        <v>2508</v>
      </c>
      <c r="B404" s="6">
        <f t="shared" si="13"/>
        <v>34</v>
      </c>
      <c r="C404" s="6" t="s">
        <v>2896</v>
      </c>
      <c r="D404" s="6">
        <v>5</v>
      </c>
    </row>
    <row r="405" spans="1:4" x14ac:dyDescent="0.25">
      <c r="A405" s="46" t="s">
        <v>2900</v>
      </c>
      <c r="B405" s="6">
        <f t="shared" si="13"/>
        <v>34</v>
      </c>
      <c r="C405" s="6" t="s">
        <v>1140</v>
      </c>
      <c r="D405" s="6">
        <v>5</v>
      </c>
    </row>
    <row r="406" spans="1:4" x14ac:dyDescent="0.25">
      <c r="A406" s="46" t="s">
        <v>2528</v>
      </c>
      <c r="B406" s="6">
        <f t="shared" si="13"/>
        <v>36</v>
      </c>
      <c r="C406" s="6" t="s">
        <v>2896</v>
      </c>
      <c r="D406" s="6">
        <v>5</v>
      </c>
    </row>
    <row r="407" spans="1:4" x14ac:dyDescent="0.25">
      <c r="A407" s="46" t="s">
        <v>2542</v>
      </c>
      <c r="B407" s="6">
        <f t="shared" si="13"/>
        <v>36</v>
      </c>
      <c r="C407" s="6" t="s">
        <v>2896</v>
      </c>
      <c r="D407" s="6">
        <v>5</v>
      </c>
    </row>
    <row r="408" spans="1:4" x14ac:dyDescent="0.25">
      <c r="A408" s="46" t="s">
        <v>2542</v>
      </c>
      <c r="B408" s="6">
        <f t="shared" si="13"/>
        <v>36</v>
      </c>
      <c r="C408" s="6" t="s">
        <v>1140</v>
      </c>
      <c r="D408" s="6">
        <v>5</v>
      </c>
    </row>
    <row r="409" spans="1:4" x14ac:dyDescent="0.25">
      <c r="A409" s="46" t="s">
        <v>2901</v>
      </c>
      <c r="B409" s="6">
        <f t="shared" si="13"/>
        <v>36</v>
      </c>
      <c r="C409" s="6" t="s">
        <v>1140</v>
      </c>
      <c r="D409" s="6">
        <v>5</v>
      </c>
    </row>
    <row r="410" spans="1:4" x14ac:dyDescent="0.25">
      <c r="A410" s="46" t="s">
        <v>2560</v>
      </c>
      <c r="B410" s="6">
        <f t="shared" si="13"/>
        <v>36</v>
      </c>
      <c r="C410" s="6" t="s">
        <v>2896</v>
      </c>
      <c r="D410" s="6">
        <v>5</v>
      </c>
    </row>
    <row r="411" spans="1:4" x14ac:dyDescent="0.25">
      <c r="A411" s="46" t="s">
        <v>2560</v>
      </c>
      <c r="B411" s="6">
        <f t="shared" si="13"/>
        <v>36</v>
      </c>
      <c r="C411" s="6" t="s">
        <v>1140</v>
      </c>
      <c r="D411" s="6">
        <v>5</v>
      </c>
    </row>
    <row r="412" spans="1:4" x14ac:dyDescent="0.25">
      <c r="A412" s="46" t="s">
        <v>2551</v>
      </c>
      <c r="B412" s="6">
        <f t="shared" si="13"/>
        <v>36</v>
      </c>
      <c r="C412" s="6" t="s">
        <v>2896</v>
      </c>
      <c r="D412" s="6">
        <v>5</v>
      </c>
    </row>
    <row r="413" spans="1:4" x14ac:dyDescent="0.25">
      <c r="A413" s="46" t="s">
        <v>2533</v>
      </c>
      <c r="B413" s="6">
        <f t="shared" si="13"/>
        <v>36</v>
      </c>
      <c r="C413" s="6" t="s">
        <v>1140</v>
      </c>
      <c r="D413" s="6">
        <v>5</v>
      </c>
    </row>
    <row r="414" spans="1:4" x14ac:dyDescent="0.25">
      <c r="A414" s="46" t="s">
        <v>2518</v>
      </c>
      <c r="B414" s="6">
        <f t="shared" si="13"/>
        <v>36</v>
      </c>
      <c r="C414" s="6" t="s">
        <v>2899</v>
      </c>
      <c r="D414" s="6">
        <v>5</v>
      </c>
    </row>
    <row r="415" spans="1:4" x14ac:dyDescent="0.25">
      <c r="A415" s="46" t="s">
        <v>1445</v>
      </c>
      <c r="B415" s="6">
        <f t="shared" ref="B415:B439" si="14">VALUE(_xlfn.TEXTAFTER(A415, ".", -1))</f>
        <v>38</v>
      </c>
      <c r="C415" s="6" t="s">
        <v>2902</v>
      </c>
      <c r="D415" s="6">
        <v>5</v>
      </c>
    </row>
    <row r="416" spans="1:4" x14ac:dyDescent="0.25">
      <c r="A416" s="46" t="s">
        <v>2903</v>
      </c>
      <c r="B416" s="6">
        <f t="shared" si="14"/>
        <v>38</v>
      </c>
      <c r="C416" s="6" t="s">
        <v>2902</v>
      </c>
      <c r="D416" s="6">
        <v>5</v>
      </c>
    </row>
    <row r="417" spans="1:4" x14ac:dyDescent="0.25">
      <c r="A417" s="46" t="s">
        <v>1179</v>
      </c>
      <c r="B417" s="6">
        <f t="shared" si="14"/>
        <v>40</v>
      </c>
      <c r="C417" s="6" t="s">
        <v>2902</v>
      </c>
      <c r="D417" s="6">
        <v>5</v>
      </c>
    </row>
    <row r="418" spans="1:4" x14ac:dyDescent="0.25">
      <c r="A418" s="46" t="s">
        <v>2904</v>
      </c>
      <c r="B418" s="6">
        <f t="shared" si="14"/>
        <v>40</v>
      </c>
      <c r="C418" s="6" t="s">
        <v>2902</v>
      </c>
      <c r="D418" s="6">
        <v>5</v>
      </c>
    </row>
    <row r="419" spans="1:4" x14ac:dyDescent="0.25">
      <c r="A419" s="46" t="s">
        <v>2904</v>
      </c>
      <c r="B419" s="6">
        <f t="shared" si="14"/>
        <v>40</v>
      </c>
      <c r="C419" s="6" t="s">
        <v>1199</v>
      </c>
      <c r="D419" s="6">
        <v>5</v>
      </c>
    </row>
    <row r="420" spans="1:4" x14ac:dyDescent="0.25">
      <c r="A420" s="46" t="s">
        <v>1174</v>
      </c>
      <c r="B420" s="6">
        <f t="shared" si="14"/>
        <v>40</v>
      </c>
      <c r="C420" s="6" t="s">
        <v>2902</v>
      </c>
      <c r="D420" s="6">
        <v>5</v>
      </c>
    </row>
    <row r="421" spans="1:4" x14ac:dyDescent="0.25">
      <c r="A421" s="46" t="s">
        <v>1174</v>
      </c>
      <c r="B421" s="6">
        <f t="shared" si="14"/>
        <v>40</v>
      </c>
      <c r="C421" s="6" t="s">
        <v>1199</v>
      </c>
      <c r="D421" s="6">
        <v>5</v>
      </c>
    </row>
    <row r="422" spans="1:4" x14ac:dyDescent="0.25">
      <c r="A422" s="46" t="s">
        <v>1182</v>
      </c>
      <c r="B422" s="6">
        <f t="shared" si="14"/>
        <v>40</v>
      </c>
      <c r="C422" s="6" t="s">
        <v>2902</v>
      </c>
      <c r="D422" s="6">
        <v>5</v>
      </c>
    </row>
    <row r="423" spans="1:4" x14ac:dyDescent="0.25">
      <c r="A423" s="46" t="s">
        <v>2905</v>
      </c>
      <c r="B423" s="6">
        <f t="shared" si="14"/>
        <v>40</v>
      </c>
      <c r="C423" s="6" t="s">
        <v>1199</v>
      </c>
      <c r="D423" s="6">
        <v>5</v>
      </c>
    </row>
    <row r="424" spans="1:4" x14ac:dyDescent="0.25">
      <c r="A424" s="46" t="s">
        <v>2906</v>
      </c>
      <c r="B424" s="6">
        <f t="shared" si="14"/>
        <v>40</v>
      </c>
      <c r="C424" s="6" t="s">
        <v>2907</v>
      </c>
      <c r="D424" s="6">
        <v>5</v>
      </c>
    </row>
    <row r="425" spans="1:4" x14ac:dyDescent="0.25">
      <c r="A425" s="46" t="s">
        <v>2578</v>
      </c>
      <c r="B425" s="6">
        <f t="shared" si="14"/>
        <v>42</v>
      </c>
      <c r="C425" s="6" t="s">
        <v>2902</v>
      </c>
      <c r="D425" s="6">
        <v>5</v>
      </c>
    </row>
    <row r="426" spans="1:4" x14ac:dyDescent="0.25">
      <c r="A426" s="46" t="s">
        <v>2617</v>
      </c>
      <c r="B426" s="6">
        <f t="shared" si="14"/>
        <v>42</v>
      </c>
      <c r="C426" s="6" t="s">
        <v>2902</v>
      </c>
      <c r="D426" s="6">
        <v>5</v>
      </c>
    </row>
    <row r="427" spans="1:4" x14ac:dyDescent="0.25">
      <c r="A427" s="46" t="s">
        <v>2617</v>
      </c>
      <c r="B427" s="6">
        <f t="shared" si="14"/>
        <v>42</v>
      </c>
      <c r="C427" s="6" t="s">
        <v>1199</v>
      </c>
      <c r="D427" s="6">
        <v>5</v>
      </c>
    </row>
    <row r="428" spans="1:4" x14ac:dyDescent="0.25">
      <c r="A428" s="46" t="s">
        <v>2908</v>
      </c>
      <c r="B428" s="6">
        <f t="shared" si="14"/>
        <v>42</v>
      </c>
      <c r="C428" s="6" t="s">
        <v>1199</v>
      </c>
      <c r="D428" s="6">
        <v>5</v>
      </c>
    </row>
    <row r="429" spans="1:4" x14ac:dyDescent="0.25">
      <c r="A429" s="46" t="s">
        <v>2909</v>
      </c>
      <c r="B429" s="6">
        <f t="shared" si="14"/>
        <v>42</v>
      </c>
      <c r="C429" s="6" t="s">
        <v>1199</v>
      </c>
      <c r="D429" s="6">
        <v>5</v>
      </c>
    </row>
    <row r="430" spans="1:4" x14ac:dyDescent="0.25">
      <c r="A430" s="46" t="s">
        <v>1198</v>
      </c>
      <c r="B430" s="6">
        <f t="shared" si="14"/>
        <v>42</v>
      </c>
      <c r="C430" s="6" t="s">
        <v>2902</v>
      </c>
      <c r="D430" s="6">
        <v>5</v>
      </c>
    </row>
    <row r="431" spans="1:4" x14ac:dyDescent="0.25">
      <c r="A431" s="46" t="s">
        <v>1198</v>
      </c>
      <c r="B431" s="6">
        <f t="shared" si="14"/>
        <v>42</v>
      </c>
      <c r="C431" s="6" t="s">
        <v>1199</v>
      </c>
      <c r="D431" s="6">
        <v>5</v>
      </c>
    </row>
    <row r="432" spans="1:4" x14ac:dyDescent="0.25">
      <c r="A432" s="46" t="s">
        <v>2592</v>
      </c>
      <c r="B432" s="6">
        <f t="shared" si="14"/>
        <v>42</v>
      </c>
      <c r="C432" s="6" t="s">
        <v>2902</v>
      </c>
      <c r="D432" s="6">
        <v>5</v>
      </c>
    </row>
    <row r="433" spans="1:4" x14ac:dyDescent="0.25">
      <c r="A433" s="46" t="s">
        <v>2583</v>
      </c>
      <c r="B433" s="6">
        <f t="shared" si="14"/>
        <v>42</v>
      </c>
      <c r="C433" s="6" t="s">
        <v>1199</v>
      </c>
      <c r="D433" s="6">
        <v>5</v>
      </c>
    </row>
    <row r="434" spans="1:4" x14ac:dyDescent="0.25">
      <c r="A434" s="46" t="s">
        <v>2573</v>
      </c>
      <c r="B434" s="6">
        <f t="shared" si="14"/>
        <v>42</v>
      </c>
      <c r="C434" s="6" t="s">
        <v>2907</v>
      </c>
      <c r="D434" s="6">
        <v>5</v>
      </c>
    </row>
    <row r="435" spans="1:4" x14ac:dyDescent="0.25">
      <c r="A435" s="46" t="s">
        <v>2910</v>
      </c>
      <c r="B435" s="6">
        <f t="shared" si="14"/>
        <v>48</v>
      </c>
      <c r="C435" s="6" t="s">
        <v>1150</v>
      </c>
      <c r="D435" s="6">
        <v>5</v>
      </c>
    </row>
    <row r="436" spans="1:4" x14ac:dyDescent="0.25">
      <c r="A436" s="46" t="s">
        <v>2911</v>
      </c>
      <c r="B436" s="6">
        <f t="shared" si="14"/>
        <v>48</v>
      </c>
      <c r="C436" s="6" t="s">
        <v>2912</v>
      </c>
      <c r="D436" s="6">
        <v>5</v>
      </c>
    </row>
    <row r="437" spans="1:4" x14ac:dyDescent="0.25">
      <c r="A437" s="46" t="s">
        <v>2913</v>
      </c>
      <c r="B437" s="6">
        <f t="shared" si="14"/>
        <v>48</v>
      </c>
      <c r="C437" s="6" t="s">
        <v>1150</v>
      </c>
      <c r="D437" s="6">
        <v>5</v>
      </c>
    </row>
    <row r="438" spans="1:4" x14ac:dyDescent="0.25">
      <c r="A438" s="46" t="s">
        <v>2627</v>
      </c>
      <c r="B438" s="6">
        <f t="shared" si="14"/>
        <v>48</v>
      </c>
      <c r="C438" s="6" t="s">
        <v>2912</v>
      </c>
      <c r="D438" s="6">
        <v>5</v>
      </c>
    </row>
    <row r="439" spans="1:4" x14ac:dyDescent="0.25">
      <c r="A439" s="46" t="s">
        <v>2622</v>
      </c>
      <c r="B439" s="6">
        <f t="shared" si="14"/>
        <v>48</v>
      </c>
      <c r="C439" s="6" t="s">
        <v>2907</v>
      </c>
      <c r="D439" s="6">
        <v>5</v>
      </c>
    </row>
    <row r="440" spans="1:4" x14ac:dyDescent="0.25">
      <c r="A440" s="46" t="s">
        <v>2914</v>
      </c>
      <c r="B440" s="6"/>
      <c r="C440" s="6" t="s">
        <v>2915</v>
      </c>
      <c r="D440" s="6">
        <v>5</v>
      </c>
    </row>
  </sheetData>
  <phoneticPr fontId="3" type="noConversion"/>
  <pageMargins left="0.7" right="0.7" top="0.75" bottom="0.75" header="0.3" footer="0.3"/>
  <ignoredErrors>
    <ignoredError sqref="B105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A4B75-9203-4DA8-ACB8-DCFFE0159F49}">
  <sheetPr codeName="Sheet5"/>
  <dimension ref="A1:G4002"/>
  <sheetViews>
    <sheetView workbookViewId="0">
      <selection activeCell="B25" sqref="B25"/>
    </sheetView>
  </sheetViews>
  <sheetFormatPr defaultRowHeight="15" x14ac:dyDescent="0.25"/>
  <cols>
    <col min="1" max="1" width="18.85546875" style="41" customWidth="1"/>
    <col min="2" max="2" width="43.28515625" style="41" customWidth="1"/>
    <col min="3" max="3" width="26.42578125" style="41" customWidth="1"/>
    <col min="4" max="4" width="18.85546875" style="41" customWidth="1"/>
    <col min="5" max="5" width="30.5703125" style="41" customWidth="1"/>
    <col min="6" max="6" width="38.85546875" style="41" customWidth="1"/>
    <col min="7" max="7" width="27.140625" style="41" bestFit="1" customWidth="1"/>
  </cols>
  <sheetData>
    <row r="1" spans="1:7" s="16" customFormat="1" ht="60" x14ac:dyDescent="0.25">
      <c r="A1" s="40" t="s">
        <v>2916</v>
      </c>
      <c r="B1" s="40"/>
      <c r="C1" s="40" t="s">
        <v>2917</v>
      </c>
      <c r="D1" s="40" t="s">
        <v>2918</v>
      </c>
      <c r="E1" s="40" t="s">
        <v>2919</v>
      </c>
      <c r="F1" s="40"/>
      <c r="G1" s="40"/>
    </row>
    <row r="2" spans="1:7" x14ac:dyDescent="0.25">
      <c r="A2" t="s">
        <v>2920</v>
      </c>
      <c r="B2" t="s">
        <v>2921</v>
      </c>
      <c r="C2" t="s">
        <v>2922</v>
      </c>
      <c r="D2" t="s">
        <v>2923</v>
      </c>
      <c r="E2" t="s">
        <v>2924</v>
      </c>
      <c r="F2" t="s">
        <v>2925</v>
      </c>
      <c r="G2" t="s">
        <v>2926</v>
      </c>
    </row>
    <row r="3" spans="1:7" x14ac:dyDescent="0.25">
      <c r="A3" s="41" t="s">
        <v>133</v>
      </c>
      <c r="B3" s="41" t="s">
        <v>2927</v>
      </c>
      <c r="C3" s="41" t="s">
        <v>2928</v>
      </c>
      <c r="D3" s="41" t="s">
        <v>133</v>
      </c>
      <c r="E3" s="41" t="s">
        <v>2929</v>
      </c>
      <c r="F3" s="41" t="s">
        <v>2930</v>
      </c>
      <c r="G3" s="41" t="s">
        <v>2931</v>
      </c>
    </row>
    <row r="4" spans="1:7" x14ac:dyDescent="0.25">
      <c r="A4" s="41" t="s">
        <v>2932</v>
      </c>
      <c r="B4" s="41" t="s">
        <v>2927</v>
      </c>
      <c r="C4" s="41" t="s">
        <v>2928</v>
      </c>
      <c r="D4" s="41" t="s">
        <v>133</v>
      </c>
      <c r="E4" s="41" t="s">
        <v>2929</v>
      </c>
      <c r="F4" s="41" t="s">
        <v>2933</v>
      </c>
      <c r="G4" s="41" t="s">
        <v>2934</v>
      </c>
    </row>
    <row r="5" spans="1:7" x14ac:dyDescent="0.25">
      <c r="A5" s="41" t="s">
        <v>2935</v>
      </c>
      <c r="B5" s="41" t="s">
        <v>2927</v>
      </c>
      <c r="C5" s="41" t="s">
        <v>2928</v>
      </c>
      <c r="D5" s="41" t="s">
        <v>133</v>
      </c>
      <c r="E5" s="41" t="s">
        <v>2929</v>
      </c>
      <c r="F5" s="41" t="s">
        <v>2933</v>
      </c>
      <c r="G5" s="41" t="s">
        <v>2934</v>
      </c>
    </row>
    <row r="6" spans="1:7" x14ac:dyDescent="0.25">
      <c r="A6" s="41" t="s">
        <v>2936</v>
      </c>
      <c r="B6" s="41" t="s">
        <v>2927</v>
      </c>
      <c r="C6" s="41" t="s">
        <v>2928</v>
      </c>
      <c r="D6" s="41" t="s">
        <v>133</v>
      </c>
      <c r="E6" s="41" t="s">
        <v>2929</v>
      </c>
      <c r="F6" s="41" t="s">
        <v>2933</v>
      </c>
      <c r="G6" s="41" t="s">
        <v>2934</v>
      </c>
    </row>
    <row r="7" spans="1:7" x14ac:dyDescent="0.25">
      <c r="A7" s="41" t="s">
        <v>2937</v>
      </c>
      <c r="B7" s="41" t="s">
        <v>2927</v>
      </c>
      <c r="C7" s="41" t="s">
        <v>2928</v>
      </c>
      <c r="D7" s="41" t="s">
        <v>133</v>
      </c>
      <c r="E7" s="41" t="s">
        <v>2929</v>
      </c>
      <c r="F7" s="41" t="s">
        <v>2933</v>
      </c>
      <c r="G7" s="41" t="s">
        <v>2934</v>
      </c>
    </row>
    <row r="8" spans="1:7" x14ac:dyDescent="0.25">
      <c r="A8" s="41" t="s">
        <v>2938</v>
      </c>
      <c r="B8" s="41" t="s">
        <v>2927</v>
      </c>
      <c r="C8" s="41" t="s">
        <v>2928</v>
      </c>
      <c r="D8" s="41" t="s">
        <v>133</v>
      </c>
      <c r="E8" s="41" t="s">
        <v>2929</v>
      </c>
      <c r="F8" s="41" t="s">
        <v>2933</v>
      </c>
      <c r="G8" s="41" t="s">
        <v>2934</v>
      </c>
    </row>
    <row r="9" spans="1:7" x14ac:dyDescent="0.25">
      <c r="A9" s="41" t="s">
        <v>2939</v>
      </c>
      <c r="B9" s="41" t="s">
        <v>2927</v>
      </c>
      <c r="C9" s="41" t="s">
        <v>2928</v>
      </c>
      <c r="D9" s="41" t="s">
        <v>133</v>
      </c>
      <c r="E9" s="41" t="s">
        <v>2929</v>
      </c>
      <c r="F9" s="41" t="s">
        <v>2933</v>
      </c>
      <c r="G9" s="41" t="s">
        <v>2934</v>
      </c>
    </row>
    <row r="10" spans="1:7" x14ac:dyDescent="0.25">
      <c r="A10" s="41" t="s">
        <v>2940</v>
      </c>
      <c r="B10" s="41" t="s">
        <v>2927</v>
      </c>
      <c r="C10" s="41" t="s">
        <v>2928</v>
      </c>
      <c r="D10" s="41" t="s">
        <v>133</v>
      </c>
      <c r="E10" s="41" t="s">
        <v>2929</v>
      </c>
      <c r="F10" s="41" t="s">
        <v>2933</v>
      </c>
      <c r="G10" s="41" t="s">
        <v>2934</v>
      </c>
    </row>
    <row r="11" spans="1:7" x14ac:dyDescent="0.25">
      <c r="A11" s="41" t="s">
        <v>2941</v>
      </c>
      <c r="B11" s="41" t="s">
        <v>2927</v>
      </c>
      <c r="C11" s="41" t="s">
        <v>2928</v>
      </c>
      <c r="D11" s="41" t="s">
        <v>133</v>
      </c>
      <c r="E11" s="41" t="s">
        <v>2929</v>
      </c>
      <c r="F11" s="41" t="s">
        <v>2930</v>
      </c>
      <c r="G11" s="41" t="s">
        <v>2931</v>
      </c>
    </row>
    <row r="12" spans="1:7" x14ac:dyDescent="0.25">
      <c r="A12" s="41" t="s">
        <v>2942</v>
      </c>
      <c r="B12" s="41" t="s">
        <v>2927</v>
      </c>
      <c r="C12" s="41" t="s">
        <v>2928</v>
      </c>
      <c r="D12" s="41" t="s">
        <v>133</v>
      </c>
      <c r="E12" s="41" t="s">
        <v>2929</v>
      </c>
      <c r="F12" s="41" t="s">
        <v>2930</v>
      </c>
      <c r="G12" s="41" t="s">
        <v>2931</v>
      </c>
    </row>
    <row r="13" spans="1:7" x14ac:dyDescent="0.25">
      <c r="A13" s="41" t="s">
        <v>2943</v>
      </c>
      <c r="B13" s="41" t="s">
        <v>2927</v>
      </c>
      <c r="C13" s="41" t="s">
        <v>2928</v>
      </c>
      <c r="D13" s="41" t="s">
        <v>133</v>
      </c>
      <c r="E13" s="41" t="s">
        <v>2929</v>
      </c>
      <c r="F13" s="41" t="s">
        <v>2930</v>
      </c>
      <c r="G13" s="41" t="s">
        <v>2931</v>
      </c>
    </row>
    <row r="14" spans="1:7" x14ac:dyDescent="0.25">
      <c r="A14" s="41" t="s">
        <v>2944</v>
      </c>
      <c r="B14" s="41" t="s">
        <v>2927</v>
      </c>
      <c r="C14" s="41" t="s">
        <v>2928</v>
      </c>
      <c r="D14" s="41" t="s">
        <v>133</v>
      </c>
      <c r="E14" s="41" t="s">
        <v>2929</v>
      </c>
      <c r="F14" s="41" t="s">
        <v>2930</v>
      </c>
      <c r="G14" s="41" t="s">
        <v>2931</v>
      </c>
    </row>
    <row r="15" spans="1:7" x14ac:dyDescent="0.25">
      <c r="A15" s="41" t="s">
        <v>2945</v>
      </c>
      <c r="B15" s="41" t="s">
        <v>2927</v>
      </c>
      <c r="C15" s="41" t="s">
        <v>2928</v>
      </c>
      <c r="D15" s="41" t="s">
        <v>133</v>
      </c>
      <c r="E15" s="41" t="s">
        <v>2929</v>
      </c>
      <c r="F15" s="41" t="s">
        <v>2930</v>
      </c>
      <c r="G15" s="41" t="s">
        <v>2931</v>
      </c>
    </row>
    <row r="16" spans="1:7" x14ac:dyDescent="0.25">
      <c r="A16" s="41" t="s">
        <v>2946</v>
      </c>
      <c r="B16" s="41" t="s">
        <v>2927</v>
      </c>
      <c r="C16" s="41" t="s">
        <v>2928</v>
      </c>
      <c r="D16" s="41" t="s">
        <v>133</v>
      </c>
      <c r="E16" s="41" t="s">
        <v>2929</v>
      </c>
      <c r="F16" s="41" t="s">
        <v>2930</v>
      </c>
      <c r="G16" s="41" t="s">
        <v>2931</v>
      </c>
    </row>
    <row r="17" spans="1:7" x14ac:dyDescent="0.25">
      <c r="A17" s="41" t="s">
        <v>2947</v>
      </c>
      <c r="B17" s="41" t="s">
        <v>2927</v>
      </c>
      <c r="C17" s="41" t="s">
        <v>2928</v>
      </c>
      <c r="D17" s="41" t="s">
        <v>133</v>
      </c>
      <c r="E17" s="41" t="s">
        <v>2929</v>
      </c>
      <c r="F17" s="41" t="s">
        <v>2930</v>
      </c>
      <c r="G17" s="41" t="s">
        <v>2931</v>
      </c>
    </row>
    <row r="18" spans="1:7" x14ac:dyDescent="0.25">
      <c r="A18" s="41" t="s">
        <v>2948</v>
      </c>
      <c r="B18" s="41" t="s">
        <v>2927</v>
      </c>
      <c r="C18" s="41" t="s">
        <v>2928</v>
      </c>
      <c r="D18" s="41" t="s">
        <v>133</v>
      </c>
      <c r="E18" s="41" t="s">
        <v>2929</v>
      </c>
      <c r="F18" s="41" t="s">
        <v>2949</v>
      </c>
      <c r="G18" s="41" t="s">
        <v>2950</v>
      </c>
    </row>
    <row r="19" spans="1:7" x14ac:dyDescent="0.25">
      <c r="A19" s="41" t="s">
        <v>2951</v>
      </c>
      <c r="B19" s="41" t="s">
        <v>2927</v>
      </c>
      <c r="C19" s="41" t="s">
        <v>2928</v>
      </c>
      <c r="D19" s="41" t="s">
        <v>133</v>
      </c>
      <c r="E19" s="41" t="s">
        <v>2929</v>
      </c>
      <c r="F19" s="41" t="s">
        <v>2949</v>
      </c>
      <c r="G19" s="41" t="s">
        <v>2950</v>
      </c>
    </row>
    <row r="20" spans="1:7" x14ac:dyDescent="0.25">
      <c r="A20" s="41" t="s">
        <v>2952</v>
      </c>
      <c r="B20" s="41" t="s">
        <v>2927</v>
      </c>
      <c r="C20" s="41" t="s">
        <v>2928</v>
      </c>
      <c r="D20" s="41" t="s">
        <v>133</v>
      </c>
      <c r="E20" s="41" t="s">
        <v>2929</v>
      </c>
      <c r="F20" s="41" t="s">
        <v>2949</v>
      </c>
      <c r="G20" s="41" t="s">
        <v>2950</v>
      </c>
    </row>
    <row r="21" spans="1:7" x14ac:dyDescent="0.25">
      <c r="A21" s="41" t="s">
        <v>2953</v>
      </c>
      <c r="B21" s="41" t="s">
        <v>2927</v>
      </c>
      <c r="C21" s="41" t="s">
        <v>2928</v>
      </c>
      <c r="D21" s="41" t="s">
        <v>133</v>
      </c>
      <c r="E21" s="41" t="s">
        <v>2929</v>
      </c>
      <c r="F21" s="41" t="s">
        <v>2949</v>
      </c>
      <c r="G21" s="41" t="s">
        <v>2950</v>
      </c>
    </row>
    <row r="22" spans="1:7" x14ac:dyDescent="0.25">
      <c r="A22" s="41" t="s">
        <v>2954</v>
      </c>
      <c r="B22" s="41" t="s">
        <v>2927</v>
      </c>
      <c r="C22" s="41" t="s">
        <v>2928</v>
      </c>
      <c r="D22" s="41" t="s">
        <v>133</v>
      </c>
      <c r="E22" s="41" t="s">
        <v>2929</v>
      </c>
      <c r="F22" s="41" t="s">
        <v>2949</v>
      </c>
      <c r="G22" s="41" t="s">
        <v>2950</v>
      </c>
    </row>
    <row r="23" spans="1:7" x14ac:dyDescent="0.25">
      <c r="A23" s="41" t="s">
        <v>2955</v>
      </c>
      <c r="B23" s="41" t="s">
        <v>2927</v>
      </c>
      <c r="C23" s="41" t="s">
        <v>2928</v>
      </c>
      <c r="D23" s="41" t="s">
        <v>133</v>
      </c>
      <c r="E23" s="41" t="s">
        <v>2929</v>
      </c>
      <c r="F23" s="41" t="s">
        <v>2949</v>
      </c>
      <c r="G23" s="41" t="s">
        <v>2950</v>
      </c>
    </row>
    <row r="24" spans="1:7" x14ac:dyDescent="0.25">
      <c r="A24" s="41" t="s">
        <v>2956</v>
      </c>
      <c r="B24" s="41" t="s">
        <v>2927</v>
      </c>
      <c r="C24" s="41" t="s">
        <v>2928</v>
      </c>
      <c r="D24" s="41" t="s">
        <v>133</v>
      </c>
      <c r="E24" s="41" t="s">
        <v>2929</v>
      </c>
      <c r="F24" s="41" t="s">
        <v>2949</v>
      </c>
      <c r="G24" s="41" t="s">
        <v>2950</v>
      </c>
    </row>
    <row r="25" spans="1:7" x14ac:dyDescent="0.25">
      <c r="A25" s="41" t="s">
        <v>107</v>
      </c>
      <c r="B25" s="41" t="s">
        <v>2957</v>
      </c>
      <c r="C25" s="41" t="s">
        <v>2928</v>
      </c>
      <c r="D25" s="41" t="s">
        <v>107</v>
      </c>
      <c r="E25" s="41" t="s">
        <v>2929</v>
      </c>
      <c r="F25" s="41" t="s">
        <v>2930</v>
      </c>
      <c r="G25" s="41" t="s">
        <v>2931</v>
      </c>
    </row>
    <row r="26" spans="1:7" x14ac:dyDescent="0.25">
      <c r="A26" s="41" t="s">
        <v>2958</v>
      </c>
      <c r="B26" s="41" t="s">
        <v>2957</v>
      </c>
      <c r="C26" s="41" t="s">
        <v>2928</v>
      </c>
      <c r="D26" s="41" t="s">
        <v>107</v>
      </c>
      <c r="E26" s="41" t="s">
        <v>2929</v>
      </c>
      <c r="F26" s="41" t="s">
        <v>2933</v>
      </c>
      <c r="G26" s="41" t="s">
        <v>2934</v>
      </c>
    </row>
    <row r="27" spans="1:7" x14ac:dyDescent="0.25">
      <c r="A27" s="41" t="s">
        <v>2959</v>
      </c>
      <c r="B27" s="41" t="s">
        <v>2957</v>
      </c>
      <c r="C27" s="41" t="s">
        <v>2928</v>
      </c>
      <c r="D27" s="41" t="s">
        <v>107</v>
      </c>
      <c r="E27" s="41" t="s">
        <v>2929</v>
      </c>
      <c r="F27" s="41" t="s">
        <v>2933</v>
      </c>
      <c r="G27" s="41" t="s">
        <v>2934</v>
      </c>
    </row>
    <row r="28" spans="1:7" x14ac:dyDescent="0.25">
      <c r="A28" s="41" t="s">
        <v>2960</v>
      </c>
      <c r="B28" s="41" t="s">
        <v>2957</v>
      </c>
      <c r="C28" s="41" t="s">
        <v>2928</v>
      </c>
      <c r="D28" s="41" t="s">
        <v>107</v>
      </c>
      <c r="E28" s="41" t="s">
        <v>2929</v>
      </c>
      <c r="F28" s="41" t="s">
        <v>2933</v>
      </c>
      <c r="G28" s="41" t="s">
        <v>2934</v>
      </c>
    </row>
    <row r="29" spans="1:7" x14ac:dyDescent="0.25">
      <c r="A29" s="41" t="s">
        <v>2961</v>
      </c>
      <c r="B29" s="41" t="s">
        <v>2957</v>
      </c>
      <c r="C29" s="41" t="s">
        <v>2928</v>
      </c>
      <c r="D29" s="41" t="s">
        <v>107</v>
      </c>
      <c r="E29" s="41" t="s">
        <v>2929</v>
      </c>
      <c r="F29" s="41" t="s">
        <v>2933</v>
      </c>
      <c r="G29" s="41" t="s">
        <v>2934</v>
      </c>
    </row>
    <row r="30" spans="1:7" x14ac:dyDescent="0.25">
      <c r="A30" s="41" t="s">
        <v>2962</v>
      </c>
      <c r="B30" s="41" t="s">
        <v>2957</v>
      </c>
      <c r="C30" s="41" t="s">
        <v>2928</v>
      </c>
      <c r="D30" s="41" t="s">
        <v>107</v>
      </c>
      <c r="E30" s="41" t="s">
        <v>2929</v>
      </c>
      <c r="F30" s="41" t="s">
        <v>2933</v>
      </c>
      <c r="G30" s="41" t="s">
        <v>2934</v>
      </c>
    </row>
    <row r="31" spans="1:7" x14ac:dyDescent="0.25">
      <c r="A31" s="41" t="s">
        <v>2963</v>
      </c>
      <c r="B31" s="41" t="s">
        <v>2957</v>
      </c>
      <c r="C31" s="41" t="s">
        <v>2928</v>
      </c>
      <c r="D31" s="41" t="s">
        <v>107</v>
      </c>
      <c r="E31" s="41" t="s">
        <v>2929</v>
      </c>
      <c r="F31" s="41" t="s">
        <v>2933</v>
      </c>
      <c r="G31" s="41" t="s">
        <v>2934</v>
      </c>
    </row>
    <row r="32" spans="1:7" x14ac:dyDescent="0.25">
      <c r="A32" s="41" t="s">
        <v>2964</v>
      </c>
      <c r="B32" s="41" t="s">
        <v>2957</v>
      </c>
      <c r="C32" s="41" t="s">
        <v>2928</v>
      </c>
      <c r="D32" s="41" t="s">
        <v>107</v>
      </c>
      <c r="E32" s="41" t="s">
        <v>2929</v>
      </c>
      <c r="F32" s="41" t="s">
        <v>2933</v>
      </c>
      <c r="G32" s="41" t="s">
        <v>2934</v>
      </c>
    </row>
    <row r="33" spans="1:7" x14ac:dyDescent="0.25">
      <c r="A33" s="41" t="s">
        <v>2965</v>
      </c>
      <c r="B33" s="41" t="s">
        <v>2957</v>
      </c>
      <c r="C33" s="41" t="s">
        <v>2928</v>
      </c>
      <c r="D33" s="41" t="s">
        <v>107</v>
      </c>
      <c r="E33" s="41" t="s">
        <v>2929</v>
      </c>
      <c r="F33" s="41" t="s">
        <v>2930</v>
      </c>
      <c r="G33" s="41" t="s">
        <v>2931</v>
      </c>
    </row>
    <row r="34" spans="1:7" x14ac:dyDescent="0.25">
      <c r="A34" s="41" t="s">
        <v>2966</v>
      </c>
      <c r="B34" s="41" t="s">
        <v>2957</v>
      </c>
      <c r="C34" s="41" t="s">
        <v>2928</v>
      </c>
      <c r="D34" s="41" t="s">
        <v>107</v>
      </c>
      <c r="E34" s="41" t="s">
        <v>2929</v>
      </c>
      <c r="F34" s="41" t="s">
        <v>2930</v>
      </c>
      <c r="G34" s="41" t="s">
        <v>2931</v>
      </c>
    </row>
    <row r="35" spans="1:7" x14ac:dyDescent="0.25">
      <c r="A35" s="41" t="s">
        <v>2967</v>
      </c>
      <c r="B35" s="41" t="s">
        <v>2957</v>
      </c>
      <c r="C35" s="41" t="s">
        <v>2928</v>
      </c>
      <c r="D35" s="41" t="s">
        <v>107</v>
      </c>
      <c r="E35" s="41" t="s">
        <v>2929</v>
      </c>
      <c r="F35" s="41" t="s">
        <v>2930</v>
      </c>
      <c r="G35" s="41" t="s">
        <v>2931</v>
      </c>
    </row>
    <row r="36" spans="1:7" x14ac:dyDescent="0.25">
      <c r="A36" s="41" t="s">
        <v>2968</v>
      </c>
      <c r="B36" s="41" t="s">
        <v>2957</v>
      </c>
      <c r="C36" s="41" t="s">
        <v>2928</v>
      </c>
      <c r="D36" s="41" t="s">
        <v>107</v>
      </c>
      <c r="E36" s="41" t="s">
        <v>2929</v>
      </c>
      <c r="F36" s="41" t="s">
        <v>2930</v>
      </c>
      <c r="G36" s="41" t="s">
        <v>2931</v>
      </c>
    </row>
    <row r="37" spans="1:7" x14ac:dyDescent="0.25">
      <c r="A37" s="41" t="s">
        <v>2969</v>
      </c>
      <c r="B37" s="41" t="s">
        <v>2957</v>
      </c>
      <c r="C37" s="41" t="s">
        <v>2928</v>
      </c>
      <c r="D37" s="41" t="s">
        <v>107</v>
      </c>
      <c r="E37" s="41" t="s">
        <v>2929</v>
      </c>
      <c r="F37" s="41" t="s">
        <v>2930</v>
      </c>
      <c r="G37" s="41" t="s">
        <v>2931</v>
      </c>
    </row>
    <row r="38" spans="1:7" x14ac:dyDescent="0.25">
      <c r="A38" s="41" t="s">
        <v>2970</v>
      </c>
      <c r="B38" s="41" t="s">
        <v>2957</v>
      </c>
      <c r="C38" s="41" t="s">
        <v>2928</v>
      </c>
      <c r="D38" s="41" t="s">
        <v>107</v>
      </c>
      <c r="E38" s="41" t="s">
        <v>2929</v>
      </c>
      <c r="F38" s="41" t="s">
        <v>2930</v>
      </c>
      <c r="G38" s="41" t="s">
        <v>2931</v>
      </c>
    </row>
    <row r="39" spans="1:7" x14ac:dyDescent="0.25">
      <c r="A39" s="41" t="s">
        <v>2971</v>
      </c>
      <c r="B39" s="41" t="s">
        <v>2957</v>
      </c>
      <c r="C39" s="41" t="s">
        <v>2928</v>
      </c>
      <c r="D39" s="41" t="s">
        <v>107</v>
      </c>
      <c r="E39" s="41" t="s">
        <v>2929</v>
      </c>
      <c r="F39" s="41" t="s">
        <v>2930</v>
      </c>
      <c r="G39" s="41" t="s">
        <v>2931</v>
      </c>
    </row>
    <row r="40" spans="1:7" x14ac:dyDescent="0.25">
      <c r="A40" s="41" t="s">
        <v>2972</v>
      </c>
      <c r="B40" s="41" t="s">
        <v>2957</v>
      </c>
      <c r="C40" s="41" t="s">
        <v>2928</v>
      </c>
      <c r="D40" s="41" t="s">
        <v>107</v>
      </c>
      <c r="E40" s="41" t="s">
        <v>2929</v>
      </c>
      <c r="F40" s="41" t="s">
        <v>2949</v>
      </c>
      <c r="G40" s="41" t="s">
        <v>2950</v>
      </c>
    </row>
    <row r="41" spans="1:7" x14ac:dyDescent="0.25">
      <c r="A41" s="41" t="s">
        <v>2973</v>
      </c>
      <c r="B41" s="41" t="s">
        <v>2957</v>
      </c>
      <c r="C41" s="41" t="s">
        <v>2928</v>
      </c>
      <c r="D41" s="41" t="s">
        <v>107</v>
      </c>
      <c r="E41" s="41" t="s">
        <v>2929</v>
      </c>
      <c r="F41" s="41" t="s">
        <v>2949</v>
      </c>
      <c r="G41" s="41" t="s">
        <v>2950</v>
      </c>
    </row>
    <row r="42" spans="1:7" x14ac:dyDescent="0.25">
      <c r="A42" s="41" t="s">
        <v>2974</v>
      </c>
      <c r="B42" s="41" t="s">
        <v>2957</v>
      </c>
      <c r="C42" s="41" t="s">
        <v>2928</v>
      </c>
      <c r="D42" s="41" t="s">
        <v>107</v>
      </c>
      <c r="E42" s="41" t="s">
        <v>2929</v>
      </c>
      <c r="F42" s="41" t="s">
        <v>2949</v>
      </c>
      <c r="G42" s="41" t="s">
        <v>2950</v>
      </c>
    </row>
    <row r="43" spans="1:7" x14ac:dyDescent="0.25">
      <c r="A43" s="41" t="s">
        <v>2975</v>
      </c>
      <c r="B43" s="41" t="s">
        <v>2957</v>
      </c>
      <c r="C43" s="41" t="s">
        <v>2928</v>
      </c>
      <c r="D43" s="41" t="s">
        <v>107</v>
      </c>
      <c r="E43" s="41" t="s">
        <v>2929</v>
      </c>
      <c r="F43" s="41" t="s">
        <v>2949</v>
      </c>
      <c r="G43" s="41" t="s">
        <v>2950</v>
      </c>
    </row>
    <row r="44" spans="1:7" x14ac:dyDescent="0.25">
      <c r="A44" s="41" t="s">
        <v>2976</v>
      </c>
      <c r="B44" s="41" t="s">
        <v>2957</v>
      </c>
      <c r="C44" s="41" t="s">
        <v>2928</v>
      </c>
      <c r="D44" s="41" t="s">
        <v>107</v>
      </c>
      <c r="E44" s="41" t="s">
        <v>2929</v>
      </c>
      <c r="F44" s="41" t="s">
        <v>2949</v>
      </c>
      <c r="G44" s="41" t="s">
        <v>2950</v>
      </c>
    </row>
    <row r="45" spans="1:7" x14ac:dyDescent="0.25">
      <c r="A45" s="41" t="s">
        <v>2977</v>
      </c>
      <c r="B45" s="41" t="s">
        <v>2957</v>
      </c>
      <c r="C45" s="41" t="s">
        <v>2928</v>
      </c>
      <c r="D45" s="41" t="s">
        <v>107</v>
      </c>
      <c r="E45" s="41" t="s">
        <v>2929</v>
      </c>
      <c r="F45" s="41" t="s">
        <v>2949</v>
      </c>
      <c r="G45" s="41" t="s">
        <v>2950</v>
      </c>
    </row>
    <row r="46" spans="1:7" x14ac:dyDescent="0.25">
      <c r="A46" s="41" t="s">
        <v>2978</v>
      </c>
      <c r="B46" s="41" t="s">
        <v>2957</v>
      </c>
      <c r="C46" s="41" t="s">
        <v>2928</v>
      </c>
      <c r="D46" s="41" t="s">
        <v>107</v>
      </c>
      <c r="E46" s="41" t="s">
        <v>2929</v>
      </c>
      <c r="F46" s="41" t="s">
        <v>2949</v>
      </c>
      <c r="G46" s="41" t="s">
        <v>2950</v>
      </c>
    </row>
    <row r="47" spans="1:7" x14ac:dyDescent="0.25">
      <c r="A47" s="41" t="s">
        <v>2979</v>
      </c>
      <c r="B47" s="41" t="s">
        <v>2980</v>
      </c>
      <c r="C47" s="41" t="s">
        <v>95</v>
      </c>
      <c r="D47" s="41" t="s">
        <v>2981</v>
      </c>
      <c r="E47" s="41" t="s">
        <v>2929</v>
      </c>
      <c r="F47" s="41" t="s">
        <v>2949</v>
      </c>
      <c r="G47" s="41" t="s">
        <v>2950</v>
      </c>
    </row>
    <row r="48" spans="1:7" x14ac:dyDescent="0.25">
      <c r="A48" s="41" t="s">
        <v>2982</v>
      </c>
      <c r="B48" s="41" t="s">
        <v>2983</v>
      </c>
      <c r="C48" s="41" t="s">
        <v>95</v>
      </c>
      <c r="D48" s="41" t="s">
        <v>106</v>
      </c>
      <c r="E48" s="41" t="s">
        <v>2984</v>
      </c>
      <c r="F48" s="41" t="s">
        <v>2933</v>
      </c>
      <c r="G48" s="41" t="s">
        <v>2934</v>
      </c>
    </row>
    <row r="49" spans="1:7" x14ac:dyDescent="0.25">
      <c r="A49" s="41" t="s">
        <v>2985</v>
      </c>
      <c r="B49" s="41" t="s">
        <v>2986</v>
      </c>
      <c r="C49" s="41" t="s">
        <v>77</v>
      </c>
      <c r="D49" s="41" t="s">
        <v>2987</v>
      </c>
      <c r="E49" s="41" t="s">
        <v>2984</v>
      </c>
      <c r="F49" s="41" t="s">
        <v>2933</v>
      </c>
      <c r="G49" s="41" t="s">
        <v>2934</v>
      </c>
    </row>
    <row r="50" spans="1:7" x14ac:dyDescent="0.25">
      <c r="A50" s="41" t="s">
        <v>2988</v>
      </c>
      <c r="B50" s="41" t="s">
        <v>2989</v>
      </c>
      <c r="C50" s="41" t="s">
        <v>74</v>
      </c>
      <c r="D50" s="41" t="s">
        <v>2990</v>
      </c>
      <c r="E50" s="41" t="s">
        <v>2984</v>
      </c>
      <c r="F50" s="41" t="s">
        <v>2933</v>
      </c>
      <c r="G50" s="41" t="s">
        <v>2934</v>
      </c>
    </row>
    <row r="51" spans="1:7" x14ac:dyDescent="0.25">
      <c r="A51" s="41" t="s">
        <v>2991</v>
      </c>
      <c r="B51" s="41" t="s">
        <v>2989</v>
      </c>
      <c r="C51" s="41" t="s">
        <v>74</v>
      </c>
      <c r="D51" s="41" t="s">
        <v>2990</v>
      </c>
      <c r="E51" s="41" t="s">
        <v>2929</v>
      </c>
      <c r="F51" s="41" t="s">
        <v>2933</v>
      </c>
      <c r="G51" s="41" t="s">
        <v>2934</v>
      </c>
    </row>
    <row r="52" spans="1:7" x14ac:dyDescent="0.25">
      <c r="A52" s="41" t="s">
        <v>2992</v>
      </c>
      <c r="B52" s="41" t="s">
        <v>2993</v>
      </c>
      <c r="C52" s="41" t="s">
        <v>128</v>
      </c>
      <c r="D52" s="41" t="s">
        <v>132</v>
      </c>
      <c r="E52" s="41" t="s">
        <v>2929</v>
      </c>
      <c r="F52" s="41" t="s">
        <v>2949</v>
      </c>
      <c r="G52" s="41" t="s">
        <v>2950</v>
      </c>
    </row>
    <row r="53" spans="1:7" x14ac:dyDescent="0.25">
      <c r="A53" s="41" t="s">
        <v>2994</v>
      </c>
      <c r="B53" s="41" t="s">
        <v>2995</v>
      </c>
      <c r="C53" s="41" t="s">
        <v>78</v>
      </c>
      <c r="D53" s="41" t="s">
        <v>2996</v>
      </c>
      <c r="E53" s="41" t="s">
        <v>2929</v>
      </c>
      <c r="F53" s="41" t="s">
        <v>2933</v>
      </c>
      <c r="G53" s="41" t="s">
        <v>2934</v>
      </c>
    </row>
    <row r="54" spans="1:7" x14ac:dyDescent="0.25">
      <c r="A54" s="41" t="s">
        <v>2997</v>
      </c>
      <c r="B54" s="41" t="s">
        <v>2998</v>
      </c>
      <c r="C54" s="41" t="s">
        <v>78</v>
      </c>
      <c r="D54" s="41" t="s">
        <v>2999</v>
      </c>
      <c r="E54" s="41" t="s">
        <v>2929</v>
      </c>
      <c r="F54" s="41" t="s">
        <v>2949</v>
      </c>
      <c r="G54" s="41" t="s">
        <v>2950</v>
      </c>
    </row>
    <row r="55" spans="1:7" x14ac:dyDescent="0.25">
      <c r="A55" s="41" t="s">
        <v>3000</v>
      </c>
      <c r="B55" s="41" t="s">
        <v>2995</v>
      </c>
      <c r="C55" s="41" t="s">
        <v>78</v>
      </c>
      <c r="D55" s="41" t="s">
        <v>2996</v>
      </c>
      <c r="E55" s="41" t="s">
        <v>2929</v>
      </c>
      <c r="F55" s="41" t="s">
        <v>2949</v>
      </c>
      <c r="G55" s="41" t="s">
        <v>2950</v>
      </c>
    </row>
    <row r="56" spans="1:7" x14ac:dyDescent="0.25">
      <c r="A56" s="41" t="s">
        <v>3001</v>
      </c>
      <c r="B56" s="41" t="s">
        <v>3002</v>
      </c>
      <c r="C56" s="41" t="s">
        <v>77</v>
      </c>
      <c r="D56" s="41" t="s">
        <v>3003</v>
      </c>
      <c r="E56" s="41" t="s">
        <v>2929</v>
      </c>
      <c r="F56" s="41" t="s">
        <v>2949</v>
      </c>
      <c r="G56" s="41" t="s">
        <v>2950</v>
      </c>
    </row>
    <row r="57" spans="1:7" x14ac:dyDescent="0.25">
      <c r="A57" s="41" t="s">
        <v>3004</v>
      </c>
      <c r="B57" s="41" t="s">
        <v>3005</v>
      </c>
      <c r="C57" s="41" t="s">
        <v>77</v>
      </c>
      <c r="D57" s="41" t="s">
        <v>3006</v>
      </c>
      <c r="E57" s="41" t="s">
        <v>2929</v>
      </c>
      <c r="F57" s="41" t="s">
        <v>2930</v>
      </c>
      <c r="G57" s="41" t="s">
        <v>2931</v>
      </c>
    </row>
    <row r="58" spans="1:7" x14ac:dyDescent="0.25">
      <c r="A58" s="41" t="s">
        <v>3007</v>
      </c>
      <c r="B58" s="41" t="s">
        <v>3005</v>
      </c>
      <c r="C58" s="41" t="s">
        <v>77</v>
      </c>
      <c r="D58" s="41" t="s">
        <v>3006</v>
      </c>
      <c r="E58" s="41" t="s">
        <v>2984</v>
      </c>
      <c r="F58" s="41" t="s">
        <v>2949</v>
      </c>
      <c r="G58" s="41" t="s">
        <v>2950</v>
      </c>
    </row>
    <row r="59" spans="1:7" x14ac:dyDescent="0.25">
      <c r="A59" s="41" t="s">
        <v>3008</v>
      </c>
      <c r="B59" s="41" t="s">
        <v>3002</v>
      </c>
      <c r="C59" s="41" t="s">
        <v>77</v>
      </c>
      <c r="D59" s="41" t="s">
        <v>3003</v>
      </c>
      <c r="E59" s="41" t="s">
        <v>3009</v>
      </c>
      <c r="F59" s="41" t="s">
        <v>2933</v>
      </c>
      <c r="G59" s="41" t="s">
        <v>2934</v>
      </c>
    </row>
    <row r="60" spans="1:7" x14ac:dyDescent="0.25">
      <c r="A60" s="41" t="s">
        <v>3010</v>
      </c>
      <c r="B60" s="41" t="s">
        <v>2983</v>
      </c>
      <c r="C60" s="41" t="s">
        <v>95</v>
      </c>
      <c r="D60" s="41" t="s">
        <v>106</v>
      </c>
      <c r="E60" s="41" t="s">
        <v>2929</v>
      </c>
      <c r="F60" s="41" t="s">
        <v>2933</v>
      </c>
      <c r="G60" s="41" t="s">
        <v>2934</v>
      </c>
    </row>
    <row r="61" spans="1:7" x14ac:dyDescent="0.25">
      <c r="A61" s="41" t="s">
        <v>3011</v>
      </c>
      <c r="B61" s="41" t="s">
        <v>2983</v>
      </c>
      <c r="C61" s="41" t="s">
        <v>95</v>
      </c>
      <c r="D61" s="41" t="s">
        <v>106</v>
      </c>
      <c r="E61" s="41" t="s">
        <v>2929</v>
      </c>
      <c r="F61" s="41" t="s">
        <v>2949</v>
      </c>
      <c r="G61" s="41" t="s">
        <v>2950</v>
      </c>
    </row>
    <row r="62" spans="1:7" x14ac:dyDescent="0.25">
      <c r="A62" s="41" t="s">
        <v>3012</v>
      </c>
      <c r="B62" s="41" t="s">
        <v>2983</v>
      </c>
      <c r="C62" s="41" t="s">
        <v>95</v>
      </c>
      <c r="D62" s="41" t="s">
        <v>106</v>
      </c>
      <c r="E62" s="41" t="s">
        <v>2984</v>
      </c>
      <c r="F62" s="41" t="s">
        <v>2949</v>
      </c>
      <c r="G62" s="41" t="s">
        <v>2950</v>
      </c>
    </row>
    <row r="63" spans="1:7" x14ac:dyDescent="0.25">
      <c r="A63" s="41" t="s">
        <v>3013</v>
      </c>
      <c r="B63" s="41" t="s">
        <v>2983</v>
      </c>
      <c r="C63" s="41" t="s">
        <v>95</v>
      </c>
      <c r="D63" s="41" t="s">
        <v>106</v>
      </c>
      <c r="E63" s="41" t="s">
        <v>2929</v>
      </c>
      <c r="F63" s="41" t="s">
        <v>2949</v>
      </c>
      <c r="G63" s="41" t="s">
        <v>2950</v>
      </c>
    </row>
    <row r="64" spans="1:7" x14ac:dyDescent="0.25">
      <c r="A64" s="41" t="s">
        <v>3014</v>
      </c>
      <c r="B64" s="41" t="s">
        <v>2983</v>
      </c>
      <c r="C64" s="41" t="s">
        <v>95</v>
      </c>
      <c r="D64" s="41" t="s">
        <v>106</v>
      </c>
      <c r="E64" s="41" t="s">
        <v>2929</v>
      </c>
      <c r="F64" s="41" t="s">
        <v>2933</v>
      </c>
      <c r="G64" s="41" t="s">
        <v>2934</v>
      </c>
    </row>
    <row r="65" spans="1:7" x14ac:dyDescent="0.25">
      <c r="A65" s="41" t="s">
        <v>3015</v>
      </c>
      <c r="B65" s="41" t="s">
        <v>2983</v>
      </c>
      <c r="C65" s="41" t="s">
        <v>95</v>
      </c>
      <c r="D65" s="41" t="s">
        <v>106</v>
      </c>
      <c r="E65" s="41" t="s">
        <v>2929</v>
      </c>
      <c r="F65" s="41" t="s">
        <v>2949</v>
      </c>
      <c r="G65" s="41" t="s">
        <v>2950</v>
      </c>
    </row>
    <row r="66" spans="1:7" x14ac:dyDescent="0.25">
      <c r="A66" s="41" t="s">
        <v>3016</v>
      </c>
      <c r="B66" s="41" t="s">
        <v>2986</v>
      </c>
      <c r="C66" s="41" t="s">
        <v>77</v>
      </c>
      <c r="D66" s="41" t="s">
        <v>2987</v>
      </c>
      <c r="E66" s="41" t="s">
        <v>2929</v>
      </c>
      <c r="F66" s="41" t="s">
        <v>2933</v>
      </c>
      <c r="G66" s="41" t="s">
        <v>2934</v>
      </c>
    </row>
    <row r="67" spans="1:7" x14ac:dyDescent="0.25">
      <c r="A67" s="41" t="s">
        <v>3017</v>
      </c>
      <c r="B67" s="41" t="s">
        <v>3018</v>
      </c>
      <c r="C67" s="41" t="s">
        <v>77</v>
      </c>
      <c r="D67" s="41" t="s">
        <v>3003</v>
      </c>
      <c r="E67" s="41" t="s">
        <v>2929</v>
      </c>
      <c r="F67" s="41" t="s">
        <v>2949</v>
      </c>
      <c r="G67" s="41" t="s">
        <v>2950</v>
      </c>
    </row>
    <row r="68" spans="1:7" x14ac:dyDescent="0.25">
      <c r="A68" s="41" t="s">
        <v>3019</v>
      </c>
      <c r="B68" s="41" t="s">
        <v>2986</v>
      </c>
      <c r="C68" s="41" t="s">
        <v>77</v>
      </c>
      <c r="D68" s="41" t="s">
        <v>2987</v>
      </c>
      <c r="E68" s="41" t="s">
        <v>2929</v>
      </c>
      <c r="F68" s="41" t="s">
        <v>2949</v>
      </c>
      <c r="G68" s="41" t="s">
        <v>2950</v>
      </c>
    </row>
    <row r="69" spans="1:7" x14ac:dyDescent="0.25">
      <c r="A69" s="41" t="s">
        <v>3020</v>
      </c>
      <c r="B69" s="41" t="s">
        <v>2986</v>
      </c>
      <c r="C69" s="41" t="s">
        <v>77</v>
      </c>
      <c r="D69" s="41" t="s">
        <v>2987</v>
      </c>
      <c r="E69" s="41" t="s">
        <v>2929</v>
      </c>
      <c r="F69" s="41" t="s">
        <v>2933</v>
      </c>
      <c r="G69" s="41" t="s">
        <v>2934</v>
      </c>
    </row>
    <row r="70" spans="1:7" x14ac:dyDescent="0.25">
      <c r="A70" s="41" t="s">
        <v>3021</v>
      </c>
      <c r="B70" s="41" t="s">
        <v>2986</v>
      </c>
      <c r="C70" s="41" t="s">
        <v>77</v>
      </c>
      <c r="D70" s="41" t="s">
        <v>2987</v>
      </c>
      <c r="E70" s="41" t="s">
        <v>2929</v>
      </c>
      <c r="F70" s="41" t="s">
        <v>2949</v>
      </c>
      <c r="G70" s="41" t="s">
        <v>2950</v>
      </c>
    </row>
    <row r="71" spans="1:7" x14ac:dyDescent="0.25">
      <c r="A71" s="41" t="s">
        <v>3022</v>
      </c>
      <c r="B71" s="41" t="s">
        <v>2989</v>
      </c>
      <c r="C71" s="41" t="s">
        <v>74</v>
      </c>
      <c r="D71" s="41" t="s">
        <v>2990</v>
      </c>
      <c r="E71" s="41" t="s">
        <v>2929</v>
      </c>
      <c r="F71" s="41" t="s">
        <v>2933</v>
      </c>
      <c r="G71" s="41" t="s">
        <v>2934</v>
      </c>
    </row>
    <row r="72" spans="1:7" x14ac:dyDescent="0.25">
      <c r="A72" s="41" t="s">
        <v>3023</v>
      </c>
      <c r="B72" s="41" t="s">
        <v>2989</v>
      </c>
      <c r="C72" s="41" t="s">
        <v>74</v>
      </c>
      <c r="D72" s="41" t="s">
        <v>2990</v>
      </c>
      <c r="E72" s="41" t="s">
        <v>2984</v>
      </c>
      <c r="F72" s="41" t="s">
        <v>2930</v>
      </c>
      <c r="G72" s="41" t="s">
        <v>2931</v>
      </c>
    </row>
    <row r="73" spans="1:7" x14ac:dyDescent="0.25">
      <c r="A73" s="41" t="s">
        <v>3024</v>
      </c>
      <c r="B73" s="41" t="s">
        <v>2989</v>
      </c>
      <c r="C73" s="41" t="s">
        <v>74</v>
      </c>
      <c r="D73" s="41" t="s">
        <v>2990</v>
      </c>
      <c r="E73" s="41" t="s">
        <v>2929</v>
      </c>
      <c r="F73" s="41" t="s">
        <v>2949</v>
      </c>
      <c r="G73" s="41" t="s">
        <v>2950</v>
      </c>
    </row>
    <row r="74" spans="1:7" x14ac:dyDescent="0.25">
      <c r="A74" s="41" t="s">
        <v>3025</v>
      </c>
      <c r="B74" s="41" t="s">
        <v>2989</v>
      </c>
      <c r="C74" s="41" t="s">
        <v>74</v>
      </c>
      <c r="D74" s="41" t="s">
        <v>2990</v>
      </c>
      <c r="E74" s="41" t="s">
        <v>2929</v>
      </c>
      <c r="F74" s="41" t="s">
        <v>2949</v>
      </c>
      <c r="G74" s="41" t="s">
        <v>2950</v>
      </c>
    </row>
    <row r="75" spans="1:7" x14ac:dyDescent="0.25">
      <c r="A75" s="41" t="s">
        <v>3026</v>
      </c>
      <c r="B75" s="41" t="s">
        <v>2989</v>
      </c>
      <c r="C75" s="41" t="s">
        <v>74</v>
      </c>
      <c r="D75" s="41" t="s">
        <v>2990</v>
      </c>
      <c r="E75" s="41" t="s">
        <v>2929</v>
      </c>
      <c r="F75" s="41" t="s">
        <v>2949</v>
      </c>
      <c r="G75" s="41" t="s">
        <v>2950</v>
      </c>
    </row>
    <row r="76" spans="1:7" x14ac:dyDescent="0.25">
      <c r="A76" s="41" t="s">
        <v>3027</v>
      </c>
      <c r="B76" s="41" t="s">
        <v>2989</v>
      </c>
      <c r="C76" s="41" t="s">
        <v>74</v>
      </c>
      <c r="D76" s="41" t="s">
        <v>2990</v>
      </c>
      <c r="E76" s="41" t="s">
        <v>2929</v>
      </c>
      <c r="F76" s="41" t="s">
        <v>2933</v>
      </c>
      <c r="G76" s="41" t="s">
        <v>2934</v>
      </c>
    </row>
    <row r="77" spans="1:7" x14ac:dyDescent="0.25">
      <c r="A77" s="41" t="s">
        <v>3028</v>
      </c>
      <c r="B77" s="41" t="s">
        <v>2989</v>
      </c>
      <c r="C77" s="41" t="s">
        <v>74</v>
      </c>
      <c r="D77" s="41" t="s">
        <v>2990</v>
      </c>
      <c r="E77" s="41" t="s">
        <v>2929</v>
      </c>
      <c r="F77" s="41" t="s">
        <v>2949</v>
      </c>
      <c r="G77" s="41" t="s">
        <v>2950</v>
      </c>
    </row>
    <row r="78" spans="1:7" x14ac:dyDescent="0.25">
      <c r="A78" s="41" t="s">
        <v>3029</v>
      </c>
      <c r="B78" s="41" t="s">
        <v>2989</v>
      </c>
      <c r="C78" s="41" t="s">
        <v>74</v>
      </c>
      <c r="D78" s="41" t="s">
        <v>2990</v>
      </c>
      <c r="E78" s="41" t="s">
        <v>2984</v>
      </c>
      <c r="F78" s="41" t="s">
        <v>2949</v>
      </c>
      <c r="G78" s="41" t="s">
        <v>2950</v>
      </c>
    </row>
    <row r="79" spans="1:7" x14ac:dyDescent="0.25">
      <c r="A79" s="41" t="s">
        <v>3030</v>
      </c>
      <c r="B79" s="41" t="s">
        <v>2993</v>
      </c>
      <c r="C79" s="41" t="s">
        <v>128</v>
      </c>
      <c r="D79" s="41" t="s">
        <v>132</v>
      </c>
      <c r="E79" s="41" t="s">
        <v>2984</v>
      </c>
      <c r="F79" s="41" t="s">
        <v>2949</v>
      </c>
      <c r="G79" s="41" t="s">
        <v>2950</v>
      </c>
    </row>
    <row r="80" spans="1:7" x14ac:dyDescent="0.25">
      <c r="A80" s="41" t="s">
        <v>3031</v>
      </c>
      <c r="B80" s="41" t="s">
        <v>2995</v>
      </c>
      <c r="C80" s="41" t="s">
        <v>78</v>
      </c>
      <c r="D80" s="41" t="s">
        <v>2996</v>
      </c>
      <c r="E80" s="41" t="s">
        <v>2929</v>
      </c>
      <c r="F80" s="41" t="s">
        <v>2930</v>
      </c>
      <c r="G80" s="41" t="s">
        <v>2931</v>
      </c>
    </row>
    <row r="81" spans="1:7" x14ac:dyDescent="0.25">
      <c r="A81" s="41" t="s">
        <v>3032</v>
      </c>
      <c r="B81" s="41" t="s">
        <v>2995</v>
      </c>
      <c r="C81" s="41" t="s">
        <v>78</v>
      </c>
      <c r="D81" s="41" t="s">
        <v>2996</v>
      </c>
      <c r="E81" s="41" t="s">
        <v>2929</v>
      </c>
      <c r="F81" s="41" t="s">
        <v>2949</v>
      </c>
      <c r="G81" s="41" t="s">
        <v>2950</v>
      </c>
    </row>
    <row r="82" spans="1:7" x14ac:dyDescent="0.25">
      <c r="A82" s="41" t="s">
        <v>3033</v>
      </c>
      <c r="B82" s="41" t="s">
        <v>3034</v>
      </c>
      <c r="C82" s="41" t="s">
        <v>78</v>
      </c>
      <c r="D82" s="41" t="s">
        <v>3035</v>
      </c>
      <c r="E82" s="41" t="s">
        <v>2929</v>
      </c>
      <c r="F82" s="41" t="s">
        <v>2949</v>
      </c>
      <c r="G82" s="41" t="s">
        <v>2950</v>
      </c>
    </row>
    <row r="83" spans="1:7" x14ac:dyDescent="0.25">
      <c r="A83" s="41" t="s">
        <v>3036</v>
      </c>
      <c r="B83" s="41" t="s">
        <v>2995</v>
      </c>
      <c r="C83" s="41" t="s">
        <v>78</v>
      </c>
      <c r="D83" s="41" t="s">
        <v>2996</v>
      </c>
      <c r="E83" s="41" t="s">
        <v>2984</v>
      </c>
      <c r="F83" s="41" t="s">
        <v>2930</v>
      </c>
      <c r="G83" s="41" t="s">
        <v>2931</v>
      </c>
    </row>
    <row r="84" spans="1:7" x14ac:dyDescent="0.25">
      <c r="A84" s="41" t="s">
        <v>3037</v>
      </c>
      <c r="B84" s="41" t="s">
        <v>2995</v>
      </c>
      <c r="C84" s="41" t="s">
        <v>78</v>
      </c>
      <c r="D84" s="41" t="s">
        <v>2996</v>
      </c>
      <c r="E84" s="41" t="s">
        <v>2929</v>
      </c>
      <c r="F84" s="41" t="s">
        <v>2933</v>
      </c>
      <c r="G84" s="41" t="s">
        <v>2934</v>
      </c>
    </row>
    <row r="85" spans="1:7" x14ac:dyDescent="0.25">
      <c r="A85" s="41" t="s">
        <v>3038</v>
      </c>
      <c r="B85" s="41" t="s">
        <v>2995</v>
      </c>
      <c r="C85" s="41" t="s">
        <v>78</v>
      </c>
      <c r="D85" s="41" t="s">
        <v>2996</v>
      </c>
      <c r="E85" s="41" t="s">
        <v>2929</v>
      </c>
      <c r="F85" s="41" t="s">
        <v>2949</v>
      </c>
      <c r="G85" s="41" t="s">
        <v>2950</v>
      </c>
    </row>
    <row r="86" spans="1:7" x14ac:dyDescent="0.25">
      <c r="A86" s="41" t="s">
        <v>3039</v>
      </c>
      <c r="B86" s="41" t="s">
        <v>2995</v>
      </c>
      <c r="C86" s="41" t="s">
        <v>78</v>
      </c>
      <c r="D86" s="41" t="s">
        <v>2996</v>
      </c>
      <c r="E86" s="41" t="s">
        <v>2929</v>
      </c>
      <c r="F86" s="41" t="s">
        <v>2930</v>
      </c>
      <c r="G86" s="41" t="s">
        <v>2931</v>
      </c>
    </row>
    <row r="87" spans="1:7" x14ac:dyDescent="0.25">
      <c r="A87" s="41" t="s">
        <v>3040</v>
      </c>
      <c r="B87" s="41" t="s">
        <v>2998</v>
      </c>
      <c r="C87" s="41" t="s">
        <v>78</v>
      </c>
      <c r="D87" s="41" t="s">
        <v>2999</v>
      </c>
      <c r="E87" s="41" t="s">
        <v>2929</v>
      </c>
      <c r="F87" s="41" t="s">
        <v>2933</v>
      </c>
      <c r="G87" s="41" t="s">
        <v>2934</v>
      </c>
    </row>
    <row r="88" spans="1:7" x14ac:dyDescent="0.25">
      <c r="A88" s="41" t="s">
        <v>3041</v>
      </c>
      <c r="B88" s="41" t="s">
        <v>2995</v>
      </c>
      <c r="C88" s="41" t="s">
        <v>78</v>
      </c>
      <c r="D88" s="41" t="s">
        <v>2996</v>
      </c>
      <c r="E88" s="41" t="s">
        <v>2929</v>
      </c>
      <c r="F88" s="41" t="s">
        <v>2949</v>
      </c>
      <c r="G88" s="41" t="s">
        <v>2950</v>
      </c>
    </row>
    <row r="89" spans="1:7" x14ac:dyDescent="0.25">
      <c r="A89" s="41" t="s">
        <v>179</v>
      </c>
      <c r="B89" s="41" t="s">
        <v>3042</v>
      </c>
      <c r="C89" s="41" t="s">
        <v>2928</v>
      </c>
      <c r="D89" s="41" t="s">
        <v>179</v>
      </c>
      <c r="E89" s="41" t="s">
        <v>2929</v>
      </c>
      <c r="F89" s="41" t="s">
        <v>2930</v>
      </c>
      <c r="G89" s="41" t="s">
        <v>2931</v>
      </c>
    </row>
    <row r="90" spans="1:7" x14ac:dyDescent="0.25">
      <c r="A90" s="41" t="s">
        <v>3043</v>
      </c>
      <c r="B90" s="41" t="s">
        <v>3042</v>
      </c>
      <c r="C90" s="41" t="s">
        <v>2928</v>
      </c>
      <c r="D90" s="41" t="s">
        <v>179</v>
      </c>
      <c r="E90" s="41" t="s">
        <v>2929</v>
      </c>
      <c r="F90" s="41" t="s">
        <v>2933</v>
      </c>
      <c r="G90" s="41" t="s">
        <v>2934</v>
      </c>
    </row>
    <row r="91" spans="1:7" x14ac:dyDescent="0.25">
      <c r="A91" s="41" t="s">
        <v>3044</v>
      </c>
      <c r="B91" s="41" t="s">
        <v>3042</v>
      </c>
      <c r="C91" s="41" t="s">
        <v>2928</v>
      </c>
      <c r="D91" s="41" t="s">
        <v>179</v>
      </c>
      <c r="E91" s="41" t="s">
        <v>2929</v>
      </c>
      <c r="F91" s="41" t="s">
        <v>2933</v>
      </c>
      <c r="G91" s="41" t="s">
        <v>2934</v>
      </c>
    </row>
    <row r="92" spans="1:7" x14ac:dyDescent="0.25">
      <c r="A92" s="41" t="s">
        <v>3045</v>
      </c>
      <c r="B92" s="41" t="s">
        <v>3042</v>
      </c>
      <c r="C92" s="41" t="s">
        <v>2928</v>
      </c>
      <c r="D92" s="41" t="s">
        <v>179</v>
      </c>
      <c r="E92" s="41" t="s">
        <v>2929</v>
      </c>
      <c r="F92" s="41" t="s">
        <v>2933</v>
      </c>
      <c r="G92" s="41" t="s">
        <v>2934</v>
      </c>
    </row>
    <row r="93" spans="1:7" x14ac:dyDescent="0.25">
      <c r="A93" s="41" t="s">
        <v>3046</v>
      </c>
      <c r="B93" s="41" t="s">
        <v>3042</v>
      </c>
      <c r="C93" s="41" t="s">
        <v>2928</v>
      </c>
      <c r="D93" s="41" t="s">
        <v>179</v>
      </c>
      <c r="E93" s="41" t="s">
        <v>2929</v>
      </c>
      <c r="F93" s="41" t="s">
        <v>2933</v>
      </c>
      <c r="G93" s="41" t="s">
        <v>2934</v>
      </c>
    </row>
    <row r="94" spans="1:7" x14ac:dyDescent="0.25">
      <c r="A94" s="41" t="s">
        <v>3047</v>
      </c>
      <c r="B94" s="41" t="s">
        <v>3042</v>
      </c>
      <c r="C94" s="41" t="s">
        <v>2928</v>
      </c>
      <c r="D94" s="41" t="s">
        <v>179</v>
      </c>
      <c r="E94" s="41" t="s">
        <v>2929</v>
      </c>
      <c r="F94" s="41" t="s">
        <v>2933</v>
      </c>
      <c r="G94" s="41" t="s">
        <v>2934</v>
      </c>
    </row>
    <row r="95" spans="1:7" x14ac:dyDescent="0.25">
      <c r="A95" s="41" t="s">
        <v>3048</v>
      </c>
      <c r="B95" s="41" t="s">
        <v>3042</v>
      </c>
      <c r="C95" s="41" t="s">
        <v>2928</v>
      </c>
      <c r="D95" s="41" t="s">
        <v>179</v>
      </c>
      <c r="E95" s="41" t="s">
        <v>2929</v>
      </c>
      <c r="F95" s="41" t="s">
        <v>2933</v>
      </c>
      <c r="G95" s="41" t="s">
        <v>2934</v>
      </c>
    </row>
    <row r="96" spans="1:7" x14ac:dyDescent="0.25">
      <c r="A96" s="41" t="s">
        <v>3049</v>
      </c>
      <c r="B96" s="41" t="s">
        <v>3042</v>
      </c>
      <c r="C96" s="41" t="s">
        <v>2928</v>
      </c>
      <c r="D96" s="41" t="s">
        <v>179</v>
      </c>
      <c r="E96" s="41" t="s">
        <v>2929</v>
      </c>
      <c r="F96" s="41" t="s">
        <v>2933</v>
      </c>
      <c r="G96" s="41" t="s">
        <v>2934</v>
      </c>
    </row>
    <row r="97" spans="1:7" x14ac:dyDescent="0.25">
      <c r="A97" s="41" t="s">
        <v>3050</v>
      </c>
      <c r="B97" s="41" t="s">
        <v>3042</v>
      </c>
      <c r="C97" s="41" t="s">
        <v>2928</v>
      </c>
      <c r="D97" s="41" t="s">
        <v>179</v>
      </c>
      <c r="E97" s="41" t="s">
        <v>2929</v>
      </c>
      <c r="F97" s="41" t="s">
        <v>2930</v>
      </c>
      <c r="G97" s="41" t="s">
        <v>2931</v>
      </c>
    </row>
    <row r="98" spans="1:7" x14ac:dyDescent="0.25">
      <c r="A98" s="41" t="s">
        <v>3051</v>
      </c>
      <c r="B98" s="41" t="s">
        <v>3042</v>
      </c>
      <c r="C98" s="41" t="s">
        <v>2928</v>
      </c>
      <c r="D98" s="41" t="s">
        <v>179</v>
      </c>
      <c r="E98" s="41" t="s">
        <v>2929</v>
      </c>
      <c r="F98" s="41" t="s">
        <v>2930</v>
      </c>
      <c r="G98" s="41" t="s">
        <v>2931</v>
      </c>
    </row>
    <row r="99" spans="1:7" x14ac:dyDescent="0.25">
      <c r="A99" s="41" t="s">
        <v>3052</v>
      </c>
      <c r="B99" s="41" t="s">
        <v>3042</v>
      </c>
      <c r="C99" s="41" t="s">
        <v>2928</v>
      </c>
      <c r="D99" s="41" t="s">
        <v>179</v>
      </c>
      <c r="E99" s="41" t="s">
        <v>2929</v>
      </c>
      <c r="F99" s="41" t="s">
        <v>2930</v>
      </c>
      <c r="G99" s="41" t="s">
        <v>2931</v>
      </c>
    </row>
    <row r="100" spans="1:7" x14ac:dyDescent="0.25">
      <c r="A100" s="41" t="s">
        <v>3053</v>
      </c>
      <c r="B100" s="41" t="s">
        <v>3042</v>
      </c>
      <c r="C100" s="41" t="s">
        <v>2928</v>
      </c>
      <c r="D100" s="41" t="s">
        <v>179</v>
      </c>
      <c r="E100" s="41" t="s">
        <v>2929</v>
      </c>
      <c r="F100" s="41" t="s">
        <v>2930</v>
      </c>
      <c r="G100" s="41" t="s">
        <v>2931</v>
      </c>
    </row>
    <row r="101" spans="1:7" x14ac:dyDescent="0.25">
      <c r="A101" s="41" t="s">
        <v>3054</v>
      </c>
      <c r="B101" s="41" t="s">
        <v>3042</v>
      </c>
      <c r="C101" s="41" t="s">
        <v>2928</v>
      </c>
      <c r="D101" s="41" t="s">
        <v>179</v>
      </c>
      <c r="E101" s="41" t="s">
        <v>2929</v>
      </c>
      <c r="F101" s="41" t="s">
        <v>2930</v>
      </c>
      <c r="G101" s="41" t="s">
        <v>2931</v>
      </c>
    </row>
    <row r="102" spans="1:7" x14ac:dyDescent="0.25">
      <c r="A102" s="41" t="s">
        <v>3055</v>
      </c>
      <c r="B102" s="41" t="s">
        <v>3042</v>
      </c>
      <c r="C102" s="41" t="s">
        <v>2928</v>
      </c>
      <c r="D102" s="41" t="s">
        <v>179</v>
      </c>
      <c r="E102" s="41" t="s">
        <v>2929</v>
      </c>
      <c r="F102" s="41" t="s">
        <v>2930</v>
      </c>
      <c r="G102" s="41" t="s">
        <v>2931</v>
      </c>
    </row>
    <row r="103" spans="1:7" x14ac:dyDescent="0.25">
      <c r="A103" s="41" t="s">
        <v>3056</v>
      </c>
      <c r="B103" s="41" t="s">
        <v>3042</v>
      </c>
      <c r="C103" s="41" t="s">
        <v>2928</v>
      </c>
      <c r="D103" s="41" t="s">
        <v>179</v>
      </c>
      <c r="E103" s="41" t="s">
        <v>2929</v>
      </c>
      <c r="F103" s="41" t="s">
        <v>2930</v>
      </c>
      <c r="G103" s="41" t="s">
        <v>2931</v>
      </c>
    </row>
    <row r="104" spans="1:7" x14ac:dyDescent="0.25">
      <c r="A104" s="41" t="s">
        <v>3057</v>
      </c>
      <c r="B104" s="41" t="s">
        <v>3042</v>
      </c>
      <c r="C104" s="41" t="s">
        <v>2928</v>
      </c>
      <c r="D104" s="41" t="s">
        <v>179</v>
      </c>
      <c r="E104" s="41" t="s">
        <v>2929</v>
      </c>
      <c r="F104" s="41" t="s">
        <v>2949</v>
      </c>
      <c r="G104" s="41" t="s">
        <v>2950</v>
      </c>
    </row>
    <row r="105" spans="1:7" x14ac:dyDescent="0.25">
      <c r="A105" s="41" t="s">
        <v>3058</v>
      </c>
      <c r="B105" s="41" t="s">
        <v>3042</v>
      </c>
      <c r="C105" s="41" t="s">
        <v>2928</v>
      </c>
      <c r="D105" s="41" t="s">
        <v>179</v>
      </c>
      <c r="E105" s="41" t="s">
        <v>2929</v>
      </c>
      <c r="F105" s="41" t="s">
        <v>2949</v>
      </c>
      <c r="G105" s="41" t="s">
        <v>2950</v>
      </c>
    </row>
    <row r="106" spans="1:7" x14ac:dyDescent="0.25">
      <c r="A106" s="41" t="s">
        <v>3059</v>
      </c>
      <c r="B106" s="41" t="s">
        <v>3042</v>
      </c>
      <c r="C106" s="41" t="s">
        <v>2928</v>
      </c>
      <c r="D106" s="41" t="s">
        <v>179</v>
      </c>
      <c r="E106" s="41" t="s">
        <v>2929</v>
      </c>
      <c r="F106" s="41" t="s">
        <v>2949</v>
      </c>
      <c r="G106" s="41" t="s">
        <v>2950</v>
      </c>
    </row>
    <row r="107" spans="1:7" x14ac:dyDescent="0.25">
      <c r="A107" s="41" t="s">
        <v>3060</v>
      </c>
      <c r="B107" s="41" t="s">
        <v>3042</v>
      </c>
      <c r="C107" s="41" t="s">
        <v>2928</v>
      </c>
      <c r="D107" s="41" t="s">
        <v>179</v>
      </c>
      <c r="E107" s="41" t="s">
        <v>2929</v>
      </c>
      <c r="F107" s="41" t="s">
        <v>2949</v>
      </c>
      <c r="G107" s="41" t="s">
        <v>2950</v>
      </c>
    </row>
    <row r="108" spans="1:7" x14ac:dyDescent="0.25">
      <c r="A108" s="41" t="s">
        <v>3061</v>
      </c>
      <c r="B108" s="41" t="s">
        <v>3042</v>
      </c>
      <c r="C108" s="41" t="s">
        <v>2928</v>
      </c>
      <c r="D108" s="41" t="s">
        <v>179</v>
      </c>
      <c r="E108" s="41" t="s">
        <v>2929</v>
      </c>
      <c r="F108" s="41" t="s">
        <v>2949</v>
      </c>
      <c r="G108" s="41" t="s">
        <v>2950</v>
      </c>
    </row>
    <row r="109" spans="1:7" x14ac:dyDescent="0.25">
      <c r="A109" s="41" t="s">
        <v>3062</v>
      </c>
      <c r="B109" s="41" t="s">
        <v>3042</v>
      </c>
      <c r="C109" s="41" t="s">
        <v>2928</v>
      </c>
      <c r="D109" s="41" t="s">
        <v>179</v>
      </c>
      <c r="E109" s="41" t="s">
        <v>2929</v>
      </c>
      <c r="F109" s="41" t="s">
        <v>2949</v>
      </c>
      <c r="G109" s="41" t="s">
        <v>2950</v>
      </c>
    </row>
    <row r="110" spans="1:7" x14ac:dyDescent="0.25">
      <c r="A110" s="41" t="s">
        <v>3063</v>
      </c>
      <c r="B110" s="41" t="s">
        <v>3042</v>
      </c>
      <c r="C110" s="41" t="s">
        <v>2928</v>
      </c>
      <c r="D110" s="41" t="s">
        <v>179</v>
      </c>
      <c r="E110" s="41" t="s">
        <v>2929</v>
      </c>
      <c r="F110" s="41" t="s">
        <v>2949</v>
      </c>
      <c r="G110" s="41" t="s">
        <v>2950</v>
      </c>
    </row>
    <row r="111" spans="1:7" x14ac:dyDescent="0.25">
      <c r="A111" s="41" t="s">
        <v>156</v>
      </c>
      <c r="B111" s="41" t="s">
        <v>3064</v>
      </c>
      <c r="C111" s="41" t="s">
        <v>2928</v>
      </c>
      <c r="D111" s="41" t="s">
        <v>156</v>
      </c>
      <c r="E111" s="41" t="s">
        <v>2929</v>
      </c>
      <c r="F111" s="41" t="s">
        <v>2930</v>
      </c>
      <c r="G111" s="41" t="s">
        <v>2931</v>
      </c>
    </row>
    <row r="112" spans="1:7" x14ac:dyDescent="0.25">
      <c r="A112" s="41" t="s">
        <v>3065</v>
      </c>
      <c r="B112" s="41" t="s">
        <v>3064</v>
      </c>
      <c r="C112" s="41" t="s">
        <v>2928</v>
      </c>
      <c r="D112" s="41" t="s">
        <v>156</v>
      </c>
      <c r="E112" s="41" t="s">
        <v>2929</v>
      </c>
      <c r="F112" s="41" t="s">
        <v>2933</v>
      </c>
      <c r="G112" s="41" t="s">
        <v>2934</v>
      </c>
    </row>
    <row r="113" spans="1:7" x14ac:dyDescent="0.25">
      <c r="A113" s="41" t="s">
        <v>3066</v>
      </c>
      <c r="B113" s="41" t="s">
        <v>3064</v>
      </c>
      <c r="C113" s="41" t="s">
        <v>2928</v>
      </c>
      <c r="D113" s="41" t="s">
        <v>156</v>
      </c>
      <c r="E113" s="41" t="s">
        <v>2929</v>
      </c>
      <c r="F113" s="41" t="s">
        <v>2933</v>
      </c>
      <c r="G113" s="41" t="s">
        <v>2934</v>
      </c>
    </row>
    <row r="114" spans="1:7" x14ac:dyDescent="0.25">
      <c r="A114" s="41" t="s">
        <v>3067</v>
      </c>
      <c r="B114" s="41" t="s">
        <v>3064</v>
      </c>
      <c r="C114" s="41" t="s">
        <v>2928</v>
      </c>
      <c r="D114" s="41" t="s">
        <v>156</v>
      </c>
      <c r="E114" s="41" t="s">
        <v>2929</v>
      </c>
      <c r="F114" s="41" t="s">
        <v>2933</v>
      </c>
      <c r="G114" s="41" t="s">
        <v>2934</v>
      </c>
    </row>
    <row r="115" spans="1:7" x14ac:dyDescent="0.25">
      <c r="A115" s="41" t="s">
        <v>3068</v>
      </c>
      <c r="B115" s="41" t="s">
        <v>3064</v>
      </c>
      <c r="C115" s="41" t="s">
        <v>2928</v>
      </c>
      <c r="D115" s="41" t="s">
        <v>156</v>
      </c>
      <c r="E115" s="41" t="s">
        <v>2929</v>
      </c>
      <c r="F115" s="41" t="s">
        <v>2933</v>
      </c>
      <c r="G115" s="41" t="s">
        <v>2934</v>
      </c>
    </row>
    <row r="116" spans="1:7" x14ac:dyDescent="0.25">
      <c r="A116" s="41" t="s">
        <v>3069</v>
      </c>
      <c r="B116" s="41" t="s">
        <v>3064</v>
      </c>
      <c r="C116" s="41" t="s">
        <v>2928</v>
      </c>
      <c r="D116" s="41" t="s">
        <v>156</v>
      </c>
      <c r="E116" s="41" t="s">
        <v>2929</v>
      </c>
      <c r="F116" s="41" t="s">
        <v>2933</v>
      </c>
      <c r="G116" s="41" t="s">
        <v>2934</v>
      </c>
    </row>
    <row r="117" spans="1:7" x14ac:dyDescent="0.25">
      <c r="A117" s="41" t="s">
        <v>3070</v>
      </c>
      <c r="B117" s="41" t="s">
        <v>3064</v>
      </c>
      <c r="C117" s="41" t="s">
        <v>2928</v>
      </c>
      <c r="D117" s="41" t="s">
        <v>156</v>
      </c>
      <c r="E117" s="41" t="s">
        <v>2929</v>
      </c>
      <c r="F117" s="41" t="s">
        <v>2933</v>
      </c>
      <c r="G117" s="41" t="s">
        <v>2934</v>
      </c>
    </row>
    <row r="118" spans="1:7" x14ac:dyDescent="0.25">
      <c r="A118" s="41" t="s">
        <v>3071</v>
      </c>
      <c r="B118" s="41" t="s">
        <v>3064</v>
      </c>
      <c r="C118" s="41" t="s">
        <v>2928</v>
      </c>
      <c r="D118" s="41" t="s">
        <v>156</v>
      </c>
      <c r="E118" s="41" t="s">
        <v>2929</v>
      </c>
      <c r="F118" s="41" t="s">
        <v>2933</v>
      </c>
      <c r="G118" s="41" t="s">
        <v>2934</v>
      </c>
    </row>
    <row r="119" spans="1:7" x14ac:dyDescent="0.25">
      <c r="A119" s="41" t="s">
        <v>3072</v>
      </c>
      <c r="B119" s="41" t="s">
        <v>3064</v>
      </c>
      <c r="C119" s="41" t="s">
        <v>2928</v>
      </c>
      <c r="D119" s="41" t="s">
        <v>156</v>
      </c>
      <c r="E119" s="41" t="s">
        <v>2929</v>
      </c>
      <c r="F119" s="41" t="s">
        <v>2930</v>
      </c>
      <c r="G119" s="41" t="s">
        <v>2931</v>
      </c>
    </row>
    <row r="120" spans="1:7" x14ac:dyDescent="0.25">
      <c r="A120" s="41" t="s">
        <v>3073</v>
      </c>
      <c r="B120" s="41" t="s">
        <v>3064</v>
      </c>
      <c r="C120" s="41" t="s">
        <v>2928</v>
      </c>
      <c r="D120" s="41" t="s">
        <v>156</v>
      </c>
      <c r="E120" s="41" t="s">
        <v>2929</v>
      </c>
      <c r="F120" s="41" t="s">
        <v>2930</v>
      </c>
      <c r="G120" s="41" t="s">
        <v>2931</v>
      </c>
    </row>
    <row r="121" spans="1:7" x14ac:dyDescent="0.25">
      <c r="A121" s="41" t="s">
        <v>3074</v>
      </c>
      <c r="B121" s="41" t="s">
        <v>3064</v>
      </c>
      <c r="C121" s="41" t="s">
        <v>2928</v>
      </c>
      <c r="D121" s="41" t="s">
        <v>156</v>
      </c>
      <c r="E121" s="41" t="s">
        <v>2929</v>
      </c>
      <c r="F121" s="41" t="s">
        <v>2930</v>
      </c>
      <c r="G121" s="41" t="s">
        <v>2931</v>
      </c>
    </row>
    <row r="122" spans="1:7" x14ac:dyDescent="0.25">
      <c r="A122" s="41" t="s">
        <v>3075</v>
      </c>
      <c r="B122" s="41" t="s">
        <v>3064</v>
      </c>
      <c r="C122" s="41" t="s">
        <v>2928</v>
      </c>
      <c r="D122" s="41" t="s">
        <v>156</v>
      </c>
      <c r="E122" s="41" t="s">
        <v>2929</v>
      </c>
      <c r="F122" s="41" t="s">
        <v>2930</v>
      </c>
      <c r="G122" s="41" t="s">
        <v>2931</v>
      </c>
    </row>
    <row r="123" spans="1:7" x14ac:dyDescent="0.25">
      <c r="A123" s="41" t="s">
        <v>3076</v>
      </c>
      <c r="B123" s="41" t="s">
        <v>3064</v>
      </c>
      <c r="C123" s="41" t="s">
        <v>2928</v>
      </c>
      <c r="D123" s="41" t="s">
        <v>156</v>
      </c>
      <c r="E123" s="41" t="s">
        <v>2929</v>
      </c>
      <c r="F123" s="41" t="s">
        <v>2930</v>
      </c>
      <c r="G123" s="41" t="s">
        <v>2931</v>
      </c>
    </row>
    <row r="124" spans="1:7" x14ac:dyDescent="0.25">
      <c r="A124" s="41" t="s">
        <v>3077</v>
      </c>
      <c r="B124" s="41" t="s">
        <v>3064</v>
      </c>
      <c r="C124" s="41" t="s">
        <v>2928</v>
      </c>
      <c r="D124" s="41" t="s">
        <v>156</v>
      </c>
      <c r="E124" s="41" t="s">
        <v>2929</v>
      </c>
      <c r="F124" s="41" t="s">
        <v>2930</v>
      </c>
      <c r="G124" s="41" t="s">
        <v>2931</v>
      </c>
    </row>
    <row r="125" spans="1:7" x14ac:dyDescent="0.25">
      <c r="A125" s="41" t="s">
        <v>3078</v>
      </c>
      <c r="B125" s="41" t="s">
        <v>3064</v>
      </c>
      <c r="C125" s="41" t="s">
        <v>2928</v>
      </c>
      <c r="D125" s="41" t="s">
        <v>156</v>
      </c>
      <c r="E125" s="41" t="s">
        <v>2929</v>
      </c>
      <c r="F125" s="41" t="s">
        <v>2930</v>
      </c>
      <c r="G125" s="41" t="s">
        <v>2931</v>
      </c>
    </row>
    <row r="126" spans="1:7" x14ac:dyDescent="0.25">
      <c r="A126" s="41" t="s">
        <v>3079</v>
      </c>
      <c r="B126" s="41" t="s">
        <v>3064</v>
      </c>
      <c r="C126" s="41" t="s">
        <v>2928</v>
      </c>
      <c r="D126" s="41" t="s">
        <v>156</v>
      </c>
      <c r="E126" s="41" t="s">
        <v>2929</v>
      </c>
      <c r="F126" s="41" t="s">
        <v>2949</v>
      </c>
      <c r="G126" s="41" t="s">
        <v>2950</v>
      </c>
    </row>
    <row r="127" spans="1:7" x14ac:dyDescent="0.25">
      <c r="A127" s="41" t="s">
        <v>3080</v>
      </c>
      <c r="B127" s="41" t="s">
        <v>3064</v>
      </c>
      <c r="C127" s="41" t="s">
        <v>2928</v>
      </c>
      <c r="D127" s="41" t="s">
        <v>156</v>
      </c>
      <c r="E127" s="41" t="s">
        <v>2929</v>
      </c>
      <c r="F127" s="41" t="s">
        <v>2949</v>
      </c>
      <c r="G127" s="41" t="s">
        <v>2950</v>
      </c>
    </row>
    <row r="128" spans="1:7" x14ac:dyDescent="0.25">
      <c r="A128" s="41" t="s">
        <v>3081</v>
      </c>
      <c r="B128" s="41" t="s">
        <v>3064</v>
      </c>
      <c r="C128" s="41" t="s">
        <v>2928</v>
      </c>
      <c r="D128" s="41" t="s">
        <v>156</v>
      </c>
      <c r="E128" s="41" t="s">
        <v>2929</v>
      </c>
      <c r="F128" s="41" t="s">
        <v>2949</v>
      </c>
      <c r="G128" s="41" t="s">
        <v>2950</v>
      </c>
    </row>
    <row r="129" spans="1:7" x14ac:dyDescent="0.25">
      <c r="A129" s="41" t="s">
        <v>3082</v>
      </c>
      <c r="B129" s="41" t="s">
        <v>3064</v>
      </c>
      <c r="C129" s="41" t="s">
        <v>2928</v>
      </c>
      <c r="D129" s="41" t="s">
        <v>156</v>
      </c>
      <c r="E129" s="41" t="s">
        <v>2929</v>
      </c>
      <c r="F129" s="41" t="s">
        <v>2949</v>
      </c>
      <c r="G129" s="41" t="s">
        <v>2950</v>
      </c>
    </row>
    <row r="130" spans="1:7" x14ac:dyDescent="0.25">
      <c r="A130" s="41" t="s">
        <v>3083</v>
      </c>
      <c r="B130" s="41" t="s">
        <v>3064</v>
      </c>
      <c r="C130" s="41" t="s">
        <v>2928</v>
      </c>
      <c r="D130" s="41" t="s">
        <v>156</v>
      </c>
      <c r="E130" s="41" t="s">
        <v>2929</v>
      </c>
      <c r="F130" s="41" t="s">
        <v>2949</v>
      </c>
      <c r="G130" s="41" t="s">
        <v>2950</v>
      </c>
    </row>
    <row r="131" spans="1:7" x14ac:dyDescent="0.25">
      <c r="A131" s="41" t="s">
        <v>3084</v>
      </c>
      <c r="B131" s="41" t="s">
        <v>3064</v>
      </c>
      <c r="C131" s="41" t="s">
        <v>2928</v>
      </c>
      <c r="D131" s="41" t="s">
        <v>156</v>
      </c>
      <c r="E131" s="41" t="s">
        <v>2929</v>
      </c>
      <c r="F131" s="41" t="s">
        <v>2949</v>
      </c>
      <c r="G131" s="41" t="s">
        <v>2950</v>
      </c>
    </row>
    <row r="132" spans="1:7" x14ac:dyDescent="0.25">
      <c r="A132" s="41" t="s">
        <v>3085</v>
      </c>
      <c r="B132" s="41" t="s">
        <v>3064</v>
      </c>
      <c r="C132" s="41" t="s">
        <v>2928</v>
      </c>
      <c r="D132" s="41" t="s">
        <v>156</v>
      </c>
      <c r="E132" s="41" t="s">
        <v>2929</v>
      </c>
      <c r="F132" s="41" t="s">
        <v>2949</v>
      </c>
      <c r="G132" s="41" t="s">
        <v>2950</v>
      </c>
    </row>
    <row r="133" spans="1:7" x14ac:dyDescent="0.25">
      <c r="A133" s="41" t="s">
        <v>3086</v>
      </c>
      <c r="B133" s="41" t="s">
        <v>3087</v>
      </c>
      <c r="C133" s="41" t="s">
        <v>77</v>
      </c>
      <c r="D133" s="41" t="s">
        <v>3088</v>
      </c>
      <c r="E133" s="41" t="s">
        <v>2984</v>
      </c>
      <c r="F133" s="41" t="s">
        <v>2933</v>
      </c>
      <c r="G133" s="41" t="s">
        <v>2934</v>
      </c>
    </row>
    <row r="134" spans="1:7" x14ac:dyDescent="0.25">
      <c r="A134" s="41" t="s">
        <v>3089</v>
      </c>
      <c r="B134" s="41" t="s">
        <v>3087</v>
      </c>
      <c r="C134" s="41" t="s">
        <v>77</v>
      </c>
      <c r="D134" s="41" t="s">
        <v>3088</v>
      </c>
      <c r="E134" s="41" t="s">
        <v>2929</v>
      </c>
      <c r="F134" s="41" t="s">
        <v>2933</v>
      </c>
      <c r="G134" s="41" t="s">
        <v>2934</v>
      </c>
    </row>
    <row r="135" spans="1:7" x14ac:dyDescent="0.25">
      <c r="A135" s="41" t="s">
        <v>3090</v>
      </c>
      <c r="B135" s="41" t="s">
        <v>3091</v>
      </c>
      <c r="C135" s="41" t="s">
        <v>78</v>
      </c>
      <c r="D135" s="41" t="s">
        <v>3092</v>
      </c>
      <c r="E135" s="41" t="s">
        <v>3009</v>
      </c>
      <c r="F135" s="41" t="s">
        <v>2933</v>
      </c>
      <c r="G135" s="41" t="s">
        <v>2934</v>
      </c>
    </row>
    <row r="136" spans="1:7" x14ac:dyDescent="0.25">
      <c r="A136" s="41" t="s">
        <v>3093</v>
      </c>
      <c r="B136" s="41" t="s">
        <v>3091</v>
      </c>
      <c r="C136" s="41" t="s">
        <v>78</v>
      </c>
      <c r="D136" s="41" t="s">
        <v>3092</v>
      </c>
      <c r="E136" s="41" t="s">
        <v>2929</v>
      </c>
      <c r="F136" s="41" t="s">
        <v>2933</v>
      </c>
      <c r="G136" s="41" t="s">
        <v>2934</v>
      </c>
    </row>
    <row r="137" spans="1:7" x14ac:dyDescent="0.25">
      <c r="A137" s="41" t="s">
        <v>3094</v>
      </c>
      <c r="B137" s="41" t="s">
        <v>3091</v>
      </c>
      <c r="C137" s="41" t="s">
        <v>78</v>
      </c>
      <c r="D137" s="41" t="s">
        <v>3092</v>
      </c>
      <c r="E137" s="41" t="s">
        <v>3009</v>
      </c>
      <c r="F137" s="41" t="s">
        <v>2933</v>
      </c>
      <c r="G137" s="41" t="s">
        <v>2934</v>
      </c>
    </row>
    <row r="138" spans="1:7" x14ac:dyDescent="0.25">
      <c r="A138" s="41" t="s">
        <v>3095</v>
      </c>
      <c r="B138" s="41" t="s">
        <v>3096</v>
      </c>
      <c r="C138" s="41" t="s">
        <v>3097</v>
      </c>
      <c r="D138" s="41" t="s">
        <v>3098</v>
      </c>
      <c r="E138" s="41" t="s">
        <v>2929</v>
      </c>
      <c r="F138" s="41" t="s">
        <v>2930</v>
      </c>
      <c r="G138" s="41" t="s">
        <v>2931</v>
      </c>
    </row>
    <row r="139" spans="1:7" x14ac:dyDescent="0.25">
      <c r="A139" s="41" t="s">
        <v>3099</v>
      </c>
      <c r="B139" s="41" t="s">
        <v>3096</v>
      </c>
      <c r="C139" s="41" t="s">
        <v>3097</v>
      </c>
      <c r="D139" s="41" t="s">
        <v>3098</v>
      </c>
      <c r="E139" s="41" t="s">
        <v>2929</v>
      </c>
      <c r="F139" s="41" t="s">
        <v>2933</v>
      </c>
      <c r="G139" s="41" t="s">
        <v>2934</v>
      </c>
    </row>
    <row r="140" spans="1:7" x14ac:dyDescent="0.25">
      <c r="A140" s="41" t="s">
        <v>3100</v>
      </c>
      <c r="B140" s="41" t="s">
        <v>3096</v>
      </c>
      <c r="C140" s="41" t="s">
        <v>3097</v>
      </c>
      <c r="D140" s="41" t="s">
        <v>3098</v>
      </c>
      <c r="E140" s="41" t="s">
        <v>2929</v>
      </c>
      <c r="F140" s="41" t="s">
        <v>2933</v>
      </c>
      <c r="G140" s="41" t="s">
        <v>2934</v>
      </c>
    </row>
    <row r="141" spans="1:7" x14ac:dyDescent="0.25">
      <c r="A141" s="41" t="s">
        <v>3101</v>
      </c>
      <c r="B141" s="41" t="s">
        <v>2980</v>
      </c>
      <c r="C141" s="41" t="s">
        <v>95</v>
      </c>
      <c r="D141" s="41" t="s">
        <v>2981</v>
      </c>
      <c r="E141" s="41" t="s">
        <v>2929</v>
      </c>
      <c r="F141" s="41" t="s">
        <v>2933</v>
      </c>
      <c r="G141" s="41" t="s">
        <v>2934</v>
      </c>
    </row>
    <row r="142" spans="1:7" x14ac:dyDescent="0.25">
      <c r="A142" s="41" t="s">
        <v>3102</v>
      </c>
      <c r="B142" s="41" t="s">
        <v>2986</v>
      </c>
      <c r="C142" s="41" t="s">
        <v>77</v>
      </c>
      <c r="D142" s="41" t="s">
        <v>2987</v>
      </c>
      <c r="E142" s="41" t="s">
        <v>2984</v>
      </c>
      <c r="F142" s="41" t="s">
        <v>2933</v>
      </c>
      <c r="G142" s="41" t="s">
        <v>2934</v>
      </c>
    </row>
    <row r="143" spans="1:7" x14ac:dyDescent="0.25">
      <c r="A143" s="41" t="s">
        <v>3103</v>
      </c>
      <c r="B143" s="41" t="s">
        <v>3104</v>
      </c>
      <c r="C143" s="41" t="s">
        <v>77</v>
      </c>
      <c r="D143" s="41" t="s">
        <v>3105</v>
      </c>
      <c r="E143" s="41" t="s">
        <v>2929</v>
      </c>
      <c r="F143" s="41" t="s">
        <v>2949</v>
      </c>
      <c r="G143" s="41" t="s">
        <v>2950</v>
      </c>
    </row>
    <row r="144" spans="1:7" x14ac:dyDescent="0.25">
      <c r="A144" s="41" t="s">
        <v>3106</v>
      </c>
      <c r="B144" s="41" t="s">
        <v>3107</v>
      </c>
      <c r="C144" s="41" t="s">
        <v>74</v>
      </c>
      <c r="D144" s="41" t="s">
        <v>3108</v>
      </c>
      <c r="E144" s="41" t="s">
        <v>2929</v>
      </c>
      <c r="F144" s="41" t="s">
        <v>2933</v>
      </c>
      <c r="G144" s="41" t="s">
        <v>2934</v>
      </c>
    </row>
    <row r="145" spans="1:7" x14ac:dyDescent="0.25">
      <c r="A145" s="41" t="s">
        <v>3109</v>
      </c>
      <c r="B145" s="41" t="s">
        <v>3110</v>
      </c>
      <c r="C145" s="41" t="s">
        <v>78</v>
      </c>
      <c r="D145" s="41" t="s">
        <v>3111</v>
      </c>
      <c r="E145" s="41" t="s">
        <v>2984</v>
      </c>
      <c r="F145" s="41" t="s">
        <v>2930</v>
      </c>
      <c r="G145" s="41" t="s">
        <v>2931</v>
      </c>
    </row>
    <row r="146" spans="1:7" x14ac:dyDescent="0.25">
      <c r="A146" s="41" t="s">
        <v>3112</v>
      </c>
      <c r="B146" s="41" t="s">
        <v>3113</v>
      </c>
      <c r="C146" s="41" t="s">
        <v>95</v>
      </c>
      <c r="D146" s="41" t="s">
        <v>150</v>
      </c>
      <c r="E146" s="41" t="s">
        <v>2984</v>
      </c>
      <c r="F146" s="41" t="s">
        <v>2949</v>
      </c>
      <c r="G146" s="41" t="s">
        <v>2950</v>
      </c>
    </row>
    <row r="147" spans="1:7" x14ac:dyDescent="0.25">
      <c r="A147" s="41" t="s">
        <v>3114</v>
      </c>
      <c r="B147" s="41" t="s">
        <v>3113</v>
      </c>
      <c r="C147" s="41" t="s">
        <v>95</v>
      </c>
      <c r="D147" s="41" t="s">
        <v>150</v>
      </c>
      <c r="E147" s="41" t="s">
        <v>2984</v>
      </c>
      <c r="F147" s="41" t="s">
        <v>2949</v>
      </c>
      <c r="G147" s="41" t="s">
        <v>2950</v>
      </c>
    </row>
    <row r="148" spans="1:7" x14ac:dyDescent="0.25">
      <c r="A148" s="41" t="s">
        <v>3115</v>
      </c>
      <c r="B148" s="41" t="s">
        <v>3113</v>
      </c>
      <c r="C148" s="41" t="s">
        <v>95</v>
      </c>
      <c r="D148" s="41" t="s">
        <v>150</v>
      </c>
      <c r="E148" s="41" t="s">
        <v>2984</v>
      </c>
      <c r="F148" s="41" t="s">
        <v>2949</v>
      </c>
      <c r="G148" s="41" t="s">
        <v>2950</v>
      </c>
    </row>
    <row r="149" spans="1:7" x14ac:dyDescent="0.25">
      <c r="A149" s="41" t="s">
        <v>3116</v>
      </c>
      <c r="B149" s="41" t="s">
        <v>3113</v>
      </c>
      <c r="C149" s="41" t="s">
        <v>95</v>
      </c>
      <c r="D149" s="41" t="s">
        <v>150</v>
      </c>
      <c r="E149" s="41" t="s">
        <v>2984</v>
      </c>
      <c r="F149" s="41" t="s">
        <v>2930</v>
      </c>
      <c r="G149" s="41" t="s">
        <v>2931</v>
      </c>
    </row>
    <row r="150" spans="1:7" x14ac:dyDescent="0.25">
      <c r="A150" s="41" t="s">
        <v>3117</v>
      </c>
      <c r="B150" s="41" t="s">
        <v>3113</v>
      </c>
      <c r="C150" s="41" t="s">
        <v>95</v>
      </c>
      <c r="D150" s="41" t="s">
        <v>150</v>
      </c>
      <c r="E150" s="41" t="s">
        <v>2929</v>
      </c>
      <c r="F150" s="41" t="s">
        <v>2930</v>
      </c>
      <c r="G150" s="41" t="s">
        <v>2934</v>
      </c>
    </row>
    <row r="151" spans="1:7" x14ac:dyDescent="0.25">
      <c r="A151" s="41" t="s">
        <v>3118</v>
      </c>
      <c r="B151" s="41" t="s">
        <v>3113</v>
      </c>
      <c r="C151" s="41" t="s">
        <v>95</v>
      </c>
      <c r="D151" s="41" t="s">
        <v>150</v>
      </c>
      <c r="E151" s="41" t="s">
        <v>2984</v>
      </c>
      <c r="F151" s="41" t="s">
        <v>2930</v>
      </c>
      <c r="G151" s="41" t="s">
        <v>2931</v>
      </c>
    </row>
    <row r="152" spans="1:7" x14ac:dyDescent="0.25">
      <c r="A152" s="41" t="s">
        <v>3119</v>
      </c>
      <c r="B152" s="41" t="s">
        <v>3113</v>
      </c>
      <c r="C152" s="41" t="s">
        <v>95</v>
      </c>
      <c r="D152" s="41" t="s">
        <v>150</v>
      </c>
      <c r="E152" s="41" t="s">
        <v>2929</v>
      </c>
      <c r="F152" s="41" t="s">
        <v>2949</v>
      </c>
      <c r="G152" s="41" t="s">
        <v>2950</v>
      </c>
    </row>
    <row r="153" spans="1:7" x14ac:dyDescent="0.25">
      <c r="A153" s="41" t="s">
        <v>3120</v>
      </c>
      <c r="B153" s="41" t="s">
        <v>3113</v>
      </c>
      <c r="C153" s="41" t="s">
        <v>95</v>
      </c>
      <c r="D153" s="41" t="s">
        <v>150</v>
      </c>
      <c r="E153" s="41" t="s">
        <v>2984</v>
      </c>
      <c r="F153" s="41" t="s">
        <v>2933</v>
      </c>
      <c r="G153" s="41" t="s">
        <v>2934</v>
      </c>
    </row>
    <row r="154" spans="1:7" x14ac:dyDescent="0.25">
      <c r="A154" s="41" t="s">
        <v>3121</v>
      </c>
      <c r="B154" s="41" t="s">
        <v>3113</v>
      </c>
      <c r="C154" s="41" t="s">
        <v>95</v>
      </c>
      <c r="D154" s="41" t="s">
        <v>150</v>
      </c>
      <c r="E154" s="41" t="s">
        <v>2984</v>
      </c>
      <c r="F154" s="41" t="s">
        <v>2933</v>
      </c>
      <c r="G154" s="41" t="s">
        <v>2934</v>
      </c>
    </row>
    <row r="155" spans="1:7" x14ac:dyDescent="0.25">
      <c r="A155" s="41" t="s">
        <v>3122</v>
      </c>
      <c r="B155" s="41" t="s">
        <v>3113</v>
      </c>
      <c r="C155" s="41" t="s">
        <v>95</v>
      </c>
      <c r="D155" s="41" t="s">
        <v>150</v>
      </c>
      <c r="E155" s="41" t="s">
        <v>2929</v>
      </c>
      <c r="F155" s="41" t="s">
        <v>2933</v>
      </c>
      <c r="G155" s="41" t="s">
        <v>2934</v>
      </c>
    </row>
    <row r="156" spans="1:7" x14ac:dyDescent="0.25">
      <c r="A156" s="41" t="s">
        <v>3123</v>
      </c>
      <c r="B156" s="41" t="s">
        <v>3113</v>
      </c>
      <c r="C156" s="41" t="s">
        <v>95</v>
      </c>
      <c r="D156" s="41" t="s">
        <v>150</v>
      </c>
      <c r="E156" s="41" t="s">
        <v>2929</v>
      </c>
      <c r="F156" s="41" t="s">
        <v>2933</v>
      </c>
      <c r="G156" s="41" t="s">
        <v>2934</v>
      </c>
    </row>
    <row r="157" spans="1:7" x14ac:dyDescent="0.25">
      <c r="A157" s="41" t="s">
        <v>3124</v>
      </c>
      <c r="B157" s="41" t="s">
        <v>3104</v>
      </c>
      <c r="C157" s="41" t="s">
        <v>77</v>
      </c>
      <c r="D157" s="41" t="s">
        <v>3105</v>
      </c>
      <c r="E157" s="41" t="s">
        <v>2984</v>
      </c>
      <c r="F157" s="41" t="s">
        <v>2933</v>
      </c>
      <c r="G157" s="41" t="s">
        <v>2934</v>
      </c>
    </row>
    <row r="158" spans="1:7" x14ac:dyDescent="0.25">
      <c r="A158" s="41" t="s">
        <v>3125</v>
      </c>
      <c r="B158" s="41" t="s">
        <v>3126</v>
      </c>
      <c r="C158" s="41" t="s">
        <v>95</v>
      </c>
      <c r="D158" s="41" t="s">
        <v>3127</v>
      </c>
      <c r="E158" s="41" t="s">
        <v>2929</v>
      </c>
      <c r="F158" s="41" t="s">
        <v>2933</v>
      </c>
      <c r="G158" s="41" t="s">
        <v>2934</v>
      </c>
    </row>
    <row r="159" spans="1:7" x14ac:dyDescent="0.25">
      <c r="A159" s="41" t="s">
        <v>3128</v>
      </c>
      <c r="B159" s="41" t="s">
        <v>3129</v>
      </c>
      <c r="C159" s="41" t="s">
        <v>77</v>
      </c>
      <c r="D159" s="41" t="s">
        <v>3130</v>
      </c>
      <c r="E159" s="41" t="s">
        <v>2929</v>
      </c>
      <c r="F159" s="41" t="s">
        <v>2949</v>
      </c>
      <c r="G159" s="41" t="s">
        <v>2950</v>
      </c>
    </row>
    <row r="160" spans="1:7" x14ac:dyDescent="0.25">
      <c r="A160" s="41" t="s">
        <v>3131</v>
      </c>
      <c r="B160" s="41" t="s">
        <v>3129</v>
      </c>
      <c r="C160" s="41" t="s">
        <v>77</v>
      </c>
      <c r="D160" s="41" t="s">
        <v>3130</v>
      </c>
      <c r="E160" s="41" t="s">
        <v>2929</v>
      </c>
      <c r="F160" s="41" t="s">
        <v>2933</v>
      </c>
      <c r="G160" s="41" t="s">
        <v>2934</v>
      </c>
    </row>
    <row r="161" spans="1:7" x14ac:dyDescent="0.25">
      <c r="A161" s="41" t="s">
        <v>3132</v>
      </c>
      <c r="B161" s="41" t="s">
        <v>3129</v>
      </c>
      <c r="C161" s="41" t="s">
        <v>77</v>
      </c>
      <c r="D161" s="41" t="s">
        <v>3130</v>
      </c>
      <c r="E161" s="41" t="s">
        <v>2929</v>
      </c>
      <c r="F161" s="41" t="s">
        <v>2930</v>
      </c>
      <c r="G161" s="41" t="s">
        <v>2931</v>
      </c>
    </row>
    <row r="162" spans="1:7" x14ac:dyDescent="0.25">
      <c r="A162" s="41" t="s">
        <v>3133</v>
      </c>
      <c r="B162" s="41" t="s">
        <v>3129</v>
      </c>
      <c r="C162" s="41" t="s">
        <v>77</v>
      </c>
      <c r="D162" s="41" t="s">
        <v>3130</v>
      </c>
      <c r="E162" s="41" t="s">
        <v>2984</v>
      </c>
      <c r="F162" s="41" t="s">
        <v>2933</v>
      </c>
      <c r="G162" s="41" t="s">
        <v>2934</v>
      </c>
    </row>
    <row r="163" spans="1:7" x14ac:dyDescent="0.25">
      <c r="A163" s="41" t="s">
        <v>3134</v>
      </c>
      <c r="B163" s="41" t="s">
        <v>3129</v>
      </c>
      <c r="C163" s="41" t="s">
        <v>77</v>
      </c>
      <c r="D163" s="41" t="s">
        <v>3130</v>
      </c>
      <c r="E163" s="41" t="s">
        <v>2929</v>
      </c>
      <c r="F163" s="41" t="s">
        <v>2933</v>
      </c>
      <c r="G163" s="41" t="s">
        <v>2934</v>
      </c>
    </row>
    <row r="164" spans="1:7" x14ac:dyDescent="0.25">
      <c r="A164" s="41" t="s">
        <v>3135</v>
      </c>
      <c r="B164" s="41" t="s">
        <v>3129</v>
      </c>
      <c r="C164" s="41" t="s">
        <v>77</v>
      </c>
      <c r="D164" s="41" t="s">
        <v>3130</v>
      </c>
      <c r="E164" s="41" t="s">
        <v>2929</v>
      </c>
      <c r="F164" s="41" t="s">
        <v>2930</v>
      </c>
      <c r="G164" s="41" t="s">
        <v>2931</v>
      </c>
    </row>
    <row r="165" spans="1:7" x14ac:dyDescent="0.25">
      <c r="A165" s="41" t="s">
        <v>3136</v>
      </c>
      <c r="B165" s="41" t="s">
        <v>3129</v>
      </c>
      <c r="C165" s="41" t="s">
        <v>77</v>
      </c>
      <c r="D165" s="41" t="s">
        <v>3130</v>
      </c>
      <c r="E165" s="41" t="s">
        <v>2929</v>
      </c>
      <c r="F165" s="41" t="s">
        <v>2930</v>
      </c>
      <c r="G165" s="41" t="s">
        <v>2931</v>
      </c>
    </row>
    <row r="166" spans="1:7" x14ac:dyDescent="0.25">
      <c r="A166" s="41" t="s">
        <v>3137</v>
      </c>
      <c r="B166" s="41" t="s">
        <v>3138</v>
      </c>
      <c r="C166" s="41" t="s">
        <v>95</v>
      </c>
      <c r="D166" s="41" t="s">
        <v>3139</v>
      </c>
      <c r="E166" s="41" t="s">
        <v>2929</v>
      </c>
      <c r="F166" s="41" t="s">
        <v>2930</v>
      </c>
      <c r="G166" s="41" t="s">
        <v>2931</v>
      </c>
    </row>
    <row r="167" spans="1:7" x14ac:dyDescent="0.25">
      <c r="A167" s="41" t="s">
        <v>3140</v>
      </c>
      <c r="B167" s="41" t="s">
        <v>3141</v>
      </c>
      <c r="C167" s="41" t="s">
        <v>74</v>
      </c>
      <c r="D167" s="41" t="s">
        <v>3142</v>
      </c>
      <c r="E167" s="41" t="s">
        <v>2929</v>
      </c>
      <c r="F167" s="41" t="s">
        <v>2933</v>
      </c>
      <c r="G167" s="41" t="s">
        <v>2934</v>
      </c>
    </row>
    <row r="168" spans="1:7" x14ac:dyDescent="0.25">
      <c r="A168" s="41" t="s">
        <v>3143</v>
      </c>
      <c r="B168" s="41" t="s">
        <v>3141</v>
      </c>
      <c r="C168" s="41" t="s">
        <v>74</v>
      </c>
      <c r="D168" s="41" t="s">
        <v>3142</v>
      </c>
      <c r="E168" s="41" t="s">
        <v>2984</v>
      </c>
      <c r="F168" s="41" t="s">
        <v>2949</v>
      </c>
      <c r="G168" s="41" t="s">
        <v>2950</v>
      </c>
    </row>
    <row r="169" spans="1:7" x14ac:dyDescent="0.25">
      <c r="A169" s="41" t="s">
        <v>3144</v>
      </c>
      <c r="B169" s="41" t="s">
        <v>3141</v>
      </c>
      <c r="C169" s="41" t="s">
        <v>74</v>
      </c>
      <c r="D169" s="41" t="s">
        <v>3142</v>
      </c>
      <c r="E169" s="41" t="s">
        <v>3009</v>
      </c>
      <c r="F169" s="41" t="s">
        <v>2933</v>
      </c>
      <c r="G169" s="41" t="s">
        <v>2934</v>
      </c>
    </row>
    <row r="170" spans="1:7" x14ac:dyDescent="0.25">
      <c r="A170" s="41" t="s">
        <v>3145</v>
      </c>
      <c r="B170" s="41" t="s">
        <v>3141</v>
      </c>
      <c r="C170" s="41" t="s">
        <v>74</v>
      </c>
      <c r="D170" s="41" t="s">
        <v>3142</v>
      </c>
      <c r="E170" s="41" t="s">
        <v>2929</v>
      </c>
      <c r="F170" s="41" t="s">
        <v>2933</v>
      </c>
      <c r="G170" s="41" t="s">
        <v>2934</v>
      </c>
    </row>
    <row r="171" spans="1:7" x14ac:dyDescent="0.25">
      <c r="A171" s="41" t="s">
        <v>3146</v>
      </c>
      <c r="B171" s="41" t="s">
        <v>3141</v>
      </c>
      <c r="C171" s="41" t="s">
        <v>74</v>
      </c>
      <c r="D171" s="41" t="s">
        <v>3142</v>
      </c>
      <c r="E171" s="41" t="s">
        <v>2984</v>
      </c>
      <c r="F171" s="41" t="s">
        <v>2933</v>
      </c>
      <c r="G171" s="41" t="s">
        <v>2934</v>
      </c>
    </row>
    <row r="172" spans="1:7" x14ac:dyDescent="0.25">
      <c r="A172" s="41" t="s">
        <v>3147</v>
      </c>
      <c r="B172" s="41" t="s">
        <v>3141</v>
      </c>
      <c r="C172" s="41" t="s">
        <v>74</v>
      </c>
      <c r="D172" s="41" t="s">
        <v>3142</v>
      </c>
      <c r="E172" s="41" t="s">
        <v>2929</v>
      </c>
      <c r="F172" s="41" t="s">
        <v>2949</v>
      </c>
      <c r="G172" s="41" t="s">
        <v>2950</v>
      </c>
    </row>
    <row r="173" spans="1:7" x14ac:dyDescent="0.25">
      <c r="A173" s="41" t="s">
        <v>3148</v>
      </c>
      <c r="B173" s="41" t="s">
        <v>3141</v>
      </c>
      <c r="C173" s="41" t="s">
        <v>74</v>
      </c>
      <c r="D173" s="41" t="s">
        <v>3142</v>
      </c>
      <c r="E173" s="41" t="s">
        <v>3009</v>
      </c>
      <c r="F173" s="41" t="s">
        <v>2933</v>
      </c>
      <c r="G173" s="41" t="s">
        <v>2934</v>
      </c>
    </row>
    <row r="174" spans="1:7" x14ac:dyDescent="0.25">
      <c r="A174" s="41" t="s">
        <v>3149</v>
      </c>
      <c r="B174" s="41" t="s">
        <v>3141</v>
      </c>
      <c r="C174" s="41" t="s">
        <v>74</v>
      </c>
      <c r="D174" s="41" t="s">
        <v>3142</v>
      </c>
      <c r="E174" s="41" t="s">
        <v>2984</v>
      </c>
      <c r="F174" s="41" t="s">
        <v>2949</v>
      </c>
      <c r="G174" s="41" t="s">
        <v>2950</v>
      </c>
    </row>
    <row r="175" spans="1:7" x14ac:dyDescent="0.25">
      <c r="A175" s="41" t="s">
        <v>3150</v>
      </c>
      <c r="B175" s="41" t="s">
        <v>3141</v>
      </c>
      <c r="C175" s="41" t="s">
        <v>74</v>
      </c>
      <c r="D175" s="41" t="s">
        <v>3142</v>
      </c>
      <c r="E175" s="41" t="s">
        <v>2929</v>
      </c>
      <c r="F175" s="41" t="s">
        <v>2933</v>
      </c>
      <c r="G175" s="41" t="s">
        <v>2934</v>
      </c>
    </row>
    <row r="176" spans="1:7" x14ac:dyDescent="0.25">
      <c r="A176" s="41" t="s">
        <v>3151</v>
      </c>
      <c r="B176" s="41" t="s">
        <v>3141</v>
      </c>
      <c r="C176" s="41" t="s">
        <v>74</v>
      </c>
      <c r="D176" s="41" t="s">
        <v>3142</v>
      </c>
      <c r="E176" s="41" t="s">
        <v>2984</v>
      </c>
      <c r="F176" s="41" t="s">
        <v>2930</v>
      </c>
      <c r="G176" s="41" t="s">
        <v>2931</v>
      </c>
    </row>
    <row r="177" spans="1:7" x14ac:dyDescent="0.25">
      <c r="A177" s="41" t="s">
        <v>3152</v>
      </c>
      <c r="B177" s="41" t="s">
        <v>3141</v>
      </c>
      <c r="C177" s="41" t="s">
        <v>74</v>
      </c>
      <c r="D177" s="41" t="s">
        <v>3142</v>
      </c>
      <c r="E177" s="41" t="s">
        <v>2929</v>
      </c>
      <c r="F177" s="41" t="s">
        <v>2949</v>
      </c>
      <c r="G177" s="41" t="s">
        <v>2950</v>
      </c>
    </row>
    <row r="178" spans="1:7" x14ac:dyDescent="0.25">
      <c r="A178" s="41" t="s">
        <v>3153</v>
      </c>
      <c r="B178" s="41" t="s">
        <v>3141</v>
      </c>
      <c r="C178" s="41" t="s">
        <v>74</v>
      </c>
      <c r="D178" s="41" t="s">
        <v>3142</v>
      </c>
      <c r="E178" s="41" t="s">
        <v>2984</v>
      </c>
      <c r="F178" s="41" t="s">
        <v>2930</v>
      </c>
      <c r="G178" s="41" t="s">
        <v>2931</v>
      </c>
    </row>
    <row r="179" spans="1:7" x14ac:dyDescent="0.25">
      <c r="A179" s="41" t="s">
        <v>3154</v>
      </c>
      <c r="B179" s="41" t="s">
        <v>3141</v>
      </c>
      <c r="C179" s="41" t="s">
        <v>74</v>
      </c>
      <c r="D179" s="41" t="s">
        <v>3142</v>
      </c>
      <c r="E179" s="41" t="s">
        <v>2929</v>
      </c>
      <c r="F179" s="41" t="s">
        <v>2930</v>
      </c>
      <c r="G179" s="41" t="s">
        <v>2931</v>
      </c>
    </row>
    <row r="180" spans="1:7" x14ac:dyDescent="0.25">
      <c r="A180" s="41" t="s">
        <v>3155</v>
      </c>
      <c r="B180" s="41" t="s">
        <v>3141</v>
      </c>
      <c r="C180" s="41" t="s">
        <v>74</v>
      </c>
      <c r="D180" s="41" t="s">
        <v>3142</v>
      </c>
      <c r="E180" s="41" t="s">
        <v>2929</v>
      </c>
      <c r="F180" s="41" t="s">
        <v>3156</v>
      </c>
      <c r="G180" s="41" t="s">
        <v>3157</v>
      </c>
    </row>
    <row r="181" spans="1:7" x14ac:dyDescent="0.25">
      <c r="A181" s="41" t="s">
        <v>3158</v>
      </c>
      <c r="B181" s="41" t="s">
        <v>3141</v>
      </c>
      <c r="C181" s="41" t="s">
        <v>74</v>
      </c>
      <c r="D181" s="41" t="s">
        <v>3142</v>
      </c>
      <c r="E181" s="41" t="s">
        <v>2929</v>
      </c>
      <c r="F181" s="41" t="s">
        <v>2933</v>
      </c>
      <c r="G181" s="41" t="s">
        <v>2934</v>
      </c>
    </row>
    <row r="182" spans="1:7" x14ac:dyDescent="0.25">
      <c r="A182" s="41" t="s">
        <v>3159</v>
      </c>
      <c r="B182" s="41" t="s">
        <v>3087</v>
      </c>
      <c r="C182" s="41" t="s">
        <v>77</v>
      </c>
      <c r="D182" s="41" t="s">
        <v>3088</v>
      </c>
      <c r="E182" s="41" t="s">
        <v>2929</v>
      </c>
      <c r="F182" s="41" t="s">
        <v>2949</v>
      </c>
      <c r="G182" s="41" t="s">
        <v>2950</v>
      </c>
    </row>
    <row r="183" spans="1:7" x14ac:dyDescent="0.25">
      <c r="A183" s="41" t="s">
        <v>3160</v>
      </c>
      <c r="B183" s="41" t="s">
        <v>3161</v>
      </c>
      <c r="C183" s="41" t="s">
        <v>78</v>
      </c>
      <c r="D183" s="41" t="s">
        <v>3162</v>
      </c>
      <c r="E183" s="41" t="s">
        <v>2984</v>
      </c>
      <c r="F183" s="41" t="s">
        <v>2933</v>
      </c>
      <c r="G183" s="41" t="s">
        <v>2934</v>
      </c>
    </row>
    <row r="184" spans="1:7" x14ac:dyDescent="0.25">
      <c r="A184" s="41" t="s">
        <v>3163</v>
      </c>
      <c r="B184" s="41" t="s">
        <v>3161</v>
      </c>
      <c r="C184" s="41" t="s">
        <v>78</v>
      </c>
      <c r="D184" s="41" t="s">
        <v>3162</v>
      </c>
      <c r="E184" s="41" t="s">
        <v>3009</v>
      </c>
      <c r="F184" s="41" t="s">
        <v>2933</v>
      </c>
      <c r="G184" s="41" t="s">
        <v>2934</v>
      </c>
    </row>
    <row r="185" spans="1:7" x14ac:dyDescent="0.25">
      <c r="A185" s="41" t="s">
        <v>3164</v>
      </c>
      <c r="B185" s="41" t="s">
        <v>3161</v>
      </c>
      <c r="C185" s="41" t="s">
        <v>78</v>
      </c>
      <c r="D185" s="41" t="s">
        <v>3162</v>
      </c>
      <c r="E185" s="41" t="s">
        <v>2929</v>
      </c>
      <c r="F185" s="41" t="s">
        <v>2930</v>
      </c>
      <c r="G185" s="41" t="s">
        <v>2931</v>
      </c>
    </row>
    <row r="186" spans="1:7" x14ac:dyDescent="0.25">
      <c r="A186" s="41" t="s">
        <v>3165</v>
      </c>
      <c r="B186" s="41" t="s">
        <v>3166</v>
      </c>
      <c r="C186" s="41" t="s">
        <v>78</v>
      </c>
      <c r="D186" s="41" t="s">
        <v>3167</v>
      </c>
      <c r="E186" s="41" t="s">
        <v>2929</v>
      </c>
      <c r="F186" s="41" t="s">
        <v>2933</v>
      </c>
      <c r="G186" s="41" t="s">
        <v>2934</v>
      </c>
    </row>
    <row r="187" spans="1:7" x14ac:dyDescent="0.25">
      <c r="A187" s="41" t="s">
        <v>3168</v>
      </c>
      <c r="B187" s="41" t="s">
        <v>3166</v>
      </c>
      <c r="C187" s="41" t="s">
        <v>78</v>
      </c>
      <c r="D187" s="41" t="s">
        <v>3167</v>
      </c>
      <c r="E187" s="41" t="s">
        <v>2929</v>
      </c>
      <c r="F187" s="41" t="s">
        <v>2933</v>
      </c>
      <c r="G187" s="41" t="s">
        <v>2934</v>
      </c>
    </row>
    <row r="188" spans="1:7" x14ac:dyDescent="0.25">
      <c r="A188" s="41" t="s">
        <v>3169</v>
      </c>
      <c r="B188" s="41" t="s">
        <v>3170</v>
      </c>
      <c r="C188" s="41" t="s">
        <v>78</v>
      </c>
      <c r="D188" s="41" t="s">
        <v>3171</v>
      </c>
      <c r="E188" s="41" t="s">
        <v>2929</v>
      </c>
      <c r="F188" s="41" t="s">
        <v>2933</v>
      </c>
      <c r="G188" s="41" t="s">
        <v>2934</v>
      </c>
    </row>
    <row r="189" spans="1:7" x14ac:dyDescent="0.25">
      <c r="A189" s="41" t="s">
        <v>3172</v>
      </c>
      <c r="B189" s="41" t="s">
        <v>3170</v>
      </c>
      <c r="C189" s="41" t="s">
        <v>78</v>
      </c>
      <c r="D189" s="41" t="s">
        <v>3171</v>
      </c>
      <c r="E189" s="41" t="s">
        <v>2984</v>
      </c>
      <c r="F189" s="41" t="s">
        <v>2930</v>
      </c>
      <c r="G189" s="41" t="s">
        <v>2931</v>
      </c>
    </row>
    <row r="190" spans="1:7" x14ac:dyDescent="0.25">
      <c r="A190" s="41" t="s">
        <v>3173</v>
      </c>
      <c r="B190" s="41" t="s">
        <v>3166</v>
      </c>
      <c r="C190" s="41" t="s">
        <v>78</v>
      </c>
      <c r="D190" s="41" t="s">
        <v>3167</v>
      </c>
      <c r="E190" s="41" t="s">
        <v>2984</v>
      </c>
      <c r="F190" s="41" t="s">
        <v>2933</v>
      </c>
      <c r="G190" s="41" t="s">
        <v>2934</v>
      </c>
    </row>
    <row r="191" spans="1:7" x14ac:dyDescent="0.25">
      <c r="A191" s="41" t="s">
        <v>3174</v>
      </c>
      <c r="B191" s="41" t="s">
        <v>3166</v>
      </c>
      <c r="C191" s="41" t="s">
        <v>78</v>
      </c>
      <c r="D191" s="41" t="s">
        <v>3167</v>
      </c>
      <c r="E191" s="41" t="s">
        <v>2984</v>
      </c>
      <c r="F191" s="41" t="s">
        <v>2930</v>
      </c>
      <c r="G191" s="41" t="s">
        <v>2931</v>
      </c>
    </row>
    <row r="192" spans="1:7" x14ac:dyDescent="0.25">
      <c r="A192" s="41" t="s">
        <v>3175</v>
      </c>
      <c r="B192" s="41" t="s">
        <v>3170</v>
      </c>
      <c r="C192" s="41" t="s">
        <v>78</v>
      </c>
      <c r="D192" s="41" t="s">
        <v>3171</v>
      </c>
      <c r="E192" s="41" t="s">
        <v>2984</v>
      </c>
      <c r="F192" s="41" t="s">
        <v>2949</v>
      </c>
      <c r="G192" s="41" t="s">
        <v>2950</v>
      </c>
    </row>
    <row r="193" spans="1:7" x14ac:dyDescent="0.25">
      <c r="A193" s="41" t="s">
        <v>3176</v>
      </c>
      <c r="B193" s="41" t="s">
        <v>3166</v>
      </c>
      <c r="C193" s="41" t="s">
        <v>78</v>
      </c>
      <c r="D193" s="41" t="s">
        <v>3167</v>
      </c>
      <c r="E193" s="41" t="s">
        <v>2929</v>
      </c>
      <c r="F193" s="41" t="s">
        <v>2949</v>
      </c>
      <c r="G193" s="41" t="s">
        <v>2950</v>
      </c>
    </row>
    <row r="194" spans="1:7" x14ac:dyDescent="0.25">
      <c r="A194" s="41" t="s">
        <v>3177</v>
      </c>
      <c r="B194" s="41" t="s">
        <v>3170</v>
      </c>
      <c r="C194" s="41" t="s">
        <v>78</v>
      </c>
      <c r="D194" s="41" t="s">
        <v>3171</v>
      </c>
      <c r="E194" s="41" t="s">
        <v>2984</v>
      </c>
      <c r="F194" s="41" t="s">
        <v>2949</v>
      </c>
      <c r="G194" s="41" t="s">
        <v>2950</v>
      </c>
    </row>
    <row r="195" spans="1:7" x14ac:dyDescent="0.25">
      <c r="A195" s="41" t="s">
        <v>3178</v>
      </c>
      <c r="B195" s="41" t="s">
        <v>3166</v>
      </c>
      <c r="C195" s="41" t="s">
        <v>78</v>
      </c>
      <c r="D195" s="41" t="s">
        <v>3167</v>
      </c>
      <c r="E195" s="41" t="s">
        <v>2929</v>
      </c>
      <c r="F195" s="41" t="s">
        <v>2930</v>
      </c>
      <c r="G195" s="41" t="s">
        <v>2931</v>
      </c>
    </row>
    <row r="196" spans="1:7" x14ac:dyDescent="0.25">
      <c r="A196" s="41" t="s">
        <v>3179</v>
      </c>
      <c r="B196" s="41" t="s">
        <v>3180</v>
      </c>
      <c r="C196" s="41" t="s">
        <v>78</v>
      </c>
      <c r="D196" s="41" t="s">
        <v>3181</v>
      </c>
      <c r="E196" s="41" t="s">
        <v>2929</v>
      </c>
      <c r="F196" s="41" t="s">
        <v>2949</v>
      </c>
      <c r="G196" s="41" t="s">
        <v>2950</v>
      </c>
    </row>
    <row r="197" spans="1:7" x14ac:dyDescent="0.25">
      <c r="A197" s="41" t="s">
        <v>3182</v>
      </c>
      <c r="B197" s="41" t="s">
        <v>3183</v>
      </c>
      <c r="C197" s="41" t="s">
        <v>78</v>
      </c>
      <c r="D197" s="41" t="s">
        <v>3184</v>
      </c>
      <c r="E197" s="41" t="s">
        <v>2929</v>
      </c>
      <c r="F197" s="41" t="s">
        <v>2949</v>
      </c>
      <c r="G197" s="41" t="s">
        <v>2950</v>
      </c>
    </row>
    <row r="198" spans="1:7" x14ac:dyDescent="0.25">
      <c r="A198" s="41" t="s">
        <v>3185</v>
      </c>
      <c r="B198" s="41" t="s">
        <v>3180</v>
      </c>
      <c r="C198" s="41" t="s">
        <v>78</v>
      </c>
      <c r="D198" s="41" t="s">
        <v>3181</v>
      </c>
      <c r="E198" s="41" t="s">
        <v>2929</v>
      </c>
      <c r="F198" s="41" t="s">
        <v>2933</v>
      </c>
      <c r="G198" s="41" t="s">
        <v>2934</v>
      </c>
    </row>
    <row r="199" spans="1:7" x14ac:dyDescent="0.25">
      <c r="A199" s="41" t="s">
        <v>3186</v>
      </c>
      <c r="B199" s="41" t="s">
        <v>3180</v>
      </c>
      <c r="C199" s="41" t="s">
        <v>78</v>
      </c>
      <c r="D199" s="41" t="s">
        <v>3181</v>
      </c>
      <c r="E199" s="41" t="s">
        <v>2984</v>
      </c>
      <c r="F199" s="41" t="s">
        <v>2930</v>
      </c>
      <c r="G199" s="41" t="s">
        <v>2931</v>
      </c>
    </row>
    <row r="200" spans="1:7" x14ac:dyDescent="0.25">
      <c r="A200" s="41" t="s">
        <v>3187</v>
      </c>
      <c r="B200" s="41" t="s">
        <v>3180</v>
      </c>
      <c r="C200" s="41" t="s">
        <v>78</v>
      </c>
      <c r="D200" s="41" t="s">
        <v>3181</v>
      </c>
      <c r="E200" s="41" t="s">
        <v>2984</v>
      </c>
      <c r="F200" s="41" t="s">
        <v>2933</v>
      </c>
      <c r="G200" s="41" t="s">
        <v>2934</v>
      </c>
    </row>
    <row r="201" spans="1:7" x14ac:dyDescent="0.25">
      <c r="A201" s="41" t="s">
        <v>3188</v>
      </c>
      <c r="B201" s="41" t="s">
        <v>3110</v>
      </c>
      <c r="C201" s="41" t="s">
        <v>78</v>
      </c>
      <c r="D201" s="41" t="s">
        <v>3111</v>
      </c>
      <c r="E201" s="41" t="s">
        <v>2929</v>
      </c>
      <c r="F201" s="41" t="s">
        <v>2933</v>
      </c>
      <c r="G201" s="41" t="s">
        <v>2934</v>
      </c>
    </row>
    <row r="202" spans="1:7" x14ac:dyDescent="0.25">
      <c r="A202" s="41" t="s">
        <v>3189</v>
      </c>
      <c r="B202" s="41" t="s">
        <v>3180</v>
      </c>
      <c r="C202" s="41" t="s">
        <v>78</v>
      </c>
      <c r="D202" s="41" t="s">
        <v>3181</v>
      </c>
      <c r="E202" s="41" t="s">
        <v>2929</v>
      </c>
      <c r="F202" s="41" t="s">
        <v>2949</v>
      </c>
      <c r="G202" s="41" t="s">
        <v>2950</v>
      </c>
    </row>
    <row r="203" spans="1:7" x14ac:dyDescent="0.25">
      <c r="A203" s="41" t="s">
        <v>404</v>
      </c>
      <c r="B203" s="41" t="s">
        <v>363</v>
      </c>
      <c r="C203" s="41" t="s">
        <v>2928</v>
      </c>
      <c r="D203" s="41" t="s">
        <v>404</v>
      </c>
      <c r="E203" s="41" t="s">
        <v>2929</v>
      </c>
      <c r="F203" s="41" t="s">
        <v>2930</v>
      </c>
      <c r="G203" s="41" t="s">
        <v>2931</v>
      </c>
    </row>
    <row r="204" spans="1:7" x14ac:dyDescent="0.25">
      <c r="A204" s="41" t="s">
        <v>3190</v>
      </c>
      <c r="B204" s="41" t="s">
        <v>363</v>
      </c>
      <c r="C204" s="41" t="s">
        <v>2928</v>
      </c>
      <c r="D204" s="41" t="s">
        <v>404</v>
      </c>
      <c r="E204" s="41" t="s">
        <v>2929</v>
      </c>
      <c r="F204" s="41" t="s">
        <v>2933</v>
      </c>
      <c r="G204" s="41" t="s">
        <v>2934</v>
      </c>
    </row>
    <row r="205" spans="1:7" x14ac:dyDescent="0.25">
      <c r="A205" s="41" t="s">
        <v>3191</v>
      </c>
      <c r="B205" s="41" t="s">
        <v>363</v>
      </c>
      <c r="C205" s="41" t="s">
        <v>2928</v>
      </c>
      <c r="D205" s="41" t="s">
        <v>404</v>
      </c>
      <c r="E205" s="41" t="s">
        <v>2929</v>
      </c>
      <c r="F205" s="41" t="s">
        <v>2930</v>
      </c>
      <c r="G205" s="41" t="s">
        <v>2931</v>
      </c>
    </row>
    <row r="206" spans="1:7" x14ac:dyDescent="0.25">
      <c r="A206" s="41" t="s">
        <v>3192</v>
      </c>
      <c r="B206" s="41" t="s">
        <v>363</v>
      </c>
      <c r="C206" s="41" t="s">
        <v>2928</v>
      </c>
      <c r="D206" s="41" t="s">
        <v>404</v>
      </c>
      <c r="E206" s="41" t="s">
        <v>2929</v>
      </c>
      <c r="F206" s="41" t="s">
        <v>2949</v>
      </c>
      <c r="G206" s="41" t="s">
        <v>2950</v>
      </c>
    </row>
    <row r="207" spans="1:7" x14ac:dyDescent="0.25">
      <c r="A207" s="41" t="s">
        <v>308</v>
      </c>
      <c r="B207" s="41" t="s">
        <v>309</v>
      </c>
      <c r="C207" s="41" t="s">
        <v>2928</v>
      </c>
      <c r="D207" s="41" t="s">
        <v>308</v>
      </c>
      <c r="E207" s="41" t="s">
        <v>2929</v>
      </c>
      <c r="F207" s="41" t="s">
        <v>2930</v>
      </c>
      <c r="G207" s="41" t="s">
        <v>2931</v>
      </c>
    </row>
    <row r="208" spans="1:7" x14ac:dyDescent="0.25">
      <c r="A208" s="41" t="s">
        <v>3193</v>
      </c>
      <c r="B208" s="41" t="s">
        <v>309</v>
      </c>
      <c r="C208" s="41" t="s">
        <v>2928</v>
      </c>
      <c r="D208" s="41" t="s">
        <v>308</v>
      </c>
      <c r="E208" s="41" t="s">
        <v>2929</v>
      </c>
      <c r="F208" s="41" t="s">
        <v>2933</v>
      </c>
      <c r="G208" s="41" t="s">
        <v>2934</v>
      </c>
    </row>
    <row r="209" spans="1:7" x14ac:dyDescent="0.25">
      <c r="A209" s="41" t="s">
        <v>3194</v>
      </c>
      <c r="B209" s="41" t="s">
        <v>309</v>
      </c>
      <c r="C209" s="41" t="s">
        <v>2928</v>
      </c>
      <c r="D209" s="41" t="s">
        <v>308</v>
      </c>
      <c r="E209" s="41" t="s">
        <v>2929</v>
      </c>
      <c r="F209" s="41" t="s">
        <v>2933</v>
      </c>
      <c r="G209" s="41" t="s">
        <v>2934</v>
      </c>
    </row>
    <row r="210" spans="1:7" x14ac:dyDescent="0.25">
      <c r="A210" s="41" t="s">
        <v>3195</v>
      </c>
      <c r="B210" s="41" t="s">
        <v>309</v>
      </c>
      <c r="C210" s="41" t="s">
        <v>2928</v>
      </c>
      <c r="D210" s="41" t="s">
        <v>308</v>
      </c>
      <c r="E210" s="41" t="s">
        <v>2929</v>
      </c>
      <c r="F210" s="41" t="s">
        <v>2933</v>
      </c>
      <c r="G210" s="41" t="s">
        <v>2934</v>
      </c>
    </row>
    <row r="211" spans="1:7" x14ac:dyDescent="0.25">
      <c r="A211" s="41" t="s">
        <v>3196</v>
      </c>
      <c r="B211" s="41" t="s">
        <v>309</v>
      </c>
      <c r="C211" s="41" t="s">
        <v>2928</v>
      </c>
      <c r="D211" s="41" t="s">
        <v>308</v>
      </c>
      <c r="E211" s="41" t="s">
        <v>2929</v>
      </c>
      <c r="F211" s="41" t="s">
        <v>2933</v>
      </c>
      <c r="G211" s="41" t="s">
        <v>2934</v>
      </c>
    </row>
    <row r="212" spans="1:7" x14ac:dyDescent="0.25">
      <c r="A212" s="41" t="s">
        <v>3197</v>
      </c>
      <c r="B212" s="41" t="s">
        <v>309</v>
      </c>
      <c r="C212" s="41" t="s">
        <v>2928</v>
      </c>
      <c r="D212" s="41" t="s">
        <v>308</v>
      </c>
      <c r="E212" s="41" t="s">
        <v>2929</v>
      </c>
      <c r="F212" s="41" t="s">
        <v>2933</v>
      </c>
      <c r="G212" s="41" t="s">
        <v>2934</v>
      </c>
    </row>
    <row r="213" spans="1:7" x14ac:dyDescent="0.25">
      <c r="A213" s="41" t="s">
        <v>3198</v>
      </c>
      <c r="B213" s="41" t="s">
        <v>309</v>
      </c>
      <c r="C213" s="41" t="s">
        <v>2928</v>
      </c>
      <c r="D213" s="41" t="s">
        <v>308</v>
      </c>
      <c r="E213" s="41" t="s">
        <v>2929</v>
      </c>
      <c r="F213" s="41" t="s">
        <v>2933</v>
      </c>
      <c r="G213" s="41" t="s">
        <v>2934</v>
      </c>
    </row>
    <row r="214" spans="1:7" x14ac:dyDescent="0.25">
      <c r="A214" s="41" t="s">
        <v>3199</v>
      </c>
      <c r="B214" s="41" t="s">
        <v>309</v>
      </c>
      <c r="C214" s="41" t="s">
        <v>2928</v>
      </c>
      <c r="D214" s="41" t="s">
        <v>308</v>
      </c>
      <c r="E214" s="41" t="s">
        <v>2929</v>
      </c>
      <c r="F214" s="41" t="s">
        <v>2933</v>
      </c>
      <c r="G214" s="41" t="s">
        <v>2934</v>
      </c>
    </row>
    <row r="215" spans="1:7" x14ac:dyDescent="0.25">
      <c r="A215" s="41" t="s">
        <v>3200</v>
      </c>
      <c r="B215" s="41" t="s">
        <v>309</v>
      </c>
      <c r="C215" s="41" t="s">
        <v>2928</v>
      </c>
      <c r="D215" s="41" t="s">
        <v>308</v>
      </c>
      <c r="E215" s="41" t="s">
        <v>2929</v>
      </c>
      <c r="F215" s="41" t="s">
        <v>2930</v>
      </c>
      <c r="G215" s="41" t="s">
        <v>2931</v>
      </c>
    </row>
    <row r="216" spans="1:7" x14ac:dyDescent="0.25">
      <c r="A216" s="41" t="s">
        <v>3201</v>
      </c>
      <c r="B216" s="41" t="s">
        <v>309</v>
      </c>
      <c r="C216" s="41" t="s">
        <v>2928</v>
      </c>
      <c r="D216" s="41" t="s">
        <v>308</v>
      </c>
      <c r="E216" s="41" t="s">
        <v>2929</v>
      </c>
      <c r="F216" s="41" t="s">
        <v>2930</v>
      </c>
      <c r="G216" s="41" t="s">
        <v>2931</v>
      </c>
    </row>
    <row r="217" spans="1:7" x14ac:dyDescent="0.25">
      <c r="A217" s="41" t="s">
        <v>3202</v>
      </c>
      <c r="B217" s="41" t="s">
        <v>309</v>
      </c>
      <c r="C217" s="41" t="s">
        <v>2928</v>
      </c>
      <c r="D217" s="41" t="s">
        <v>308</v>
      </c>
      <c r="E217" s="41" t="s">
        <v>2929</v>
      </c>
      <c r="F217" s="41" t="s">
        <v>2930</v>
      </c>
      <c r="G217" s="41" t="s">
        <v>2931</v>
      </c>
    </row>
    <row r="218" spans="1:7" x14ac:dyDescent="0.25">
      <c r="A218" s="41" t="s">
        <v>3203</v>
      </c>
      <c r="B218" s="41" t="s">
        <v>309</v>
      </c>
      <c r="C218" s="41" t="s">
        <v>2928</v>
      </c>
      <c r="D218" s="41" t="s">
        <v>308</v>
      </c>
      <c r="E218" s="41" t="s">
        <v>2929</v>
      </c>
      <c r="F218" s="41" t="s">
        <v>2930</v>
      </c>
      <c r="G218" s="41" t="s">
        <v>2931</v>
      </c>
    </row>
    <row r="219" spans="1:7" x14ac:dyDescent="0.25">
      <c r="A219" s="41" t="s">
        <v>3204</v>
      </c>
      <c r="B219" s="41" t="s">
        <v>309</v>
      </c>
      <c r="C219" s="41" t="s">
        <v>2928</v>
      </c>
      <c r="D219" s="41" t="s">
        <v>308</v>
      </c>
      <c r="E219" s="41" t="s">
        <v>2929</v>
      </c>
      <c r="F219" s="41" t="s">
        <v>2930</v>
      </c>
      <c r="G219" s="41" t="s">
        <v>2931</v>
      </c>
    </row>
    <row r="220" spans="1:7" x14ac:dyDescent="0.25">
      <c r="A220" s="41" t="s">
        <v>3205</v>
      </c>
      <c r="B220" s="41" t="s">
        <v>309</v>
      </c>
      <c r="C220" s="41" t="s">
        <v>2928</v>
      </c>
      <c r="D220" s="41" t="s">
        <v>308</v>
      </c>
      <c r="E220" s="41" t="s">
        <v>2929</v>
      </c>
      <c r="F220" s="41" t="s">
        <v>2930</v>
      </c>
      <c r="G220" s="41" t="s">
        <v>2931</v>
      </c>
    </row>
    <row r="221" spans="1:7" x14ac:dyDescent="0.25">
      <c r="A221" s="41" t="s">
        <v>3206</v>
      </c>
      <c r="B221" s="41" t="s">
        <v>309</v>
      </c>
      <c r="C221" s="41" t="s">
        <v>2928</v>
      </c>
      <c r="D221" s="41" t="s">
        <v>308</v>
      </c>
      <c r="E221" s="41" t="s">
        <v>2929</v>
      </c>
      <c r="F221" s="41" t="s">
        <v>2930</v>
      </c>
      <c r="G221" s="41" t="s">
        <v>2931</v>
      </c>
    </row>
    <row r="222" spans="1:7" x14ac:dyDescent="0.25">
      <c r="A222" s="41" t="s">
        <v>3207</v>
      </c>
      <c r="B222" s="41" t="s">
        <v>309</v>
      </c>
      <c r="C222" s="41" t="s">
        <v>2928</v>
      </c>
      <c r="D222" s="41" t="s">
        <v>308</v>
      </c>
      <c r="E222" s="41" t="s">
        <v>2929</v>
      </c>
      <c r="F222" s="41" t="s">
        <v>2949</v>
      </c>
      <c r="G222" s="41" t="s">
        <v>2950</v>
      </c>
    </row>
    <row r="223" spans="1:7" x14ac:dyDescent="0.25">
      <c r="A223" s="41" t="s">
        <v>3208</v>
      </c>
      <c r="B223" s="41" t="s">
        <v>309</v>
      </c>
      <c r="C223" s="41" t="s">
        <v>2928</v>
      </c>
      <c r="D223" s="41" t="s">
        <v>308</v>
      </c>
      <c r="E223" s="41" t="s">
        <v>2929</v>
      </c>
      <c r="F223" s="41" t="s">
        <v>2949</v>
      </c>
      <c r="G223" s="41" t="s">
        <v>2950</v>
      </c>
    </row>
    <row r="224" spans="1:7" x14ac:dyDescent="0.25">
      <c r="A224" s="41" t="s">
        <v>3209</v>
      </c>
      <c r="B224" s="41" t="s">
        <v>309</v>
      </c>
      <c r="C224" s="41" t="s">
        <v>2928</v>
      </c>
      <c r="D224" s="41" t="s">
        <v>308</v>
      </c>
      <c r="E224" s="41" t="s">
        <v>2929</v>
      </c>
      <c r="F224" s="41" t="s">
        <v>2949</v>
      </c>
      <c r="G224" s="41" t="s">
        <v>2950</v>
      </c>
    </row>
    <row r="225" spans="1:7" x14ac:dyDescent="0.25">
      <c r="A225" s="41" t="s">
        <v>3210</v>
      </c>
      <c r="B225" s="41" t="s">
        <v>309</v>
      </c>
      <c r="C225" s="41" t="s">
        <v>2928</v>
      </c>
      <c r="D225" s="41" t="s">
        <v>308</v>
      </c>
      <c r="E225" s="41" t="s">
        <v>2929</v>
      </c>
      <c r="F225" s="41" t="s">
        <v>2949</v>
      </c>
      <c r="G225" s="41" t="s">
        <v>2950</v>
      </c>
    </row>
    <row r="226" spans="1:7" x14ac:dyDescent="0.25">
      <c r="A226" s="41" t="s">
        <v>3211</v>
      </c>
      <c r="B226" s="41" t="s">
        <v>309</v>
      </c>
      <c r="C226" s="41" t="s">
        <v>2928</v>
      </c>
      <c r="D226" s="41" t="s">
        <v>308</v>
      </c>
      <c r="E226" s="41" t="s">
        <v>2929</v>
      </c>
      <c r="F226" s="41" t="s">
        <v>2949</v>
      </c>
      <c r="G226" s="41" t="s">
        <v>2950</v>
      </c>
    </row>
    <row r="227" spans="1:7" x14ac:dyDescent="0.25">
      <c r="A227" s="41" t="s">
        <v>3212</v>
      </c>
      <c r="B227" s="41" t="s">
        <v>309</v>
      </c>
      <c r="C227" s="41" t="s">
        <v>2928</v>
      </c>
      <c r="D227" s="41" t="s">
        <v>308</v>
      </c>
      <c r="E227" s="41" t="s">
        <v>2929</v>
      </c>
      <c r="F227" s="41" t="s">
        <v>2949</v>
      </c>
      <c r="G227" s="41" t="s">
        <v>2950</v>
      </c>
    </row>
    <row r="228" spans="1:7" x14ac:dyDescent="0.25">
      <c r="A228" s="41" t="s">
        <v>3213</v>
      </c>
      <c r="B228" s="41" t="s">
        <v>309</v>
      </c>
      <c r="C228" s="41" t="s">
        <v>2928</v>
      </c>
      <c r="D228" s="41" t="s">
        <v>308</v>
      </c>
      <c r="E228" s="41" t="s">
        <v>2929</v>
      </c>
      <c r="F228" s="41" t="s">
        <v>2949</v>
      </c>
      <c r="G228" s="41" t="s">
        <v>2950</v>
      </c>
    </row>
    <row r="229" spans="1:7" x14ac:dyDescent="0.25">
      <c r="A229" s="41" t="s">
        <v>3214</v>
      </c>
      <c r="B229" s="41" t="s">
        <v>3215</v>
      </c>
      <c r="C229" s="41" t="s">
        <v>95</v>
      </c>
      <c r="D229" s="41" t="s">
        <v>3216</v>
      </c>
      <c r="E229" s="41" t="s">
        <v>2929</v>
      </c>
      <c r="F229" s="41" t="s">
        <v>2949</v>
      </c>
      <c r="G229" s="41" t="s">
        <v>2950</v>
      </c>
    </row>
    <row r="230" spans="1:7" x14ac:dyDescent="0.25">
      <c r="A230" s="41" t="s">
        <v>3217</v>
      </c>
      <c r="B230" s="41" t="s">
        <v>3215</v>
      </c>
      <c r="C230" s="41" t="s">
        <v>95</v>
      </c>
      <c r="D230" s="41" t="s">
        <v>3216</v>
      </c>
      <c r="E230" s="41" t="s">
        <v>2929</v>
      </c>
      <c r="F230" s="41" t="s">
        <v>2933</v>
      </c>
      <c r="G230" s="41" t="s">
        <v>2934</v>
      </c>
    </row>
    <row r="231" spans="1:7" x14ac:dyDescent="0.25">
      <c r="A231" s="41" t="s">
        <v>3218</v>
      </c>
      <c r="B231" s="41" t="s">
        <v>3219</v>
      </c>
      <c r="C231" s="41" t="s">
        <v>95</v>
      </c>
      <c r="D231" s="41" t="s">
        <v>3216</v>
      </c>
      <c r="E231" s="41" t="s">
        <v>2929</v>
      </c>
      <c r="F231" s="41" t="s">
        <v>2930</v>
      </c>
      <c r="G231" s="41" t="s">
        <v>2931</v>
      </c>
    </row>
    <row r="232" spans="1:7" x14ac:dyDescent="0.25">
      <c r="A232" s="41" t="s">
        <v>3220</v>
      </c>
      <c r="B232" s="41" t="s">
        <v>3221</v>
      </c>
      <c r="C232" s="41" t="s">
        <v>74</v>
      </c>
      <c r="D232" s="41" t="s">
        <v>3222</v>
      </c>
      <c r="E232" s="41" t="s">
        <v>2929</v>
      </c>
      <c r="F232" s="41" t="s">
        <v>2933</v>
      </c>
      <c r="G232" s="41" t="s">
        <v>2934</v>
      </c>
    </row>
    <row r="233" spans="1:7" x14ac:dyDescent="0.25">
      <c r="A233" s="41" t="s">
        <v>3223</v>
      </c>
      <c r="B233" s="41" t="s">
        <v>3221</v>
      </c>
      <c r="C233" s="41" t="s">
        <v>74</v>
      </c>
      <c r="D233" s="41" t="s">
        <v>3222</v>
      </c>
      <c r="E233" s="41" t="s">
        <v>2984</v>
      </c>
      <c r="F233" s="41" t="s">
        <v>2949</v>
      </c>
      <c r="G233" s="41" t="s">
        <v>2950</v>
      </c>
    </row>
    <row r="234" spans="1:7" x14ac:dyDescent="0.25">
      <c r="A234" s="41" t="s">
        <v>3224</v>
      </c>
      <c r="B234" s="41" t="s">
        <v>3221</v>
      </c>
      <c r="C234" s="41" t="s">
        <v>74</v>
      </c>
      <c r="D234" s="41" t="s">
        <v>3222</v>
      </c>
      <c r="E234" s="41" t="s">
        <v>2929</v>
      </c>
      <c r="F234" s="41" t="s">
        <v>2949</v>
      </c>
      <c r="G234" s="41" t="s">
        <v>2950</v>
      </c>
    </row>
    <row r="235" spans="1:7" x14ac:dyDescent="0.25">
      <c r="A235" s="41" t="s">
        <v>3225</v>
      </c>
      <c r="B235" s="41" t="s">
        <v>3226</v>
      </c>
      <c r="C235" s="41" t="s">
        <v>3227</v>
      </c>
      <c r="D235" s="41" t="s">
        <v>3228</v>
      </c>
      <c r="E235" s="41" t="s">
        <v>2929</v>
      </c>
      <c r="F235" s="41" t="s">
        <v>2930</v>
      </c>
      <c r="G235" s="41" t="s">
        <v>2931</v>
      </c>
    </row>
    <row r="236" spans="1:7" x14ac:dyDescent="0.25">
      <c r="A236" s="41" t="s">
        <v>3229</v>
      </c>
      <c r="B236" s="41" t="s">
        <v>3226</v>
      </c>
      <c r="C236" s="41" t="s">
        <v>3227</v>
      </c>
      <c r="D236" s="41" t="s">
        <v>3228</v>
      </c>
      <c r="E236" s="41" t="s">
        <v>2929</v>
      </c>
      <c r="F236" s="41" t="s">
        <v>2949</v>
      </c>
      <c r="G236" s="41" t="s">
        <v>2950</v>
      </c>
    </row>
    <row r="237" spans="1:7" x14ac:dyDescent="0.25">
      <c r="A237" s="41" t="s">
        <v>3230</v>
      </c>
      <c r="B237" s="41" t="s">
        <v>3226</v>
      </c>
      <c r="C237" s="41" t="s">
        <v>3227</v>
      </c>
      <c r="D237" s="41" t="s">
        <v>3228</v>
      </c>
      <c r="E237" s="41" t="s">
        <v>2929</v>
      </c>
      <c r="F237" s="41" t="s">
        <v>2933</v>
      </c>
      <c r="G237" s="41" t="s">
        <v>2934</v>
      </c>
    </row>
    <row r="238" spans="1:7" x14ac:dyDescent="0.25">
      <c r="A238" s="41" t="s">
        <v>3231</v>
      </c>
      <c r="B238" s="41" t="s">
        <v>3226</v>
      </c>
      <c r="C238" s="41" t="s">
        <v>3227</v>
      </c>
      <c r="D238" s="41" t="s">
        <v>3228</v>
      </c>
      <c r="E238" s="41" t="s">
        <v>2984</v>
      </c>
      <c r="F238" s="41" t="s">
        <v>2949</v>
      </c>
      <c r="G238" s="41" t="s">
        <v>2950</v>
      </c>
    </row>
    <row r="239" spans="1:7" x14ac:dyDescent="0.25">
      <c r="A239" s="41" t="s">
        <v>3232</v>
      </c>
      <c r="B239" s="41" t="s">
        <v>3226</v>
      </c>
      <c r="C239" s="41" t="s">
        <v>3227</v>
      </c>
      <c r="D239" s="41" t="s">
        <v>3228</v>
      </c>
      <c r="E239" s="41" t="s">
        <v>2984</v>
      </c>
      <c r="F239" s="41" t="s">
        <v>2933</v>
      </c>
      <c r="G239" s="41" t="s">
        <v>2934</v>
      </c>
    </row>
    <row r="240" spans="1:7" x14ac:dyDescent="0.25">
      <c r="A240" s="41" t="s">
        <v>3233</v>
      </c>
      <c r="B240" s="41" t="s">
        <v>3126</v>
      </c>
      <c r="C240" s="41" t="s">
        <v>95</v>
      </c>
      <c r="D240" s="41" t="s">
        <v>3127</v>
      </c>
      <c r="E240" s="41" t="s">
        <v>3009</v>
      </c>
      <c r="F240" s="41" t="s">
        <v>2949</v>
      </c>
      <c r="G240" s="41" t="s">
        <v>2950</v>
      </c>
    </row>
    <row r="241" spans="1:7" x14ac:dyDescent="0.25">
      <c r="A241" s="41" t="s">
        <v>3234</v>
      </c>
      <c r="B241" s="41" t="s">
        <v>3126</v>
      </c>
      <c r="C241" s="41" t="s">
        <v>95</v>
      </c>
      <c r="D241" s="41" t="s">
        <v>3127</v>
      </c>
      <c r="E241" s="41" t="s">
        <v>2929</v>
      </c>
      <c r="F241" s="41" t="s">
        <v>2949</v>
      </c>
      <c r="G241" s="41" t="s">
        <v>2950</v>
      </c>
    </row>
    <row r="242" spans="1:7" x14ac:dyDescent="0.25">
      <c r="A242" s="41" t="s">
        <v>3235</v>
      </c>
      <c r="B242" s="41" t="s">
        <v>3236</v>
      </c>
      <c r="C242" s="41" t="s">
        <v>95</v>
      </c>
      <c r="D242" s="41" t="s">
        <v>3237</v>
      </c>
      <c r="E242" s="41" t="s">
        <v>2929</v>
      </c>
      <c r="F242" s="41" t="s">
        <v>2949</v>
      </c>
      <c r="G242" s="41" t="s">
        <v>2950</v>
      </c>
    </row>
    <row r="243" spans="1:7" x14ac:dyDescent="0.25">
      <c r="A243" s="41" t="s">
        <v>3238</v>
      </c>
      <c r="B243" s="41" t="s">
        <v>3239</v>
      </c>
      <c r="C243" s="41" t="s">
        <v>74</v>
      </c>
      <c r="D243" s="41" t="s">
        <v>3240</v>
      </c>
      <c r="E243" s="41" t="s">
        <v>2929</v>
      </c>
      <c r="F243" s="41" t="s">
        <v>2930</v>
      </c>
      <c r="G243" s="41" t="s">
        <v>2931</v>
      </c>
    </row>
    <row r="244" spans="1:7" x14ac:dyDescent="0.25">
      <c r="A244" s="41" t="s">
        <v>3241</v>
      </c>
      <c r="B244" s="41" t="s">
        <v>3239</v>
      </c>
      <c r="C244" s="41" t="s">
        <v>74</v>
      </c>
      <c r="D244" s="41" t="s">
        <v>3240</v>
      </c>
      <c r="E244" s="41" t="s">
        <v>2929</v>
      </c>
      <c r="F244" s="41" t="s">
        <v>2949</v>
      </c>
      <c r="G244" s="41" t="s">
        <v>2950</v>
      </c>
    </row>
    <row r="245" spans="1:7" x14ac:dyDescent="0.25">
      <c r="A245" s="41" t="s">
        <v>3242</v>
      </c>
      <c r="B245" s="41" t="s">
        <v>3243</v>
      </c>
      <c r="C245" s="41" t="s">
        <v>78</v>
      </c>
      <c r="D245" s="41" t="s">
        <v>3244</v>
      </c>
      <c r="E245" s="41" t="s">
        <v>2929</v>
      </c>
      <c r="F245" s="41" t="s">
        <v>2933</v>
      </c>
      <c r="G245" s="41" t="s">
        <v>2934</v>
      </c>
    </row>
    <row r="246" spans="1:7" x14ac:dyDescent="0.25">
      <c r="A246" s="41" t="s">
        <v>3245</v>
      </c>
      <c r="B246" s="41" t="s">
        <v>3246</v>
      </c>
      <c r="C246" s="41" t="s">
        <v>77</v>
      </c>
      <c r="D246" s="41" t="s">
        <v>3247</v>
      </c>
      <c r="E246" s="41" t="s">
        <v>2929</v>
      </c>
      <c r="F246" s="41" t="s">
        <v>2930</v>
      </c>
      <c r="G246" s="41" t="s">
        <v>2931</v>
      </c>
    </row>
    <row r="247" spans="1:7" x14ac:dyDescent="0.25">
      <c r="A247" s="41" t="s">
        <v>3248</v>
      </c>
      <c r="B247" s="41" t="s">
        <v>3246</v>
      </c>
      <c r="C247" s="41" t="s">
        <v>77</v>
      </c>
      <c r="D247" s="41" t="s">
        <v>3247</v>
      </c>
      <c r="E247" s="41" t="s">
        <v>2984</v>
      </c>
      <c r="F247" s="41" t="s">
        <v>2930</v>
      </c>
      <c r="G247" s="41" t="s">
        <v>2931</v>
      </c>
    </row>
    <row r="248" spans="1:7" x14ac:dyDescent="0.25">
      <c r="A248" s="41" t="s">
        <v>3249</v>
      </c>
      <c r="B248" s="41" t="s">
        <v>3246</v>
      </c>
      <c r="C248" s="41" t="s">
        <v>77</v>
      </c>
      <c r="D248" s="41" t="s">
        <v>3247</v>
      </c>
      <c r="E248" s="41" t="s">
        <v>2984</v>
      </c>
      <c r="F248" s="41" t="s">
        <v>2949</v>
      </c>
      <c r="G248" s="41" t="s">
        <v>2950</v>
      </c>
    </row>
    <row r="249" spans="1:7" x14ac:dyDescent="0.25">
      <c r="A249" s="41" t="s">
        <v>3250</v>
      </c>
      <c r="B249" s="41" t="s">
        <v>3251</v>
      </c>
      <c r="C249" s="41" t="s">
        <v>77</v>
      </c>
      <c r="D249" s="41" t="s">
        <v>3252</v>
      </c>
      <c r="E249" s="41" t="s">
        <v>2929</v>
      </c>
      <c r="F249" s="41" t="s">
        <v>2949</v>
      </c>
      <c r="G249" s="41" t="s">
        <v>2950</v>
      </c>
    </row>
    <row r="250" spans="1:7" x14ac:dyDescent="0.25">
      <c r="A250" s="41" t="s">
        <v>3253</v>
      </c>
      <c r="B250" s="41" t="s">
        <v>3246</v>
      </c>
      <c r="C250" s="41" t="s">
        <v>77</v>
      </c>
      <c r="D250" s="41" t="s">
        <v>3247</v>
      </c>
      <c r="E250" s="41" t="s">
        <v>2929</v>
      </c>
      <c r="F250" s="41" t="s">
        <v>2949</v>
      </c>
      <c r="G250" s="41" t="s">
        <v>2950</v>
      </c>
    </row>
    <row r="251" spans="1:7" x14ac:dyDescent="0.25">
      <c r="A251" s="41" t="s">
        <v>3254</v>
      </c>
      <c r="B251" s="41" t="s">
        <v>3251</v>
      </c>
      <c r="C251" s="41" t="s">
        <v>77</v>
      </c>
      <c r="D251" s="41" t="s">
        <v>3252</v>
      </c>
      <c r="E251" s="41" t="s">
        <v>2984</v>
      </c>
      <c r="F251" s="41" t="s">
        <v>2949</v>
      </c>
      <c r="G251" s="41" t="s">
        <v>2950</v>
      </c>
    </row>
    <row r="252" spans="1:7" x14ac:dyDescent="0.25">
      <c r="A252" s="41" t="s">
        <v>3255</v>
      </c>
      <c r="B252" s="41" t="s">
        <v>3246</v>
      </c>
      <c r="C252" s="41" t="s">
        <v>77</v>
      </c>
      <c r="D252" s="41" t="s">
        <v>3247</v>
      </c>
      <c r="E252" s="41" t="s">
        <v>2929</v>
      </c>
      <c r="F252" s="41" t="s">
        <v>2949</v>
      </c>
      <c r="G252" s="41" t="s">
        <v>2950</v>
      </c>
    </row>
    <row r="253" spans="1:7" x14ac:dyDescent="0.25">
      <c r="A253" s="41" t="s">
        <v>3256</v>
      </c>
      <c r="B253" s="41" t="s">
        <v>3236</v>
      </c>
      <c r="C253" s="41" t="s">
        <v>95</v>
      </c>
      <c r="D253" s="41" t="s">
        <v>3237</v>
      </c>
      <c r="E253" s="41" t="s">
        <v>2929</v>
      </c>
      <c r="F253" s="41" t="s">
        <v>2933</v>
      </c>
      <c r="G253" s="41" t="s">
        <v>2934</v>
      </c>
    </row>
    <row r="254" spans="1:7" x14ac:dyDescent="0.25">
      <c r="A254" s="41" t="s">
        <v>3257</v>
      </c>
      <c r="B254" s="41" t="s">
        <v>3236</v>
      </c>
      <c r="C254" s="41" t="s">
        <v>95</v>
      </c>
      <c r="D254" s="41" t="s">
        <v>3237</v>
      </c>
      <c r="E254" s="41" t="s">
        <v>2929</v>
      </c>
      <c r="F254" s="41" t="s">
        <v>2933</v>
      </c>
      <c r="G254" s="41" t="s">
        <v>2934</v>
      </c>
    </row>
    <row r="255" spans="1:7" x14ac:dyDescent="0.25">
      <c r="A255" s="41" t="s">
        <v>3258</v>
      </c>
      <c r="B255" s="41" t="s">
        <v>3236</v>
      </c>
      <c r="C255" s="41" t="s">
        <v>95</v>
      </c>
      <c r="D255" s="41" t="s">
        <v>3237</v>
      </c>
      <c r="E255" s="41" t="s">
        <v>2929</v>
      </c>
      <c r="F255" s="41" t="s">
        <v>2949</v>
      </c>
      <c r="G255" s="41" t="s">
        <v>2950</v>
      </c>
    </row>
    <row r="256" spans="1:7" x14ac:dyDescent="0.25">
      <c r="A256" s="41" t="s">
        <v>3259</v>
      </c>
      <c r="B256" s="41" t="s">
        <v>3236</v>
      </c>
      <c r="C256" s="41" t="s">
        <v>95</v>
      </c>
      <c r="D256" s="41" t="s">
        <v>3237</v>
      </c>
      <c r="E256" s="41" t="s">
        <v>2929</v>
      </c>
      <c r="F256" s="41" t="s">
        <v>2930</v>
      </c>
      <c r="G256" s="41" t="s">
        <v>2931</v>
      </c>
    </row>
    <row r="257" spans="1:7" x14ac:dyDescent="0.25">
      <c r="A257" s="41" t="s">
        <v>3260</v>
      </c>
      <c r="B257" s="41" t="s">
        <v>3236</v>
      </c>
      <c r="C257" s="41" t="s">
        <v>95</v>
      </c>
      <c r="D257" s="41" t="s">
        <v>3237</v>
      </c>
      <c r="E257" s="41" t="s">
        <v>2929</v>
      </c>
      <c r="F257" s="41" t="s">
        <v>2949</v>
      </c>
      <c r="G257" s="41" t="s">
        <v>2950</v>
      </c>
    </row>
    <row r="258" spans="1:7" x14ac:dyDescent="0.25">
      <c r="A258" s="41" t="s">
        <v>3261</v>
      </c>
      <c r="B258" s="41" t="s">
        <v>3236</v>
      </c>
      <c r="C258" s="41" t="s">
        <v>95</v>
      </c>
      <c r="D258" s="41" t="s">
        <v>3237</v>
      </c>
      <c r="E258" s="41" t="s">
        <v>2984</v>
      </c>
      <c r="F258" s="41" t="s">
        <v>2930</v>
      </c>
      <c r="G258" s="41" t="s">
        <v>2931</v>
      </c>
    </row>
    <row r="259" spans="1:7" x14ac:dyDescent="0.25">
      <c r="A259" s="41" t="s">
        <v>3262</v>
      </c>
      <c r="B259" s="41" t="s">
        <v>3236</v>
      </c>
      <c r="C259" s="41" t="s">
        <v>95</v>
      </c>
      <c r="D259" s="41" t="s">
        <v>3237</v>
      </c>
      <c r="E259" s="41" t="s">
        <v>3009</v>
      </c>
      <c r="F259" s="41" t="s">
        <v>2933</v>
      </c>
      <c r="G259" s="41" t="s">
        <v>2934</v>
      </c>
    </row>
    <row r="260" spans="1:7" x14ac:dyDescent="0.25">
      <c r="A260" s="41" t="s">
        <v>3263</v>
      </c>
      <c r="B260" s="41" t="s">
        <v>3236</v>
      </c>
      <c r="C260" s="41" t="s">
        <v>95</v>
      </c>
      <c r="D260" s="41" t="s">
        <v>3237</v>
      </c>
      <c r="E260" s="41" t="s">
        <v>2929</v>
      </c>
      <c r="F260" s="41" t="s">
        <v>2949</v>
      </c>
      <c r="G260" s="41" t="s">
        <v>2950</v>
      </c>
    </row>
    <row r="261" spans="1:7" x14ac:dyDescent="0.25">
      <c r="A261" s="41" t="s">
        <v>3264</v>
      </c>
      <c r="B261" s="41" t="s">
        <v>3236</v>
      </c>
      <c r="C261" s="41" t="s">
        <v>95</v>
      </c>
      <c r="D261" s="41" t="s">
        <v>3237</v>
      </c>
      <c r="E261" s="41" t="s">
        <v>2929</v>
      </c>
      <c r="F261" s="41" t="s">
        <v>2949</v>
      </c>
      <c r="G261" s="41" t="s">
        <v>2950</v>
      </c>
    </row>
    <row r="262" spans="1:7" x14ac:dyDescent="0.25">
      <c r="A262" s="41" t="s">
        <v>3265</v>
      </c>
      <c r="B262" s="41" t="s">
        <v>3236</v>
      </c>
      <c r="C262" s="41" t="s">
        <v>95</v>
      </c>
      <c r="D262" s="41" t="s">
        <v>3237</v>
      </c>
      <c r="E262" s="41" t="s">
        <v>2929</v>
      </c>
      <c r="F262" s="41" t="s">
        <v>2949</v>
      </c>
      <c r="G262" s="41" t="s">
        <v>2950</v>
      </c>
    </row>
    <row r="263" spans="1:7" x14ac:dyDescent="0.25">
      <c r="A263" s="41" t="s">
        <v>3266</v>
      </c>
      <c r="B263" s="41" t="s">
        <v>3236</v>
      </c>
      <c r="C263" s="41" t="s">
        <v>95</v>
      </c>
      <c r="D263" s="41" t="s">
        <v>3237</v>
      </c>
      <c r="E263" s="41" t="s">
        <v>2929</v>
      </c>
      <c r="F263" s="41" t="s">
        <v>2930</v>
      </c>
      <c r="G263" s="41" t="s">
        <v>2950</v>
      </c>
    </row>
    <row r="264" spans="1:7" x14ac:dyDescent="0.25">
      <c r="A264" s="41" t="s">
        <v>3267</v>
      </c>
      <c r="B264" s="41" t="s">
        <v>3236</v>
      </c>
      <c r="C264" s="41" t="s">
        <v>95</v>
      </c>
      <c r="D264" s="41" t="s">
        <v>3237</v>
      </c>
      <c r="E264" s="41" t="s">
        <v>2929</v>
      </c>
      <c r="F264" s="41" t="s">
        <v>2933</v>
      </c>
      <c r="G264" s="41" t="s">
        <v>2934</v>
      </c>
    </row>
    <row r="265" spans="1:7" x14ac:dyDescent="0.25">
      <c r="A265" s="41" t="s">
        <v>3268</v>
      </c>
      <c r="B265" s="41" t="s">
        <v>3236</v>
      </c>
      <c r="C265" s="41" t="s">
        <v>95</v>
      </c>
      <c r="D265" s="41" t="s">
        <v>3237</v>
      </c>
      <c r="E265" s="41" t="s">
        <v>2929</v>
      </c>
      <c r="F265" s="41" t="s">
        <v>2933</v>
      </c>
      <c r="G265" s="41" t="s">
        <v>2934</v>
      </c>
    </row>
    <row r="266" spans="1:7" x14ac:dyDescent="0.25">
      <c r="A266" s="41" t="s">
        <v>3269</v>
      </c>
      <c r="B266" s="41" t="s">
        <v>3239</v>
      </c>
      <c r="C266" s="41" t="s">
        <v>74</v>
      </c>
      <c r="D266" s="41" t="s">
        <v>3240</v>
      </c>
      <c r="E266" s="41" t="s">
        <v>2929</v>
      </c>
      <c r="F266" s="41" t="s">
        <v>2933</v>
      </c>
      <c r="G266" s="41" t="s">
        <v>2934</v>
      </c>
    </row>
    <row r="267" spans="1:7" x14ac:dyDescent="0.25">
      <c r="A267" s="41" t="s">
        <v>3270</v>
      </c>
      <c r="B267" s="41" t="s">
        <v>3271</v>
      </c>
      <c r="C267" s="41" t="s">
        <v>74</v>
      </c>
      <c r="D267" s="41" t="s">
        <v>3272</v>
      </c>
      <c r="E267" s="41" t="s">
        <v>2929</v>
      </c>
      <c r="F267" s="41" t="s">
        <v>2933</v>
      </c>
      <c r="G267" s="41" t="s">
        <v>2934</v>
      </c>
    </row>
    <row r="268" spans="1:7" x14ac:dyDescent="0.25">
      <c r="A268" s="41" t="s">
        <v>3273</v>
      </c>
      <c r="B268" s="41" t="s">
        <v>3239</v>
      </c>
      <c r="C268" s="41" t="s">
        <v>74</v>
      </c>
      <c r="D268" s="41" t="s">
        <v>3240</v>
      </c>
      <c r="E268" s="41" t="s">
        <v>2984</v>
      </c>
      <c r="F268" s="41" t="s">
        <v>2930</v>
      </c>
      <c r="G268" s="41" t="s">
        <v>2931</v>
      </c>
    </row>
    <row r="269" spans="1:7" x14ac:dyDescent="0.25">
      <c r="A269" s="41" t="s">
        <v>3274</v>
      </c>
      <c r="B269" s="41" t="s">
        <v>3271</v>
      </c>
      <c r="C269" s="41" t="s">
        <v>74</v>
      </c>
      <c r="D269" s="41" t="s">
        <v>3272</v>
      </c>
      <c r="E269" s="41" t="s">
        <v>2929</v>
      </c>
      <c r="F269" s="41" t="s">
        <v>2949</v>
      </c>
      <c r="G269" s="41" t="s">
        <v>2950</v>
      </c>
    </row>
    <row r="270" spans="1:7" x14ac:dyDescent="0.25">
      <c r="A270" s="41" t="s">
        <v>3275</v>
      </c>
      <c r="B270" s="41" t="s">
        <v>3271</v>
      </c>
      <c r="C270" s="41" t="s">
        <v>74</v>
      </c>
      <c r="D270" s="41" t="s">
        <v>3272</v>
      </c>
      <c r="E270" s="41" t="s">
        <v>2984</v>
      </c>
      <c r="F270" s="41" t="s">
        <v>2930</v>
      </c>
      <c r="G270" s="41" t="s">
        <v>2931</v>
      </c>
    </row>
    <row r="271" spans="1:7" x14ac:dyDescent="0.25">
      <c r="A271" s="41" t="s">
        <v>3276</v>
      </c>
      <c r="B271" s="41" t="s">
        <v>3277</v>
      </c>
      <c r="C271" s="41" t="s">
        <v>74</v>
      </c>
      <c r="D271" s="41" t="s">
        <v>3278</v>
      </c>
      <c r="E271" s="41" t="s">
        <v>2984</v>
      </c>
      <c r="F271" s="41" t="s">
        <v>2949</v>
      </c>
      <c r="G271" s="41" t="s">
        <v>2950</v>
      </c>
    </row>
    <row r="272" spans="1:7" x14ac:dyDescent="0.25">
      <c r="A272" s="41" t="s">
        <v>3279</v>
      </c>
      <c r="B272" s="41" t="s">
        <v>3271</v>
      </c>
      <c r="C272" s="41" t="s">
        <v>74</v>
      </c>
      <c r="D272" s="41" t="s">
        <v>3272</v>
      </c>
      <c r="E272" s="41" t="s">
        <v>2929</v>
      </c>
      <c r="F272" s="41" t="s">
        <v>2949</v>
      </c>
      <c r="G272" s="41" t="s">
        <v>2950</v>
      </c>
    </row>
    <row r="273" spans="1:7" x14ac:dyDescent="0.25">
      <c r="A273" s="41" t="s">
        <v>3280</v>
      </c>
      <c r="B273" s="41" t="s">
        <v>3271</v>
      </c>
      <c r="C273" s="41" t="s">
        <v>74</v>
      </c>
      <c r="D273" s="41" t="s">
        <v>3272</v>
      </c>
      <c r="E273" s="41" t="s">
        <v>2929</v>
      </c>
      <c r="F273" s="41" t="s">
        <v>2949</v>
      </c>
      <c r="G273" s="41" t="s">
        <v>2950</v>
      </c>
    </row>
    <row r="274" spans="1:7" x14ac:dyDescent="0.25">
      <c r="A274" s="41" t="s">
        <v>3281</v>
      </c>
      <c r="B274" s="41" t="s">
        <v>3271</v>
      </c>
      <c r="C274" s="41" t="s">
        <v>74</v>
      </c>
      <c r="D274" s="41" t="s">
        <v>3272</v>
      </c>
      <c r="E274" s="41" t="s">
        <v>2929</v>
      </c>
      <c r="F274" s="41" t="s">
        <v>2930</v>
      </c>
      <c r="G274" s="41" t="s">
        <v>2931</v>
      </c>
    </row>
    <row r="275" spans="1:7" x14ac:dyDescent="0.25">
      <c r="A275" s="41" t="s">
        <v>3282</v>
      </c>
      <c r="B275" s="41" t="s">
        <v>3271</v>
      </c>
      <c r="C275" s="41" t="s">
        <v>74</v>
      </c>
      <c r="D275" s="41" t="s">
        <v>3272</v>
      </c>
      <c r="E275" s="41" t="s">
        <v>2929</v>
      </c>
      <c r="F275" s="41" t="s">
        <v>2933</v>
      </c>
      <c r="G275" s="41" t="s">
        <v>2934</v>
      </c>
    </row>
    <row r="276" spans="1:7" x14ac:dyDescent="0.25">
      <c r="A276" s="41" t="s">
        <v>3283</v>
      </c>
      <c r="B276" s="41" t="s">
        <v>3271</v>
      </c>
      <c r="C276" s="41" t="s">
        <v>74</v>
      </c>
      <c r="D276" s="41" t="s">
        <v>3272</v>
      </c>
      <c r="E276" s="41" t="s">
        <v>2929</v>
      </c>
      <c r="F276" s="41" t="s">
        <v>2949</v>
      </c>
      <c r="G276" s="41" t="s">
        <v>2950</v>
      </c>
    </row>
    <row r="277" spans="1:7" x14ac:dyDescent="0.25">
      <c r="A277" s="41" t="s">
        <v>3284</v>
      </c>
      <c r="B277" s="41" t="s">
        <v>3271</v>
      </c>
      <c r="C277" s="41" t="s">
        <v>74</v>
      </c>
      <c r="D277" s="41" t="s">
        <v>3272</v>
      </c>
      <c r="E277" s="41" t="s">
        <v>2929</v>
      </c>
      <c r="F277" s="41" t="s">
        <v>2949</v>
      </c>
      <c r="G277" s="41" t="s">
        <v>2950</v>
      </c>
    </row>
    <row r="278" spans="1:7" x14ac:dyDescent="0.25">
      <c r="A278" s="41" t="s">
        <v>3285</v>
      </c>
      <c r="B278" s="41" t="s">
        <v>3239</v>
      </c>
      <c r="C278" s="41" t="s">
        <v>74</v>
      </c>
      <c r="D278" s="41" t="s">
        <v>3240</v>
      </c>
      <c r="E278" s="41" t="s">
        <v>2929</v>
      </c>
      <c r="F278" s="41" t="s">
        <v>2933</v>
      </c>
      <c r="G278" s="41" t="s">
        <v>2934</v>
      </c>
    </row>
    <row r="279" spans="1:7" x14ac:dyDescent="0.25">
      <c r="A279" s="41" t="s">
        <v>3286</v>
      </c>
      <c r="B279" s="41" t="s">
        <v>3271</v>
      </c>
      <c r="C279" s="41" t="s">
        <v>74</v>
      </c>
      <c r="D279" s="41" t="s">
        <v>3272</v>
      </c>
      <c r="E279" s="41" t="s">
        <v>2929</v>
      </c>
      <c r="F279" s="41" t="s">
        <v>2933</v>
      </c>
      <c r="G279" s="41" t="s">
        <v>2934</v>
      </c>
    </row>
    <row r="280" spans="1:7" x14ac:dyDescent="0.25">
      <c r="A280" s="41" t="s">
        <v>3287</v>
      </c>
      <c r="B280" s="41" t="s">
        <v>3271</v>
      </c>
      <c r="C280" s="41" t="s">
        <v>74</v>
      </c>
      <c r="D280" s="41" t="s">
        <v>3272</v>
      </c>
      <c r="E280" s="41" t="s">
        <v>2929</v>
      </c>
      <c r="F280" s="41" t="s">
        <v>2933</v>
      </c>
      <c r="G280" s="41" t="s">
        <v>2934</v>
      </c>
    </row>
    <row r="281" spans="1:7" x14ac:dyDescent="0.25">
      <c r="A281" s="41" t="s">
        <v>3288</v>
      </c>
      <c r="B281" s="41" t="s">
        <v>3271</v>
      </c>
      <c r="C281" s="41" t="s">
        <v>74</v>
      </c>
      <c r="D281" s="41" t="s">
        <v>3272</v>
      </c>
      <c r="E281" s="41" t="s">
        <v>2984</v>
      </c>
      <c r="F281" s="41" t="s">
        <v>2930</v>
      </c>
      <c r="G281" s="41" t="s">
        <v>2931</v>
      </c>
    </row>
    <row r="282" spans="1:7" x14ac:dyDescent="0.25">
      <c r="A282" s="41" t="s">
        <v>3289</v>
      </c>
      <c r="B282" s="41" t="s">
        <v>3290</v>
      </c>
      <c r="C282" s="41" t="s">
        <v>1239</v>
      </c>
      <c r="D282" s="41" t="s">
        <v>3291</v>
      </c>
      <c r="E282" s="41" t="s">
        <v>2984</v>
      </c>
      <c r="F282" s="41" t="s">
        <v>2949</v>
      </c>
      <c r="G282" s="41" t="s">
        <v>2950</v>
      </c>
    </row>
    <row r="283" spans="1:7" x14ac:dyDescent="0.25">
      <c r="A283" s="41" t="s">
        <v>3292</v>
      </c>
      <c r="B283" s="41" t="s">
        <v>3293</v>
      </c>
      <c r="C283" s="41" t="s">
        <v>78</v>
      </c>
      <c r="D283" s="41" t="s">
        <v>3294</v>
      </c>
      <c r="E283" s="41" t="s">
        <v>2929</v>
      </c>
      <c r="F283" s="41" t="s">
        <v>2949</v>
      </c>
      <c r="G283" s="41" t="s">
        <v>2950</v>
      </c>
    </row>
    <row r="284" spans="1:7" x14ac:dyDescent="0.25">
      <c r="A284" s="41" t="s">
        <v>3295</v>
      </c>
      <c r="B284" s="41" t="s">
        <v>3293</v>
      </c>
      <c r="C284" s="41" t="s">
        <v>78</v>
      </c>
      <c r="D284" s="41" t="s">
        <v>3294</v>
      </c>
      <c r="E284" s="41" t="s">
        <v>2929</v>
      </c>
      <c r="F284" s="41" t="s">
        <v>2930</v>
      </c>
      <c r="G284" s="41" t="s">
        <v>2931</v>
      </c>
    </row>
    <row r="285" spans="1:7" x14ac:dyDescent="0.25">
      <c r="A285" s="41" t="s">
        <v>3296</v>
      </c>
      <c r="B285" s="41" t="s">
        <v>3297</v>
      </c>
      <c r="C285" s="41" t="s">
        <v>128</v>
      </c>
      <c r="D285" s="41" t="s">
        <v>284</v>
      </c>
      <c r="E285" s="41" t="s">
        <v>2929</v>
      </c>
      <c r="F285" s="41" t="s">
        <v>2933</v>
      </c>
      <c r="G285" s="41" t="s">
        <v>2934</v>
      </c>
    </row>
    <row r="286" spans="1:7" x14ac:dyDescent="0.25">
      <c r="A286" s="41" t="s">
        <v>3298</v>
      </c>
      <c r="B286" s="41" t="s">
        <v>3299</v>
      </c>
      <c r="C286" s="41" t="s">
        <v>3097</v>
      </c>
      <c r="D286" s="41" t="s">
        <v>3300</v>
      </c>
      <c r="E286" s="41" t="s">
        <v>2984</v>
      </c>
      <c r="F286" s="41" t="s">
        <v>2949</v>
      </c>
      <c r="G286" s="41" t="s">
        <v>2950</v>
      </c>
    </row>
    <row r="287" spans="1:7" x14ac:dyDescent="0.25">
      <c r="A287" s="41" t="s">
        <v>3301</v>
      </c>
      <c r="B287" s="41" t="s">
        <v>3299</v>
      </c>
      <c r="C287" s="41" t="s">
        <v>3097</v>
      </c>
      <c r="D287" s="41" t="s">
        <v>3300</v>
      </c>
      <c r="E287" s="41" t="s">
        <v>2984</v>
      </c>
      <c r="F287" s="41" t="s">
        <v>2933</v>
      </c>
      <c r="G287" s="41" t="s">
        <v>2934</v>
      </c>
    </row>
    <row r="288" spans="1:7" x14ac:dyDescent="0.25">
      <c r="A288" s="41" t="s">
        <v>3302</v>
      </c>
      <c r="B288" s="41" t="s">
        <v>3299</v>
      </c>
      <c r="C288" s="41" t="s">
        <v>3097</v>
      </c>
      <c r="D288" s="41" t="s">
        <v>3300</v>
      </c>
      <c r="E288" s="41" t="s">
        <v>2929</v>
      </c>
      <c r="F288" s="41" t="s">
        <v>2933</v>
      </c>
      <c r="G288" s="41" t="s">
        <v>2934</v>
      </c>
    </row>
    <row r="289" spans="1:7" x14ac:dyDescent="0.25">
      <c r="A289" s="41" t="s">
        <v>3303</v>
      </c>
      <c r="B289" s="41" t="s">
        <v>3299</v>
      </c>
      <c r="C289" s="41" t="s">
        <v>3097</v>
      </c>
      <c r="D289" s="41" t="s">
        <v>3300</v>
      </c>
      <c r="E289" s="41" t="s">
        <v>2929</v>
      </c>
      <c r="F289" s="41" t="s">
        <v>2930</v>
      </c>
      <c r="G289" s="41" t="s">
        <v>2931</v>
      </c>
    </row>
    <row r="290" spans="1:7" x14ac:dyDescent="0.25">
      <c r="A290" s="41" t="s">
        <v>3304</v>
      </c>
      <c r="B290" s="41" t="s">
        <v>3299</v>
      </c>
      <c r="C290" s="41" t="s">
        <v>3097</v>
      </c>
      <c r="D290" s="41" t="s">
        <v>3300</v>
      </c>
      <c r="E290" s="41" t="s">
        <v>2929</v>
      </c>
      <c r="F290" s="41" t="s">
        <v>2930</v>
      </c>
      <c r="G290" s="41" t="s">
        <v>2931</v>
      </c>
    </row>
    <row r="291" spans="1:7" x14ac:dyDescent="0.25">
      <c r="A291" s="41" t="s">
        <v>3305</v>
      </c>
      <c r="B291" s="41" t="s">
        <v>3306</v>
      </c>
      <c r="C291" s="41" t="s">
        <v>3097</v>
      </c>
      <c r="D291" s="41" t="s">
        <v>3307</v>
      </c>
      <c r="E291" s="41" t="s">
        <v>2984</v>
      </c>
      <c r="F291" s="41" t="s">
        <v>2930</v>
      </c>
      <c r="G291" s="41" t="s">
        <v>2931</v>
      </c>
    </row>
    <row r="292" spans="1:7" x14ac:dyDescent="0.25">
      <c r="A292" s="41" t="s">
        <v>3308</v>
      </c>
      <c r="B292" s="41" t="s">
        <v>3309</v>
      </c>
      <c r="C292" s="41" t="s">
        <v>3097</v>
      </c>
      <c r="D292" s="41" t="s">
        <v>3310</v>
      </c>
      <c r="E292" s="41" t="s">
        <v>2984</v>
      </c>
      <c r="F292" s="41" t="s">
        <v>2949</v>
      </c>
      <c r="G292" s="41" t="s">
        <v>2950</v>
      </c>
    </row>
    <row r="293" spans="1:7" x14ac:dyDescent="0.25">
      <c r="A293" s="41" t="s">
        <v>3311</v>
      </c>
      <c r="B293" s="41" t="s">
        <v>3309</v>
      </c>
      <c r="C293" s="41" t="s">
        <v>3097</v>
      </c>
      <c r="D293" s="41" t="s">
        <v>3310</v>
      </c>
      <c r="E293" s="41" t="s">
        <v>2929</v>
      </c>
      <c r="F293" s="41" t="s">
        <v>2949</v>
      </c>
      <c r="G293" s="41" t="s">
        <v>2950</v>
      </c>
    </row>
    <row r="294" spans="1:7" x14ac:dyDescent="0.25">
      <c r="A294" s="41" t="s">
        <v>3312</v>
      </c>
      <c r="B294" s="41" t="s">
        <v>3309</v>
      </c>
      <c r="C294" s="41" t="s">
        <v>3097</v>
      </c>
      <c r="D294" s="41" t="s">
        <v>3310</v>
      </c>
      <c r="E294" s="41" t="s">
        <v>2984</v>
      </c>
      <c r="F294" s="41" t="s">
        <v>2949</v>
      </c>
      <c r="G294" s="41" t="s">
        <v>2950</v>
      </c>
    </row>
    <row r="295" spans="1:7" x14ac:dyDescent="0.25">
      <c r="A295" s="41" t="s">
        <v>3313</v>
      </c>
      <c r="B295" s="41" t="s">
        <v>3309</v>
      </c>
      <c r="C295" s="41" t="s">
        <v>3097</v>
      </c>
      <c r="D295" s="41" t="s">
        <v>3310</v>
      </c>
      <c r="E295" s="41" t="s">
        <v>2984</v>
      </c>
      <c r="F295" s="41" t="s">
        <v>2949</v>
      </c>
      <c r="G295" s="41" t="s">
        <v>2950</v>
      </c>
    </row>
    <row r="296" spans="1:7" x14ac:dyDescent="0.25">
      <c r="A296" s="41" t="s">
        <v>3314</v>
      </c>
      <c r="B296" s="41" t="s">
        <v>3309</v>
      </c>
      <c r="C296" s="41" t="s">
        <v>3097</v>
      </c>
      <c r="D296" s="41" t="s">
        <v>3310</v>
      </c>
      <c r="E296" s="41" t="s">
        <v>2929</v>
      </c>
      <c r="F296" s="41" t="s">
        <v>2949</v>
      </c>
      <c r="G296" s="41" t="s">
        <v>2950</v>
      </c>
    </row>
    <row r="297" spans="1:7" x14ac:dyDescent="0.25">
      <c r="A297" s="41" t="s">
        <v>3315</v>
      </c>
      <c r="B297" s="41" t="s">
        <v>3316</v>
      </c>
      <c r="C297" s="41" t="s">
        <v>78</v>
      </c>
      <c r="D297" s="41" t="s">
        <v>3317</v>
      </c>
      <c r="E297" s="41" t="s">
        <v>2984</v>
      </c>
      <c r="F297" s="41" t="s">
        <v>2930</v>
      </c>
      <c r="G297" s="41" t="s">
        <v>2931</v>
      </c>
    </row>
    <row r="298" spans="1:7" x14ac:dyDescent="0.25">
      <c r="A298" s="41" t="s">
        <v>3318</v>
      </c>
      <c r="B298" s="41" t="s">
        <v>3243</v>
      </c>
      <c r="C298" s="41" t="s">
        <v>78</v>
      </c>
      <c r="D298" s="41" t="s">
        <v>3244</v>
      </c>
      <c r="E298" s="41" t="s">
        <v>2984</v>
      </c>
      <c r="F298" s="41" t="s">
        <v>2949</v>
      </c>
      <c r="G298" s="41" t="s">
        <v>2950</v>
      </c>
    </row>
    <row r="299" spans="1:7" x14ac:dyDescent="0.25">
      <c r="A299" s="41" t="s">
        <v>3319</v>
      </c>
      <c r="B299" s="41" t="s">
        <v>3293</v>
      </c>
      <c r="C299" s="41" t="s">
        <v>78</v>
      </c>
      <c r="D299" s="41" t="s">
        <v>3294</v>
      </c>
      <c r="E299" s="41" t="s">
        <v>2984</v>
      </c>
      <c r="F299" s="41" t="s">
        <v>2949</v>
      </c>
      <c r="G299" s="41" t="s">
        <v>2950</v>
      </c>
    </row>
    <row r="300" spans="1:7" x14ac:dyDescent="0.25">
      <c r="A300" s="41" t="s">
        <v>3320</v>
      </c>
      <c r="B300" s="41" t="s">
        <v>3243</v>
      </c>
      <c r="C300" s="41" t="s">
        <v>78</v>
      </c>
      <c r="D300" s="41" t="s">
        <v>3244</v>
      </c>
      <c r="E300" s="41" t="s">
        <v>2929</v>
      </c>
      <c r="F300" s="41" t="s">
        <v>2949</v>
      </c>
      <c r="G300" s="41" t="s">
        <v>2950</v>
      </c>
    </row>
    <row r="301" spans="1:7" x14ac:dyDescent="0.25">
      <c r="A301" s="41" t="s">
        <v>3321</v>
      </c>
      <c r="B301" s="41" t="s">
        <v>3243</v>
      </c>
      <c r="C301" s="41" t="s">
        <v>78</v>
      </c>
      <c r="D301" s="41" t="s">
        <v>3244</v>
      </c>
      <c r="E301" s="41" t="s">
        <v>2929</v>
      </c>
      <c r="F301" s="41" t="s">
        <v>2949</v>
      </c>
      <c r="G301" s="41" t="s">
        <v>2950</v>
      </c>
    </row>
    <row r="302" spans="1:7" x14ac:dyDescent="0.25">
      <c r="A302" s="41" t="s">
        <v>3322</v>
      </c>
      <c r="B302" s="41" t="s">
        <v>3243</v>
      </c>
      <c r="C302" s="41" t="s">
        <v>78</v>
      </c>
      <c r="D302" s="41" t="s">
        <v>3244</v>
      </c>
      <c r="E302" s="41" t="s">
        <v>2984</v>
      </c>
      <c r="F302" s="41" t="s">
        <v>2930</v>
      </c>
      <c r="G302" s="41" t="s">
        <v>2931</v>
      </c>
    </row>
    <row r="303" spans="1:7" x14ac:dyDescent="0.25">
      <c r="A303" s="41" t="s">
        <v>3323</v>
      </c>
      <c r="B303" s="41" t="s">
        <v>3243</v>
      </c>
      <c r="C303" s="41" t="s">
        <v>78</v>
      </c>
      <c r="D303" s="41" t="s">
        <v>3244</v>
      </c>
      <c r="E303" s="41" t="s">
        <v>2929</v>
      </c>
      <c r="F303" s="41" t="s">
        <v>2933</v>
      </c>
      <c r="G303" s="41" t="s">
        <v>2934</v>
      </c>
    </row>
    <row r="304" spans="1:7" x14ac:dyDescent="0.25">
      <c r="A304" s="41" t="s">
        <v>3324</v>
      </c>
      <c r="B304" s="41" t="s">
        <v>3243</v>
      </c>
      <c r="C304" s="41" t="s">
        <v>78</v>
      </c>
      <c r="D304" s="41" t="s">
        <v>3244</v>
      </c>
      <c r="E304" s="41" t="s">
        <v>2984</v>
      </c>
      <c r="F304" s="41" t="s">
        <v>2933</v>
      </c>
      <c r="G304" s="41" t="s">
        <v>2934</v>
      </c>
    </row>
    <row r="305" spans="1:7" x14ac:dyDescent="0.25">
      <c r="A305" s="41" t="s">
        <v>3325</v>
      </c>
      <c r="B305" s="41" t="s">
        <v>3243</v>
      </c>
      <c r="C305" s="41" t="s">
        <v>78</v>
      </c>
      <c r="D305" s="41" t="s">
        <v>3244</v>
      </c>
      <c r="E305" s="41" t="s">
        <v>2929</v>
      </c>
      <c r="F305" s="41" t="s">
        <v>2933</v>
      </c>
      <c r="G305" s="41" t="s">
        <v>2934</v>
      </c>
    </row>
    <row r="306" spans="1:7" x14ac:dyDescent="0.25">
      <c r="A306" s="41" t="s">
        <v>3326</v>
      </c>
      <c r="B306" s="41" t="s">
        <v>3243</v>
      </c>
      <c r="C306" s="41" t="s">
        <v>78</v>
      </c>
      <c r="D306" s="41" t="s">
        <v>3244</v>
      </c>
      <c r="E306" s="41" t="s">
        <v>2929</v>
      </c>
      <c r="F306" s="41" t="s">
        <v>2933</v>
      </c>
      <c r="G306" s="41" t="s">
        <v>2934</v>
      </c>
    </row>
    <row r="307" spans="1:7" x14ac:dyDescent="0.25">
      <c r="A307" s="41" t="s">
        <v>3327</v>
      </c>
      <c r="B307" s="41" t="s">
        <v>3243</v>
      </c>
      <c r="C307" s="41" t="s">
        <v>78</v>
      </c>
      <c r="D307" s="41" t="s">
        <v>3244</v>
      </c>
      <c r="E307" s="41" t="s">
        <v>2984</v>
      </c>
      <c r="F307" s="41" t="s">
        <v>2930</v>
      </c>
      <c r="G307" s="41" t="s">
        <v>2931</v>
      </c>
    </row>
    <row r="308" spans="1:7" x14ac:dyDescent="0.25">
      <c r="A308" s="41" t="s">
        <v>3328</v>
      </c>
      <c r="B308" s="41" t="s">
        <v>3243</v>
      </c>
      <c r="C308" s="41" t="s">
        <v>78</v>
      </c>
      <c r="D308" s="41" t="s">
        <v>3244</v>
      </c>
      <c r="E308" s="41" t="s">
        <v>2929</v>
      </c>
      <c r="F308" s="41" t="s">
        <v>2930</v>
      </c>
      <c r="G308" s="41" t="s">
        <v>2931</v>
      </c>
    </row>
    <row r="309" spans="1:7" x14ac:dyDescent="0.25">
      <c r="A309" s="41" t="s">
        <v>3329</v>
      </c>
      <c r="B309" s="41" t="s">
        <v>3243</v>
      </c>
      <c r="C309" s="41" t="s">
        <v>78</v>
      </c>
      <c r="D309" s="41" t="s">
        <v>3244</v>
      </c>
      <c r="E309" s="41" t="s">
        <v>2929</v>
      </c>
      <c r="F309" s="41" t="s">
        <v>2949</v>
      </c>
      <c r="G309" s="41" t="s">
        <v>2950</v>
      </c>
    </row>
    <row r="310" spans="1:7" x14ac:dyDescent="0.25">
      <c r="A310" s="41" t="s">
        <v>3330</v>
      </c>
      <c r="B310" s="41" t="s">
        <v>3243</v>
      </c>
      <c r="C310" s="41" t="s">
        <v>78</v>
      </c>
      <c r="D310" s="41" t="s">
        <v>3244</v>
      </c>
      <c r="E310" s="41" t="s">
        <v>2984</v>
      </c>
      <c r="F310" s="41" t="s">
        <v>2949</v>
      </c>
      <c r="G310" s="41" t="s">
        <v>2950</v>
      </c>
    </row>
    <row r="311" spans="1:7" x14ac:dyDescent="0.25">
      <c r="A311" s="41" t="s">
        <v>3331</v>
      </c>
      <c r="B311" s="41" t="s">
        <v>3332</v>
      </c>
      <c r="C311" s="41" t="s">
        <v>78</v>
      </c>
      <c r="D311" s="41" t="s">
        <v>3333</v>
      </c>
      <c r="E311" s="41" t="s">
        <v>2929</v>
      </c>
      <c r="F311" s="41" t="s">
        <v>2930</v>
      </c>
      <c r="G311" s="41" t="s">
        <v>2931</v>
      </c>
    </row>
    <row r="312" spans="1:7" x14ac:dyDescent="0.25">
      <c r="A312" s="41" t="s">
        <v>3334</v>
      </c>
      <c r="B312" s="41" t="s">
        <v>3243</v>
      </c>
      <c r="C312" s="41" t="s">
        <v>78</v>
      </c>
      <c r="D312" s="41" t="s">
        <v>3244</v>
      </c>
      <c r="E312" s="41" t="s">
        <v>2929</v>
      </c>
      <c r="F312" s="41" t="s">
        <v>2949</v>
      </c>
      <c r="G312" s="41" t="s">
        <v>2950</v>
      </c>
    </row>
    <row r="313" spans="1:7" x14ac:dyDescent="0.25">
      <c r="A313" s="41" t="s">
        <v>3335</v>
      </c>
      <c r="B313" s="41" t="s">
        <v>3243</v>
      </c>
      <c r="C313" s="41" t="s">
        <v>78</v>
      </c>
      <c r="D313" s="41" t="s">
        <v>3244</v>
      </c>
      <c r="E313" s="41" t="s">
        <v>2929</v>
      </c>
      <c r="F313" s="41" t="s">
        <v>2933</v>
      </c>
      <c r="G313" s="41" t="s">
        <v>2934</v>
      </c>
    </row>
    <row r="314" spans="1:7" x14ac:dyDescent="0.25">
      <c r="A314" s="41" t="s">
        <v>3336</v>
      </c>
      <c r="B314" s="41" t="s">
        <v>3332</v>
      </c>
      <c r="C314" s="41" t="s">
        <v>78</v>
      </c>
      <c r="D314" s="41" t="s">
        <v>3333</v>
      </c>
      <c r="E314" s="41" t="s">
        <v>2929</v>
      </c>
      <c r="F314" s="41" t="s">
        <v>2949</v>
      </c>
      <c r="G314" s="41" t="s">
        <v>2950</v>
      </c>
    </row>
    <row r="315" spans="1:7" x14ac:dyDescent="0.25">
      <c r="A315" s="41" t="s">
        <v>3337</v>
      </c>
      <c r="B315" s="41" t="s">
        <v>3243</v>
      </c>
      <c r="C315" s="41" t="s">
        <v>78</v>
      </c>
      <c r="D315" s="41" t="s">
        <v>3244</v>
      </c>
      <c r="E315" s="41" t="s">
        <v>2929</v>
      </c>
      <c r="F315" s="41" t="s">
        <v>2949</v>
      </c>
      <c r="G315" s="41" t="s">
        <v>2950</v>
      </c>
    </row>
    <row r="316" spans="1:7" x14ac:dyDescent="0.25">
      <c r="A316" s="41" t="s">
        <v>3338</v>
      </c>
      <c r="B316" s="41" t="s">
        <v>3243</v>
      </c>
      <c r="C316" s="41" t="s">
        <v>78</v>
      </c>
      <c r="D316" s="41" t="s">
        <v>3244</v>
      </c>
      <c r="E316" s="41" t="s">
        <v>2929</v>
      </c>
      <c r="F316" s="41" t="s">
        <v>2933</v>
      </c>
      <c r="G316" s="41" t="s">
        <v>2934</v>
      </c>
    </row>
    <row r="317" spans="1:7" x14ac:dyDescent="0.25">
      <c r="A317" s="41" t="s">
        <v>3339</v>
      </c>
      <c r="B317" s="41" t="s">
        <v>3243</v>
      </c>
      <c r="C317" s="41" t="s">
        <v>78</v>
      </c>
      <c r="D317" s="41" t="s">
        <v>3244</v>
      </c>
      <c r="E317" s="41" t="s">
        <v>2929</v>
      </c>
      <c r="F317" s="41" t="s">
        <v>2933</v>
      </c>
      <c r="G317" s="41" t="s">
        <v>2934</v>
      </c>
    </row>
    <row r="318" spans="1:7" x14ac:dyDescent="0.25">
      <c r="A318" s="41" t="s">
        <v>3340</v>
      </c>
      <c r="B318" s="41" t="s">
        <v>3243</v>
      </c>
      <c r="C318" s="41" t="s">
        <v>78</v>
      </c>
      <c r="D318" s="41" t="s">
        <v>3244</v>
      </c>
      <c r="E318" s="41" t="s">
        <v>2929</v>
      </c>
      <c r="F318" s="41" t="s">
        <v>2933</v>
      </c>
      <c r="G318" s="41" t="s">
        <v>2934</v>
      </c>
    </row>
    <row r="319" spans="1:7" x14ac:dyDescent="0.25">
      <c r="A319" s="41" t="s">
        <v>3341</v>
      </c>
      <c r="B319" s="41" t="s">
        <v>3332</v>
      </c>
      <c r="C319" s="41" t="s">
        <v>78</v>
      </c>
      <c r="D319" s="41" t="s">
        <v>3333</v>
      </c>
      <c r="E319" s="41" t="s">
        <v>2929</v>
      </c>
      <c r="F319" s="41" t="s">
        <v>2949</v>
      </c>
      <c r="G319" s="41" t="s">
        <v>2950</v>
      </c>
    </row>
    <row r="320" spans="1:7" x14ac:dyDescent="0.25">
      <c r="A320" s="41" t="s">
        <v>3342</v>
      </c>
      <c r="B320" s="41" t="s">
        <v>3243</v>
      </c>
      <c r="C320" s="41" t="s">
        <v>78</v>
      </c>
      <c r="D320" s="41" t="s">
        <v>3244</v>
      </c>
      <c r="E320" s="41" t="s">
        <v>2984</v>
      </c>
      <c r="F320" s="41" t="s">
        <v>2949</v>
      </c>
      <c r="G320" s="41" t="s">
        <v>2950</v>
      </c>
    </row>
    <row r="321" spans="1:7" x14ac:dyDescent="0.25">
      <c r="A321" s="41" t="s">
        <v>3343</v>
      </c>
      <c r="B321" s="41" t="s">
        <v>3243</v>
      </c>
      <c r="C321" s="41" t="s">
        <v>78</v>
      </c>
      <c r="D321" s="41" t="s">
        <v>3244</v>
      </c>
      <c r="E321" s="41" t="s">
        <v>2929</v>
      </c>
      <c r="F321" s="41" t="s">
        <v>2930</v>
      </c>
      <c r="G321" s="41" t="s">
        <v>2931</v>
      </c>
    </row>
    <row r="322" spans="1:7" x14ac:dyDescent="0.25">
      <c r="A322" s="41" t="s">
        <v>3344</v>
      </c>
      <c r="B322" s="41" t="s">
        <v>3243</v>
      </c>
      <c r="C322" s="41" t="s">
        <v>78</v>
      </c>
      <c r="D322" s="41" t="s">
        <v>3244</v>
      </c>
      <c r="E322" s="41" t="s">
        <v>2929</v>
      </c>
      <c r="F322" s="41" t="s">
        <v>2933</v>
      </c>
      <c r="G322" s="41" t="s">
        <v>2934</v>
      </c>
    </row>
    <row r="323" spans="1:7" x14ac:dyDescent="0.25">
      <c r="A323" s="41" t="s">
        <v>3345</v>
      </c>
      <c r="B323" s="41" t="s">
        <v>3332</v>
      </c>
      <c r="C323" s="41" t="s">
        <v>78</v>
      </c>
      <c r="D323" s="41" t="s">
        <v>3333</v>
      </c>
      <c r="E323" s="41" t="s">
        <v>2929</v>
      </c>
      <c r="F323" s="41" t="s">
        <v>2930</v>
      </c>
      <c r="G323" s="41" t="s">
        <v>2931</v>
      </c>
    </row>
    <row r="324" spans="1:7" x14ac:dyDescent="0.25">
      <c r="A324" s="41" t="s">
        <v>3346</v>
      </c>
      <c r="B324" s="41" t="s">
        <v>3316</v>
      </c>
      <c r="C324" s="41" t="s">
        <v>78</v>
      </c>
      <c r="D324" s="41" t="s">
        <v>3317</v>
      </c>
      <c r="E324" s="41" t="s">
        <v>2929</v>
      </c>
      <c r="F324" s="41" t="s">
        <v>2930</v>
      </c>
      <c r="G324" s="41" t="s">
        <v>2931</v>
      </c>
    </row>
    <row r="325" spans="1:7" x14ac:dyDescent="0.25">
      <c r="A325" s="41" t="s">
        <v>3347</v>
      </c>
      <c r="B325" s="41" t="s">
        <v>3243</v>
      </c>
      <c r="C325" s="41" t="s">
        <v>78</v>
      </c>
      <c r="D325" s="41" t="s">
        <v>3244</v>
      </c>
      <c r="E325" s="41" t="s">
        <v>2984</v>
      </c>
      <c r="F325" s="41" t="s">
        <v>2933</v>
      </c>
      <c r="G325" s="41" t="s">
        <v>2934</v>
      </c>
    </row>
    <row r="326" spans="1:7" x14ac:dyDescent="0.25">
      <c r="A326" s="41" t="s">
        <v>3348</v>
      </c>
      <c r="B326" s="41" t="s">
        <v>3243</v>
      </c>
      <c r="C326" s="41" t="s">
        <v>78</v>
      </c>
      <c r="D326" s="41" t="s">
        <v>3244</v>
      </c>
      <c r="E326" s="41" t="s">
        <v>2984</v>
      </c>
      <c r="F326" s="41" t="s">
        <v>2949</v>
      </c>
      <c r="G326" s="41" t="s">
        <v>2950</v>
      </c>
    </row>
    <row r="327" spans="1:7" x14ac:dyDescent="0.25">
      <c r="A327" s="41" t="s">
        <v>3349</v>
      </c>
      <c r="B327" s="41" t="s">
        <v>3316</v>
      </c>
      <c r="C327" s="41" t="s">
        <v>78</v>
      </c>
      <c r="D327" s="41" t="s">
        <v>3317</v>
      </c>
      <c r="E327" s="41" t="s">
        <v>2929</v>
      </c>
      <c r="F327" s="41" t="s">
        <v>2949</v>
      </c>
      <c r="G327" s="41" t="s">
        <v>2950</v>
      </c>
    </row>
    <row r="328" spans="1:7" x14ac:dyDescent="0.25">
      <c r="A328" s="41" t="s">
        <v>3350</v>
      </c>
      <c r="B328" s="41" t="s">
        <v>3316</v>
      </c>
      <c r="C328" s="41" t="s">
        <v>78</v>
      </c>
      <c r="D328" s="41" t="s">
        <v>3317</v>
      </c>
      <c r="E328" s="41" t="s">
        <v>2929</v>
      </c>
      <c r="F328" s="41" t="s">
        <v>2949</v>
      </c>
      <c r="G328" s="41" t="s">
        <v>2950</v>
      </c>
    </row>
    <row r="329" spans="1:7" x14ac:dyDescent="0.25">
      <c r="A329" s="41" t="s">
        <v>3351</v>
      </c>
      <c r="B329" s="41" t="s">
        <v>3243</v>
      </c>
      <c r="C329" s="41" t="s">
        <v>78</v>
      </c>
      <c r="D329" s="41" t="s">
        <v>3244</v>
      </c>
      <c r="E329" s="41" t="s">
        <v>2984</v>
      </c>
      <c r="F329" s="41" t="s">
        <v>2933</v>
      </c>
      <c r="G329" s="41" t="s">
        <v>2934</v>
      </c>
    </row>
    <row r="330" spans="1:7" x14ac:dyDescent="0.25">
      <c r="A330" s="41" t="s">
        <v>3352</v>
      </c>
      <c r="B330" s="41" t="s">
        <v>3243</v>
      </c>
      <c r="C330" s="41" t="s">
        <v>78</v>
      </c>
      <c r="D330" s="41" t="s">
        <v>3244</v>
      </c>
      <c r="E330" s="41" t="s">
        <v>2984</v>
      </c>
      <c r="F330" s="41" t="s">
        <v>2949</v>
      </c>
      <c r="G330" s="41" t="s">
        <v>2950</v>
      </c>
    </row>
    <row r="331" spans="1:7" x14ac:dyDescent="0.25">
      <c r="A331" s="41" t="s">
        <v>3353</v>
      </c>
      <c r="B331" s="41" t="s">
        <v>3243</v>
      </c>
      <c r="C331" s="41" t="s">
        <v>78</v>
      </c>
      <c r="D331" s="41" t="s">
        <v>3244</v>
      </c>
      <c r="E331" s="41" t="s">
        <v>2984</v>
      </c>
      <c r="F331" s="41" t="s">
        <v>2949</v>
      </c>
      <c r="G331" s="41" t="s">
        <v>2950</v>
      </c>
    </row>
    <row r="332" spans="1:7" x14ac:dyDescent="0.25">
      <c r="A332" s="41" t="s">
        <v>3354</v>
      </c>
      <c r="B332" s="41" t="s">
        <v>3243</v>
      </c>
      <c r="C332" s="41" t="s">
        <v>78</v>
      </c>
      <c r="D332" s="41" t="s">
        <v>3244</v>
      </c>
      <c r="E332" s="41" t="s">
        <v>2984</v>
      </c>
      <c r="F332" s="41" t="s">
        <v>3355</v>
      </c>
      <c r="G332" s="41" t="s">
        <v>3157</v>
      </c>
    </row>
    <row r="333" spans="1:7" x14ac:dyDescent="0.25">
      <c r="A333" s="41" t="s">
        <v>3356</v>
      </c>
      <c r="B333" s="41" t="s">
        <v>3316</v>
      </c>
      <c r="C333" s="41" t="s">
        <v>78</v>
      </c>
      <c r="D333" s="41" t="s">
        <v>3317</v>
      </c>
      <c r="E333" s="41" t="s">
        <v>2929</v>
      </c>
      <c r="F333" s="41" t="s">
        <v>2930</v>
      </c>
      <c r="G333" s="41" t="s">
        <v>2931</v>
      </c>
    </row>
    <row r="334" spans="1:7" x14ac:dyDescent="0.25">
      <c r="A334" s="41" t="s">
        <v>3357</v>
      </c>
      <c r="B334" s="41" t="s">
        <v>3316</v>
      </c>
      <c r="C334" s="41" t="s">
        <v>78</v>
      </c>
      <c r="D334" s="41" t="s">
        <v>3317</v>
      </c>
      <c r="E334" s="41" t="s">
        <v>2984</v>
      </c>
      <c r="F334" s="41" t="s">
        <v>2930</v>
      </c>
      <c r="G334" s="41" t="s">
        <v>2931</v>
      </c>
    </row>
    <row r="335" spans="1:7" x14ac:dyDescent="0.25">
      <c r="A335" s="41" t="s">
        <v>3358</v>
      </c>
      <c r="B335" s="41" t="s">
        <v>3316</v>
      </c>
      <c r="C335" s="41" t="s">
        <v>78</v>
      </c>
      <c r="D335" s="41" t="s">
        <v>3317</v>
      </c>
      <c r="E335" s="41" t="s">
        <v>2929</v>
      </c>
      <c r="F335" s="41" t="s">
        <v>2933</v>
      </c>
      <c r="G335" s="41" t="s">
        <v>2934</v>
      </c>
    </row>
    <row r="336" spans="1:7" x14ac:dyDescent="0.25">
      <c r="A336" s="41" t="s">
        <v>3359</v>
      </c>
      <c r="B336" s="41" t="s">
        <v>3243</v>
      </c>
      <c r="C336" s="41" t="s">
        <v>78</v>
      </c>
      <c r="D336" s="41" t="s">
        <v>3244</v>
      </c>
      <c r="E336" s="41" t="s">
        <v>2984</v>
      </c>
      <c r="F336" s="41" t="s">
        <v>2930</v>
      </c>
      <c r="G336" s="41" t="s">
        <v>2931</v>
      </c>
    </row>
    <row r="337" spans="1:7" x14ac:dyDescent="0.25">
      <c r="A337" s="41" t="s">
        <v>3360</v>
      </c>
      <c r="B337" s="41" t="s">
        <v>3243</v>
      </c>
      <c r="C337" s="41" t="s">
        <v>78</v>
      </c>
      <c r="D337" s="41" t="s">
        <v>3244</v>
      </c>
      <c r="E337" s="41" t="s">
        <v>2929</v>
      </c>
      <c r="F337" s="41" t="s">
        <v>2949</v>
      </c>
      <c r="G337" s="41" t="s">
        <v>2950</v>
      </c>
    </row>
    <row r="338" spans="1:7" x14ac:dyDescent="0.25">
      <c r="A338" s="41" t="s">
        <v>3361</v>
      </c>
      <c r="B338" s="41" t="s">
        <v>3243</v>
      </c>
      <c r="C338" s="41" t="s">
        <v>78</v>
      </c>
      <c r="D338" s="41" t="s">
        <v>3244</v>
      </c>
      <c r="E338" s="41" t="s">
        <v>2984</v>
      </c>
      <c r="F338" s="41" t="s">
        <v>2949</v>
      </c>
      <c r="G338" s="41" t="s">
        <v>2950</v>
      </c>
    </row>
    <row r="339" spans="1:7" x14ac:dyDescent="0.25">
      <c r="A339" s="41" t="s">
        <v>3362</v>
      </c>
      <c r="B339" s="41" t="s">
        <v>3316</v>
      </c>
      <c r="C339" s="41" t="s">
        <v>78</v>
      </c>
      <c r="D339" s="41" t="s">
        <v>3317</v>
      </c>
      <c r="E339" s="41" t="s">
        <v>2929</v>
      </c>
      <c r="F339" s="41" t="s">
        <v>2930</v>
      </c>
      <c r="G339" s="41" t="s">
        <v>2931</v>
      </c>
    </row>
    <row r="340" spans="1:7" x14ac:dyDescent="0.25">
      <c r="A340" s="41" t="s">
        <v>3363</v>
      </c>
      <c r="B340" s="41" t="s">
        <v>3316</v>
      </c>
      <c r="C340" s="41" t="s">
        <v>78</v>
      </c>
      <c r="D340" s="41" t="s">
        <v>3317</v>
      </c>
      <c r="E340" s="41" t="s">
        <v>2929</v>
      </c>
      <c r="F340" s="41" t="s">
        <v>2933</v>
      </c>
      <c r="G340" s="41" t="s">
        <v>2934</v>
      </c>
    </row>
    <row r="341" spans="1:7" x14ac:dyDescent="0.25">
      <c r="A341" s="41" t="s">
        <v>3364</v>
      </c>
      <c r="B341" s="41" t="s">
        <v>3243</v>
      </c>
      <c r="C341" s="41" t="s">
        <v>78</v>
      </c>
      <c r="D341" s="41" t="s">
        <v>3244</v>
      </c>
      <c r="E341" s="41" t="s">
        <v>2984</v>
      </c>
      <c r="F341" s="41" t="s">
        <v>2930</v>
      </c>
      <c r="G341" s="41" t="s">
        <v>2931</v>
      </c>
    </row>
    <row r="342" spans="1:7" x14ac:dyDescent="0.25">
      <c r="A342" s="41" t="s">
        <v>3365</v>
      </c>
      <c r="B342" s="41" t="s">
        <v>3316</v>
      </c>
      <c r="C342" s="41" t="s">
        <v>78</v>
      </c>
      <c r="D342" s="41" t="s">
        <v>3317</v>
      </c>
      <c r="E342" s="41" t="s">
        <v>2929</v>
      </c>
      <c r="F342" s="41" t="s">
        <v>2933</v>
      </c>
      <c r="G342" s="41" t="s">
        <v>2934</v>
      </c>
    </row>
    <row r="343" spans="1:7" x14ac:dyDescent="0.25">
      <c r="A343" s="41" t="s">
        <v>3366</v>
      </c>
      <c r="B343" s="41" t="s">
        <v>3316</v>
      </c>
      <c r="C343" s="41" t="s">
        <v>78</v>
      </c>
      <c r="D343" s="41" t="s">
        <v>3317</v>
      </c>
      <c r="E343" s="41" t="s">
        <v>2929</v>
      </c>
      <c r="F343" s="41" t="s">
        <v>2930</v>
      </c>
      <c r="G343" s="41" t="s">
        <v>2931</v>
      </c>
    </row>
    <row r="344" spans="1:7" x14ac:dyDescent="0.25">
      <c r="A344" s="41" t="s">
        <v>3367</v>
      </c>
      <c r="B344" s="41" t="s">
        <v>3243</v>
      </c>
      <c r="C344" s="41" t="s">
        <v>78</v>
      </c>
      <c r="D344" s="41" t="s">
        <v>3244</v>
      </c>
      <c r="E344" s="41" t="s">
        <v>2929</v>
      </c>
      <c r="F344" s="41" t="s">
        <v>2933</v>
      </c>
      <c r="G344" s="41" t="s">
        <v>2934</v>
      </c>
    </row>
    <row r="345" spans="1:7" x14ac:dyDescent="0.25">
      <c r="A345" s="41" t="s">
        <v>530</v>
      </c>
      <c r="B345" s="41" t="s">
        <v>531</v>
      </c>
      <c r="C345" s="41" t="s">
        <v>2928</v>
      </c>
      <c r="D345" s="41" t="s">
        <v>530</v>
      </c>
      <c r="E345" s="41" t="s">
        <v>2929</v>
      </c>
      <c r="F345" s="41" t="s">
        <v>2930</v>
      </c>
      <c r="G345" s="41" t="s">
        <v>2931</v>
      </c>
    </row>
    <row r="346" spans="1:7" x14ac:dyDescent="0.25">
      <c r="A346" s="41" t="s">
        <v>3368</v>
      </c>
      <c r="B346" s="41" t="s">
        <v>531</v>
      </c>
      <c r="C346" s="41" t="s">
        <v>2928</v>
      </c>
      <c r="D346" s="41" t="s">
        <v>530</v>
      </c>
      <c r="E346" s="41" t="s">
        <v>2929</v>
      </c>
      <c r="F346" s="41" t="s">
        <v>2933</v>
      </c>
      <c r="G346" s="41" t="s">
        <v>2934</v>
      </c>
    </row>
    <row r="347" spans="1:7" x14ac:dyDescent="0.25">
      <c r="A347" s="41" t="s">
        <v>3369</v>
      </c>
      <c r="B347" s="41" t="s">
        <v>531</v>
      </c>
      <c r="C347" s="41" t="s">
        <v>2928</v>
      </c>
      <c r="D347" s="41" t="s">
        <v>530</v>
      </c>
      <c r="E347" s="41" t="s">
        <v>2929</v>
      </c>
      <c r="F347" s="41" t="s">
        <v>2930</v>
      </c>
      <c r="G347" s="41" t="s">
        <v>2931</v>
      </c>
    </row>
    <row r="348" spans="1:7" x14ac:dyDescent="0.25">
      <c r="A348" s="41" t="s">
        <v>3370</v>
      </c>
      <c r="B348" s="41" t="s">
        <v>531</v>
      </c>
      <c r="C348" s="41" t="s">
        <v>2928</v>
      </c>
      <c r="D348" s="41" t="s">
        <v>530</v>
      </c>
      <c r="E348" s="41" t="s">
        <v>2929</v>
      </c>
      <c r="F348" s="41" t="s">
        <v>2949</v>
      </c>
      <c r="G348" s="41" t="s">
        <v>2950</v>
      </c>
    </row>
    <row r="349" spans="1:7" x14ac:dyDescent="0.25">
      <c r="A349" s="41" t="s">
        <v>3371</v>
      </c>
      <c r="B349" s="41" t="s">
        <v>3372</v>
      </c>
      <c r="C349" s="41" t="s">
        <v>2928</v>
      </c>
      <c r="D349" s="41" t="s">
        <v>3371</v>
      </c>
      <c r="E349" s="41" t="s">
        <v>2929</v>
      </c>
      <c r="F349" s="41" t="s">
        <v>2930</v>
      </c>
      <c r="G349" s="41" t="s">
        <v>2931</v>
      </c>
    </row>
    <row r="350" spans="1:7" x14ac:dyDescent="0.25">
      <c r="A350" s="41" t="s">
        <v>3373</v>
      </c>
      <c r="B350" s="41" t="s">
        <v>3372</v>
      </c>
      <c r="C350" s="41" t="s">
        <v>2928</v>
      </c>
      <c r="D350" s="41" t="s">
        <v>3371</v>
      </c>
      <c r="E350" s="41" t="s">
        <v>2929</v>
      </c>
      <c r="F350" s="41" t="s">
        <v>2933</v>
      </c>
      <c r="G350" s="41" t="s">
        <v>2934</v>
      </c>
    </row>
    <row r="351" spans="1:7" x14ac:dyDescent="0.25">
      <c r="A351" s="41" t="s">
        <v>3374</v>
      </c>
      <c r="B351" s="41" t="s">
        <v>3372</v>
      </c>
      <c r="C351" s="41" t="s">
        <v>2928</v>
      </c>
      <c r="D351" s="41" t="s">
        <v>3371</v>
      </c>
      <c r="E351" s="41" t="s">
        <v>2929</v>
      </c>
      <c r="F351" s="41" t="s">
        <v>2933</v>
      </c>
      <c r="G351" s="41" t="s">
        <v>2934</v>
      </c>
    </row>
    <row r="352" spans="1:7" x14ac:dyDescent="0.25">
      <c r="A352" s="41" t="s">
        <v>3375</v>
      </c>
      <c r="B352" s="41" t="s">
        <v>3372</v>
      </c>
      <c r="C352" s="41" t="s">
        <v>2928</v>
      </c>
      <c r="D352" s="41" t="s">
        <v>3371</v>
      </c>
      <c r="E352" s="41" t="s">
        <v>2929</v>
      </c>
      <c r="F352" s="41" t="s">
        <v>2933</v>
      </c>
      <c r="G352" s="41" t="s">
        <v>2934</v>
      </c>
    </row>
    <row r="353" spans="1:7" x14ac:dyDescent="0.25">
      <c r="A353" s="41" t="s">
        <v>3376</v>
      </c>
      <c r="B353" s="41" t="s">
        <v>3372</v>
      </c>
      <c r="C353" s="41" t="s">
        <v>2928</v>
      </c>
      <c r="D353" s="41" t="s">
        <v>3371</v>
      </c>
      <c r="E353" s="41" t="s">
        <v>2929</v>
      </c>
      <c r="F353" s="41" t="s">
        <v>2933</v>
      </c>
      <c r="G353" s="41" t="s">
        <v>2934</v>
      </c>
    </row>
    <row r="354" spans="1:7" x14ac:dyDescent="0.25">
      <c r="A354" s="41" t="s">
        <v>3377</v>
      </c>
      <c r="B354" s="41" t="s">
        <v>3372</v>
      </c>
      <c r="C354" s="41" t="s">
        <v>2928</v>
      </c>
      <c r="D354" s="41" t="s">
        <v>3371</v>
      </c>
      <c r="E354" s="41" t="s">
        <v>2929</v>
      </c>
      <c r="F354" s="41" t="s">
        <v>2933</v>
      </c>
      <c r="G354" s="41" t="s">
        <v>2934</v>
      </c>
    </row>
    <row r="355" spans="1:7" x14ac:dyDescent="0.25">
      <c r="A355" s="41" t="s">
        <v>3378</v>
      </c>
      <c r="B355" s="41" t="s">
        <v>3372</v>
      </c>
      <c r="C355" s="41" t="s">
        <v>2928</v>
      </c>
      <c r="D355" s="41" t="s">
        <v>3371</v>
      </c>
      <c r="E355" s="41" t="s">
        <v>2929</v>
      </c>
      <c r="F355" s="41" t="s">
        <v>2933</v>
      </c>
      <c r="G355" s="41" t="s">
        <v>2934</v>
      </c>
    </row>
    <row r="356" spans="1:7" x14ac:dyDescent="0.25">
      <c r="A356" s="41" t="s">
        <v>3379</v>
      </c>
      <c r="B356" s="41" t="s">
        <v>3372</v>
      </c>
      <c r="C356" s="41" t="s">
        <v>2928</v>
      </c>
      <c r="D356" s="41" t="s">
        <v>3371</v>
      </c>
      <c r="E356" s="41" t="s">
        <v>2929</v>
      </c>
      <c r="F356" s="41" t="s">
        <v>2933</v>
      </c>
      <c r="G356" s="41" t="s">
        <v>2934</v>
      </c>
    </row>
    <row r="357" spans="1:7" x14ac:dyDescent="0.25">
      <c r="A357" s="41" t="s">
        <v>3380</v>
      </c>
      <c r="B357" s="41" t="s">
        <v>3372</v>
      </c>
      <c r="C357" s="41" t="s">
        <v>2928</v>
      </c>
      <c r="D357" s="41" t="s">
        <v>3371</v>
      </c>
      <c r="E357" s="41" t="s">
        <v>2929</v>
      </c>
      <c r="F357" s="41" t="s">
        <v>2930</v>
      </c>
      <c r="G357" s="41" t="s">
        <v>2931</v>
      </c>
    </row>
    <row r="358" spans="1:7" x14ac:dyDescent="0.25">
      <c r="A358" s="41" t="s">
        <v>3381</v>
      </c>
      <c r="B358" s="41" t="s">
        <v>3372</v>
      </c>
      <c r="C358" s="41" t="s">
        <v>2928</v>
      </c>
      <c r="D358" s="41" t="s">
        <v>3371</v>
      </c>
      <c r="E358" s="41" t="s">
        <v>2929</v>
      </c>
      <c r="F358" s="41" t="s">
        <v>2930</v>
      </c>
      <c r="G358" s="41" t="s">
        <v>2931</v>
      </c>
    </row>
    <row r="359" spans="1:7" x14ac:dyDescent="0.25">
      <c r="A359" s="41" t="s">
        <v>3382</v>
      </c>
      <c r="B359" s="41" t="s">
        <v>3372</v>
      </c>
      <c r="C359" s="41" t="s">
        <v>2928</v>
      </c>
      <c r="D359" s="41" t="s">
        <v>3371</v>
      </c>
      <c r="E359" s="41" t="s">
        <v>2929</v>
      </c>
      <c r="F359" s="41" t="s">
        <v>2930</v>
      </c>
      <c r="G359" s="41" t="s">
        <v>2931</v>
      </c>
    </row>
    <row r="360" spans="1:7" x14ac:dyDescent="0.25">
      <c r="A360" s="41" t="s">
        <v>3383</v>
      </c>
      <c r="B360" s="41" t="s">
        <v>3372</v>
      </c>
      <c r="C360" s="41" t="s">
        <v>2928</v>
      </c>
      <c r="D360" s="41" t="s">
        <v>3371</v>
      </c>
      <c r="E360" s="41" t="s">
        <v>2929</v>
      </c>
      <c r="F360" s="41" t="s">
        <v>2930</v>
      </c>
      <c r="G360" s="41" t="s">
        <v>2931</v>
      </c>
    </row>
    <row r="361" spans="1:7" x14ac:dyDescent="0.25">
      <c r="A361" s="41" t="s">
        <v>3384</v>
      </c>
      <c r="B361" s="41" t="s">
        <v>3372</v>
      </c>
      <c r="C361" s="41" t="s">
        <v>2928</v>
      </c>
      <c r="D361" s="41" t="s">
        <v>3371</v>
      </c>
      <c r="E361" s="41" t="s">
        <v>2929</v>
      </c>
      <c r="F361" s="41" t="s">
        <v>2930</v>
      </c>
      <c r="G361" s="41" t="s">
        <v>2931</v>
      </c>
    </row>
    <row r="362" spans="1:7" x14ac:dyDescent="0.25">
      <c r="A362" s="41" t="s">
        <v>3385</v>
      </c>
      <c r="B362" s="41" t="s">
        <v>3372</v>
      </c>
      <c r="C362" s="41" t="s">
        <v>2928</v>
      </c>
      <c r="D362" s="41" t="s">
        <v>3371</v>
      </c>
      <c r="E362" s="41" t="s">
        <v>2929</v>
      </c>
      <c r="F362" s="41" t="s">
        <v>2930</v>
      </c>
      <c r="G362" s="41" t="s">
        <v>2931</v>
      </c>
    </row>
    <row r="363" spans="1:7" x14ac:dyDescent="0.25">
      <c r="A363" s="41" t="s">
        <v>3386</v>
      </c>
      <c r="B363" s="41" t="s">
        <v>3372</v>
      </c>
      <c r="C363" s="41" t="s">
        <v>2928</v>
      </c>
      <c r="D363" s="41" t="s">
        <v>3371</v>
      </c>
      <c r="E363" s="41" t="s">
        <v>2929</v>
      </c>
      <c r="F363" s="41" t="s">
        <v>2930</v>
      </c>
      <c r="G363" s="41" t="s">
        <v>2931</v>
      </c>
    </row>
    <row r="364" spans="1:7" x14ac:dyDescent="0.25">
      <c r="A364" s="41" t="s">
        <v>3387</v>
      </c>
      <c r="B364" s="41" t="s">
        <v>3372</v>
      </c>
      <c r="C364" s="41" t="s">
        <v>2928</v>
      </c>
      <c r="D364" s="41" t="s">
        <v>3371</v>
      </c>
      <c r="E364" s="41" t="s">
        <v>2929</v>
      </c>
      <c r="F364" s="41" t="s">
        <v>2949</v>
      </c>
      <c r="G364" s="41" t="s">
        <v>2950</v>
      </c>
    </row>
    <row r="365" spans="1:7" x14ac:dyDescent="0.25">
      <c r="A365" s="41" t="s">
        <v>3388</v>
      </c>
      <c r="B365" s="41" t="s">
        <v>3372</v>
      </c>
      <c r="C365" s="41" t="s">
        <v>2928</v>
      </c>
      <c r="D365" s="41" t="s">
        <v>3371</v>
      </c>
      <c r="E365" s="41" t="s">
        <v>2929</v>
      </c>
      <c r="F365" s="41" t="s">
        <v>2949</v>
      </c>
      <c r="G365" s="41" t="s">
        <v>2950</v>
      </c>
    </row>
    <row r="366" spans="1:7" x14ac:dyDescent="0.25">
      <c r="A366" s="41" t="s">
        <v>3389</v>
      </c>
      <c r="B366" s="41" t="s">
        <v>3372</v>
      </c>
      <c r="C366" s="41" t="s">
        <v>2928</v>
      </c>
      <c r="D366" s="41" t="s">
        <v>3371</v>
      </c>
      <c r="E366" s="41" t="s">
        <v>2929</v>
      </c>
      <c r="F366" s="41" t="s">
        <v>2949</v>
      </c>
      <c r="G366" s="41" t="s">
        <v>2950</v>
      </c>
    </row>
    <row r="367" spans="1:7" x14ac:dyDescent="0.25">
      <c r="A367" s="41" t="s">
        <v>3390</v>
      </c>
      <c r="B367" s="41" t="s">
        <v>3372</v>
      </c>
      <c r="C367" s="41" t="s">
        <v>2928</v>
      </c>
      <c r="D367" s="41" t="s">
        <v>3371</v>
      </c>
      <c r="E367" s="41" t="s">
        <v>2929</v>
      </c>
      <c r="F367" s="41" t="s">
        <v>2949</v>
      </c>
      <c r="G367" s="41" t="s">
        <v>2950</v>
      </c>
    </row>
    <row r="368" spans="1:7" x14ac:dyDescent="0.25">
      <c r="A368" s="41" t="s">
        <v>3391</v>
      </c>
      <c r="B368" s="41" t="s">
        <v>3372</v>
      </c>
      <c r="C368" s="41" t="s">
        <v>2928</v>
      </c>
      <c r="D368" s="41" t="s">
        <v>3371</v>
      </c>
      <c r="E368" s="41" t="s">
        <v>2929</v>
      </c>
      <c r="F368" s="41" t="s">
        <v>2949</v>
      </c>
      <c r="G368" s="41" t="s">
        <v>2950</v>
      </c>
    </row>
    <row r="369" spans="1:7" x14ac:dyDescent="0.25">
      <c r="A369" s="41" t="s">
        <v>3392</v>
      </c>
      <c r="B369" s="41" t="s">
        <v>3372</v>
      </c>
      <c r="C369" s="41" t="s">
        <v>2928</v>
      </c>
      <c r="D369" s="41" t="s">
        <v>3371</v>
      </c>
      <c r="E369" s="41" t="s">
        <v>2929</v>
      </c>
      <c r="F369" s="41" t="s">
        <v>2949</v>
      </c>
      <c r="G369" s="41" t="s">
        <v>2950</v>
      </c>
    </row>
    <row r="370" spans="1:7" x14ac:dyDescent="0.25">
      <c r="A370" s="41" t="s">
        <v>3393</v>
      </c>
      <c r="B370" s="41" t="s">
        <v>3372</v>
      </c>
      <c r="C370" s="41" t="s">
        <v>2928</v>
      </c>
      <c r="D370" s="41" t="s">
        <v>3371</v>
      </c>
      <c r="E370" s="41" t="s">
        <v>2929</v>
      </c>
      <c r="F370" s="41" t="s">
        <v>2949</v>
      </c>
      <c r="G370" s="41" t="s">
        <v>2950</v>
      </c>
    </row>
    <row r="371" spans="1:7" x14ac:dyDescent="0.25">
      <c r="A371" s="41" t="s">
        <v>3394</v>
      </c>
      <c r="B371" s="41" t="s">
        <v>3395</v>
      </c>
      <c r="C371" s="41" t="s">
        <v>95</v>
      </c>
      <c r="D371" s="41" t="s">
        <v>3396</v>
      </c>
      <c r="E371" s="41" t="s">
        <v>2929</v>
      </c>
      <c r="F371" s="41" t="s">
        <v>2930</v>
      </c>
      <c r="G371" s="41" t="s">
        <v>2931</v>
      </c>
    </row>
    <row r="372" spans="1:7" x14ac:dyDescent="0.25">
      <c r="A372" s="41" t="s">
        <v>3397</v>
      </c>
      <c r="B372" s="41" t="s">
        <v>3395</v>
      </c>
      <c r="C372" s="41" t="s">
        <v>95</v>
      </c>
      <c r="D372" s="41" t="s">
        <v>3396</v>
      </c>
      <c r="E372" s="41" t="s">
        <v>2984</v>
      </c>
      <c r="F372" s="41" t="s">
        <v>3355</v>
      </c>
      <c r="G372" s="41" t="s">
        <v>2950</v>
      </c>
    </row>
    <row r="373" spans="1:7" x14ac:dyDescent="0.25">
      <c r="A373" s="41" t="s">
        <v>3398</v>
      </c>
      <c r="B373" s="41" t="s">
        <v>3399</v>
      </c>
      <c r="C373" s="41" t="s">
        <v>1247</v>
      </c>
      <c r="D373" s="41" t="s">
        <v>3400</v>
      </c>
      <c r="E373" s="41" t="s">
        <v>2929</v>
      </c>
      <c r="F373" s="41" t="s">
        <v>2949</v>
      </c>
      <c r="G373" s="41" t="s">
        <v>2950</v>
      </c>
    </row>
    <row r="374" spans="1:7" x14ac:dyDescent="0.25">
      <c r="A374" s="41" t="s">
        <v>3401</v>
      </c>
      <c r="B374" s="41" t="s">
        <v>3402</v>
      </c>
      <c r="C374" s="41" t="s">
        <v>95</v>
      </c>
      <c r="D374" s="41" t="s">
        <v>3403</v>
      </c>
      <c r="E374" s="41" t="s">
        <v>2929</v>
      </c>
      <c r="F374" s="41" t="s">
        <v>2949</v>
      </c>
      <c r="G374" s="41" t="s">
        <v>2950</v>
      </c>
    </row>
    <row r="375" spans="1:7" x14ac:dyDescent="0.25">
      <c r="A375" s="41" t="s">
        <v>3404</v>
      </c>
      <c r="B375" s="41" t="s">
        <v>3405</v>
      </c>
      <c r="C375" s="41" t="s">
        <v>74</v>
      </c>
      <c r="D375" s="41" t="s">
        <v>3406</v>
      </c>
      <c r="E375" s="41" t="s">
        <v>2984</v>
      </c>
      <c r="F375" s="41" t="s">
        <v>3355</v>
      </c>
      <c r="G375" s="41" t="s">
        <v>2950</v>
      </c>
    </row>
    <row r="376" spans="1:7" x14ac:dyDescent="0.25">
      <c r="A376" s="41" t="s">
        <v>3407</v>
      </c>
      <c r="B376" s="41" t="s">
        <v>3405</v>
      </c>
      <c r="C376" s="41" t="s">
        <v>74</v>
      </c>
      <c r="D376" s="41" t="s">
        <v>3406</v>
      </c>
      <c r="E376" s="41" t="s">
        <v>2929</v>
      </c>
      <c r="F376" s="41" t="s">
        <v>2933</v>
      </c>
      <c r="G376" s="41" t="s">
        <v>2934</v>
      </c>
    </row>
    <row r="377" spans="1:7" x14ac:dyDescent="0.25">
      <c r="A377" s="41" t="s">
        <v>3408</v>
      </c>
      <c r="B377" s="41" t="s">
        <v>3405</v>
      </c>
      <c r="C377" s="41" t="s">
        <v>74</v>
      </c>
      <c r="D377" s="41" t="s">
        <v>3406</v>
      </c>
      <c r="E377" s="41" t="s">
        <v>2929</v>
      </c>
      <c r="F377" s="41" t="s">
        <v>2930</v>
      </c>
      <c r="G377" s="41" t="s">
        <v>2931</v>
      </c>
    </row>
    <row r="378" spans="1:7" x14ac:dyDescent="0.25">
      <c r="A378" s="41" t="s">
        <v>3409</v>
      </c>
      <c r="B378" s="41" t="s">
        <v>3410</v>
      </c>
      <c r="C378" s="41" t="s">
        <v>128</v>
      </c>
      <c r="D378" s="41" t="s">
        <v>3411</v>
      </c>
      <c r="E378" s="41" t="s">
        <v>2984</v>
      </c>
      <c r="F378" s="41" t="s">
        <v>3355</v>
      </c>
      <c r="G378" s="41" t="s">
        <v>2950</v>
      </c>
    </row>
    <row r="379" spans="1:7" x14ac:dyDescent="0.25">
      <c r="A379" s="41" t="s">
        <v>3412</v>
      </c>
      <c r="B379" s="41" t="s">
        <v>3413</v>
      </c>
      <c r="C379" s="41" t="s">
        <v>3227</v>
      </c>
      <c r="D379" s="41" t="s">
        <v>3414</v>
      </c>
      <c r="E379" s="41" t="s">
        <v>2984</v>
      </c>
      <c r="F379" s="41" t="s">
        <v>3355</v>
      </c>
      <c r="G379" s="41" t="s">
        <v>2950</v>
      </c>
    </row>
    <row r="380" spans="1:7" x14ac:dyDescent="0.25">
      <c r="A380" s="41" t="s">
        <v>3415</v>
      </c>
      <c r="B380" s="41" t="s">
        <v>3413</v>
      </c>
      <c r="C380" s="41" t="s">
        <v>3227</v>
      </c>
      <c r="D380" s="41" t="s">
        <v>3414</v>
      </c>
      <c r="E380" s="41" t="s">
        <v>2929</v>
      </c>
      <c r="F380" s="41" t="s">
        <v>3355</v>
      </c>
      <c r="G380" s="41" t="s">
        <v>2950</v>
      </c>
    </row>
    <row r="381" spans="1:7" x14ac:dyDescent="0.25">
      <c r="A381" s="41" t="s">
        <v>3416</v>
      </c>
      <c r="B381" s="41" t="s">
        <v>3413</v>
      </c>
      <c r="C381" s="41" t="s">
        <v>3227</v>
      </c>
      <c r="D381" s="41" t="s">
        <v>3414</v>
      </c>
      <c r="E381" s="41" t="s">
        <v>2929</v>
      </c>
      <c r="F381" s="41" t="s">
        <v>2949</v>
      </c>
      <c r="G381" s="41" t="s">
        <v>2950</v>
      </c>
    </row>
    <row r="382" spans="1:7" x14ac:dyDescent="0.25">
      <c r="A382" s="41" t="s">
        <v>976</v>
      </c>
      <c r="B382" s="41" t="s">
        <v>977</v>
      </c>
      <c r="C382" s="41" t="s">
        <v>2928</v>
      </c>
      <c r="D382" s="41" t="s">
        <v>976</v>
      </c>
      <c r="E382" s="41" t="s">
        <v>2929</v>
      </c>
      <c r="F382" s="41" t="s">
        <v>2930</v>
      </c>
      <c r="G382" s="41" t="s">
        <v>2931</v>
      </c>
    </row>
    <row r="383" spans="1:7" x14ac:dyDescent="0.25">
      <c r="A383" s="41" t="s">
        <v>3417</v>
      </c>
      <c r="B383" s="41" t="s">
        <v>977</v>
      </c>
      <c r="C383" s="41" t="s">
        <v>2928</v>
      </c>
      <c r="D383" s="41" t="s">
        <v>976</v>
      </c>
      <c r="E383" s="41" t="s">
        <v>2929</v>
      </c>
      <c r="F383" s="41" t="s">
        <v>2933</v>
      </c>
      <c r="G383" s="41" t="s">
        <v>2934</v>
      </c>
    </row>
    <row r="384" spans="1:7" x14ac:dyDescent="0.25">
      <c r="A384" s="41" t="s">
        <v>3418</v>
      </c>
      <c r="B384" s="41" t="s">
        <v>977</v>
      </c>
      <c r="C384" s="41" t="s">
        <v>2928</v>
      </c>
      <c r="D384" s="41" t="s">
        <v>976</v>
      </c>
      <c r="E384" s="41" t="s">
        <v>2929</v>
      </c>
      <c r="F384" s="41" t="s">
        <v>2933</v>
      </c>
      <c r="G384" s="41" t="s">
        <v>2934</v>
      </c>
    </row>
    <row r="385" spans="1:7" x14ac:dyDescent="0.25">
      <c r="A385" s="41" t="s">
        <v>3419</v>
      </c>
      <c r="B385" s="41" t="s">
        <v>977</v>
      </c>
      <c r="C385" s="41" t="s">
        <v>2928</v>
      </c>
      <c r="D385" s="41" t="s">
        <v>976</v>
      </c>
      <c r="E385" s="41" t="s">
        <v>2929</v>
      </c>
      <c r="F385" s="41" t="s">
        <v>2930</v>
      </c>
      <c r="G385" s="41" t="s">
        <v>2931</v>
      </c>
    </row>
    <row r="386" spans="1:7" x14ac:dyDescent="0.25">
      <c r="A386" s="41" t="s">
        <v>3420</v>
      </c>
      <c r="B386" s="41" t="s">
        <v>977</v>
      </c>
      <c r="C386" s="41" t="s">
        <v>2928</v>
      </c>
      <c r="D386" s="41" t="s">
        <v>976</v>
      </c>
      <c r="E386" s="41" t="s">
        <v>2929</v>
      </c>
      <c r="F386" s="41" t="s">
        <v>2949</v>
      </c>
      <c r="G386" s="41" t="s">
        <v>2950</v>
      </c>
    </row>
    <row r="387" spans="1:7" x14ac:dyDescent="0.25">
      <c r="A387" s="41" t="s">
        <v>3421</v>
      </c>
      <c r="B387" s="41" t="s">
        <v>977</v>
      </c>
      <c r="C387" s="41" t="s">
        <v>2928</v>
      </c>
      <c r="D387" s="41" t="s">
        <v>976</v>
      </c>
      <c r="E387" s="41" t="s">
        <v>2929</v>
      </c>
      <c r="F387" s="41" t="s">
        <v>2949</v>
      </c>
      <c r="G387" s="41" t="s">
        <v>2950</v>
      </c>
    </row>
    <row r="388" spans="1:7" x14ac:dyDescent="0.25">
      <c r="A388" s="41" t="s">
        <v>3422</v>
      </c>
      <c r="B388" s="41" t="s">
        <v>3423</v>
      </c>
      <c r="C388" s="41" t="s">
        <v>2928</v>
      </c>
      <c r="D388" s="41" t="s">
        <v>3422</v>
      </c>
      <c r="E388" s="41" t="s">
        <v>2929</v>
      </c>
      <c r="F388" s="41" t="s">
        <v>2930</v>
      </c>
      <c r="G388" s="41" t="s">
        <v>2931</v>
      </c>
    </row>
    <row r="389" spans="1:7" x14ac:dyDescent="0.25">
      <c r="A389" s="41" t="s">
        <v>3424</v>
      </c>
      <c r="B389" s="41" t="s">
        <v>3423</v>
      </c>
      <c r="C389" s="41" t="s">
        <v>2928</v>
      </c>
      <c r="D389" s="41" t="s">
        <v>3422</v>
      </c>
      <c r="E389" s="41" t="s">
        <v>2929</v>
      </c>
      <c r="F389" s="41" t="s">
        <v>2933</v>
      </c>
      <c r="G389" s="41" t="s">
        <v>2934</v>
      </c>
    </row>
    <row r="390" spans="1:7" x14ac:dyDescent="0.25">
      <c r="A390" s="41" t="s">
        <v>3425</v>
      </c>
      <c r="B390" s="41" t="s">
        <v>3423</v>
      </c>
      <c r="C390" s="41" t="s">
        <v>2928</v>
      </c>
      <c r="D390" s="41" t="s">
        <v>3422</v>
      </c>
      <c r="E390" s="41" t="s">
        <v>2929</v>
      </c>
      <c r="F390" s="41" t="s">
        <v>2933</v>
      </c>
      <c r="G390" s="41" t="s">
        <v>2934</v>
      </c>
    </row>
    <row r="391" spans="1:7" x14ac:dyDescent="0.25">
      <c r="A391" s="41" t="s">
        <v>3426</v>
      </c>
      <c r="B391" s="41" t="s">
        <v>3423</v>
      </c>
      <c r="C391" s="41" t="s">
        <v>2928</v>
      </c>
      <c r="D391" s="41" t="s">
        <v>3422</v>
      </c>
      <c r="E391" s="41" t="s">
        <v>2929</v>
      </c>
      <c r="F391" s="41" t="s">
        <v>2933</v>
      </c>
      <c r="G391" s="41" t="s">
        <v>2934</v>
      </c>
    </row>
    <row r="392" spans="1:7" x14ac:dyDescent="0.25">
      <c r="A392" s="41" t="s">
        <v>3427</v>
      </c>
      <c r="B392" s="41" t="s">
        <v>3423</v>
      </c>
      <c r="C392" s="41" t="s">
        <v>2928</v>
      </c>
      <c r="D392" s="41" t="s">
        <v>3422</v>
      </c>
      <c r="E392" s="41" t="s">
        <v>2929</v>
      </c>
      <c r="F392" s="41" t="s">
        <v>2933</v>
      </c>
      <c r="G392" s="41" t="s">
        <v>2934</v>
      </c>
    </row>
    <row r="393" spans="1:7" x14ac:dyDescent="0.25">
      <c r="A393" s="41" t="s">
        <v>3428</v>
      </c>
      <c r="B393" s="41" t="s">
        <v>3423</v>
      </c>
      <c r="C393" s="41" t="s">
        <v>2928</v>
      </c>
      <c r="D393" s="41" t="s">
        <v>3422</v>
      </c>
      <c r="E393" s="41" t="s">
        <v>2929</v>
      </c>
      <c r="F393" s="41" t="s">
        <v>2933</v>
      </c>
      <c r="G393" s="41" t="s">
        <v>2934</v>
      </c>
    </row>
    <row r="394" spans="1:7" x14ac:dyDescent="0.25">
      <c r="A394" s="41" t="s">
        <v>3429</v>
      </c>
      <c r="B394" s="41" t="s">
        <v>3423</v>
      </c>
      <c r="C394" s="41" t="s">
        <v>2928</v>
      </c>
      <c r="D394" s="41" t="s">
        <v>3422</v>
      </c>
      <c r="E394" s="41" t="s">
        <v>2929</v>
      </c>
      <c r="F394" s="41" t="s">
        <v>2933</v>
      </c>
      <c r="G394" s="41" t="s">
        <v>2934</v>
      </c>
    </row>
    <row r="395" spans="1:7" x14ac:dyDescent="0.25">
      <c r="A395" s="41" t="s">
        <v>3430</v>
      </c>
      <c r="B395" s="41" t="s">
        <v>3423</v>
      </c>
      <c r="C395" s="41" t="s">
        <v>2928</v>
      </c>
      <c r="D395" s="41" t="s">
        <v>3422</v>
      </c>
      <c r="E395" s="41" t="s">
        <v>2929</v>
      </c>
      <c r="F395" s="41" t="s">
        <v>2933</v>
      </c>
      <c r="G395" s="41" t="s">
        <v>2934</v>
      </c>
    </row>
    <row r="396" spans="1:7" x14ac:dyDescent="0.25">
      <c r="A396" s="41" t="s">
        <v>3431</v>
      </c>
      <c r="B396" s="41" t="s">
        <v>3423</v>
      </c>
      <c r="C396" s="41" t="s">
        <v>2928</v>
      </c>
      <c r="D396" s="41" t="s">
        <v>3422</v>
      </c>
      <c r="E396" s="41" t="s">
        <v>2929</v>
      </c>
      <c r="F396" s="41" t="s">
        <v>2930</v>
      </c>
      <c r="G396" s="41" t="s">
        <v>2931</v>
      </c>
    </row>
    <row r="397" spans="1:7" x14ac:dyDescent="0.25">
      <c r="A397" s="41" t="s">
        <v>3432</v>
      </c>
      <c r="B397" s="41" t="s">
        <v>3423</v>
      </c>
      <c r="C397" s="41" t="s">
        <v>2928</v>
      </c>
      <c r="D397" s="41" t="s">
        <v>3422</v>
      </c>
      <c r="E397" s="41" t="s">
        <v>2929</v>
      </c>
      <c r="F397" s="41" t="s">
        <v>2930</v>
      </c>
      <c r="G397" s="41" t="s">
        <v>2931</v>
      </c>
    </row>
    <row r="398" spans="1:7" x14ac:dyDescent="0.25">
      <c r="A398" s="41" t="s">
        <v>3433</v>
      </c>
      <c r="B398" s="41" t="s">
        <v>3423</v>
      </c>
      <c r="C398" s="41" t="s">
        <v>2928</v>
      </c>
      <c r="D398" s="41" t="s">
        <v>3422</v>
      </c>
      <c r="E398" s="41" t="s">
        <v>2929</v>
      </c>
      <c r="F398" s="41" t="s">
        <v>2930</v>
      </c>
      <c r="G398" s="41" t="s">
        <v>2931</v>
      </c>
    </row>
    <row r="399" spans="1:7" x14ac:dyDescent="0.25">
      <c r="A399" s="41" t="s">
        <v>3434</v>
      </c>
      <c r="B399" s="41" t="s">
        <v>3423</v>
      </c>
      <c r="C399" s="41" t="s">
        <v>2928</v>
      </c>
      <c r="D399" s="41" t="s">
        <v>3422</v>
      </c>
      <c r="E399" s="41" t="s">
        <v>2929</v>
      </c>
      <c r="F399" s="41" t="s">
        <v>2930</v>
      </c>
      <c r="G399" s="41" t="s">
        <v>2931</v>
      </c>
    </row>
    <row r="400" spans="1:7" x14ac:dyDescent="0.25">
      <c r="A400" s="41" t="s">
        <v>3435</v>
      </c>
      <c r="B400" s="41" t="s">
        <v>3423</v>
      </c>
      <c r="C400" s="41" t="s">
        <v>2928</v>
      </c>
      <c r="D400" s="41" t="s">
        <v>3422</v>
      </c>
      <c r="E400" s="41" t="s">
        <v>2929</v>
      </c>
      <c r="F400" s="41" t="s">
        <v>2930</v>
      </c>
      <c r="G400" s="41" t="s">
        <v>2931</v>
      </c>
    </row>
    <row r="401" spans="1:7" x14ac:dyDescent="0.25">
      <c r="A401" s="41" t="s">
        <v>3436</v>
      </c>
      <c r="B401" s="41" t="s">
        <v>3423</v>
      </c>
      <c r="C401" s="41" t="s">
        <v>2928</v>
      </c>
      <c r="D401" s="41" t="s">
        <v>3422</v>
      </c>
      <c r="E401" s="41" t="s">
        <v>2929</v>
      </c>
      <c r="F401" s="41" t="s">
        <v>2930</v>
      </c>
      <c r="G401" s="41" t="s">
        <v>2931</v>
      </c>
    </row>
    <row r="402" spans="1:7" x14ac:dyDescent="0.25">
      <c r="A402" s="41" t="s">
        <v>3437</v>
      </c>
      <c r="B402" s="41" t="s">
        <v>3423</v>
      </c>
      <c r="C402" s="41" t="s">
        <v>2928</v>
      </c>
      <c r="D402" s="41" t="s">
        <v>3422</v>
      </c>
      <c r="E402" s="41" t="s">
        <v>2929</v>
      </c>
      <c r="F402" s="41" t="s">
        <v>2930</v>
      </c>
      <c r="G402" s="41" t="s">
        <v>2931</v>
      </c>
    </row>
    <row r="403" spans="1:7" x14ac:dyDescent="0.25">
      <c r="A403" s="41" t="s">
        <v>3438</v>
      </c>
      <c r="B403" s="41" t="s">
        <v>3423</v>
      </c>
      <c r="C403" s="41" t="s">
        <v>2928</v>
      </c>
      <c r="D403" s="41" t="s">
        <v>3422</v>
      </c>
      <c r="E403" s="41" t="s">
        <v>2929</v>
      </c>
      <c r="F403" s="41" t="s">
        <v>2949</v>
      </c>
      <c r="G403" s="41" t="s">
        <v>2950</v>
      </c>
    </row>
    <row r="404" spans="1:7" x14ac:dyDescent="0.25">
      <c r="A404" s="41" t="s">
        <v>3439</v>
      </c>
      <c r="B404" s="41" t="s">
        <v>3423</v>
      </c>
      <c r="C404" s="41" t="s">
        <v>2928</v>
      </c>
      <c r="D404" s="41" t="s">
        <v>3422</v>
      </c>
      <c r="E404" s="41" t="s">
        <v>2929</v>
      </c>
      <c r="F404" s="41" t="s">
        <v>2949</v>
      </c>
      <c r="G404" s="41" t="s">
        <v>2950</v>
      </c>
    </row>
    <row r="405" spans="1:7" x14ac:dyDescent="0.25">
      <c r="A405" s="41" t="s">
        <v>3440</v>
      </c>
      <c r="B405" s="41" t="s">
        <v>3423</v>
      </c>
      <c r="C405" s="41" t="s">
        <v>2928</v>
      </c>
      <c r="D405" s="41" t="s">
        <v>3422</v>
      </c>
      <c r="E405" s="41" t="s">
        <v>2929</v>
      </c>
      <c r="F405" s="41" t="s">
        <v>2949</v>
      </c>
      <c r="G405" s="41" t="s">
        <v>2950</v>
      </c>
    </row>
    <row r="406" spans="1:7" x14ac:dyDescent="0.25">
      <c r="A406" s="41" t="s">
        <v>3441</v>
      </c>
      <c r="B406" s="41" t="s">
        <v>3423</v>
      </c>
      <c r="C406" s="41" t="s">
        <v>2928</v>
      </c>
      <c r="D406" s="41" t="s">
        <v>3422</v>
      </c>
      <c r="E406" s="41" t="s">
        <v>2929</v>
      </c>
      <c r="F406" s="41" t="s">
        <v>2949</v>
      </c>
      <c r="G406" s="41" t="s">
        <v>2950</v>
      </c>
    </row>
    <row r="407" spans="1:7" x14ac:dyDescent="0.25">
      <c r="A407" s="41" t="s">
        <v>3442</v>
      </c>
      <c r="B407" s="41" t="s">
        <v>3423</v>
      </c>
      <c r="C407" s="41" t="s">
        <v>2928</v>
      </c>
      <c r="D407" s="41" t="s">
        <v>3422</v>
      </c>
      <c r="E407" s="41" t="s">
        <v>2929</v>
      </c>
      <c r="F407" s="41" t="s">
        <v>2949</v>
      </c>
      <c r="G407" s="41" t="s">
        <v>2950</v>
      </c>
    </row>
    <row r="408" spans="1:7" x14ac:dyDescent="0.25">
      <c r="A408" s="41" t="s">
        <v>3443</v>
      </c>
      <c r="B408" s="41" t="s">
        <v>3423</v>
      </c>
      <c r="C408" s="41" t="s">
        <v>2928</v>
      </c>
      <c r="D408" s="41" t="s">
        <v>3422</v>
      </c>
      <c r="E408" s="41" t="s">
        <v>2929</v>
      </c>
      <c r="F408" s="41" t="s">
        <v>2949</v>
      </c>
      <c r="G408" s="41" t="s">
        <v>2950</v>
      </c>
    </row>
    <row r="409" spans="1:7" x14ac:dyDescent="0.25">
      <c r="A409" s="41" t="s">
        <v>3444</v>
      </c>
      <c r="B409" s="41" t="s">
        <v>3423</v>
      </c>
      <c r="C409" s="41" t="s">
        <v>2928</v>
      </c>
      <c r="D409" s="41" t="s">
        <v>3422</v>
      </c>
      <c r="E409" s="41" t="s">
        <v>2929</v>
      </c>
      <c r="F409" s="41" t="s">
        <v>2949</v>
      </c>
      <c r="G409" s="41" t="s">
        <v>2950</v>
      </c>
    </row>
    <row r="410" spans="1:7" x14ac:dyDescent="0.25">
      <c r="A410" s="41" t="s">
        <v>3445</v>
      </c>
      <c r="B410" s="41" t="s">
        <v>3446</v>
      </c>
      <c r="C410" s="41" t="s">
        <v>2928</v>
      </c>
      <c r="D410" s="41" t="s">
        <v>3445</v>
      </c>
      <c r="E410" s="41" t="s">
        <v>2929</v>
      </c>
      <c r="F410" s="41" t="s">
        <v>2930</v>
      </c>
      <c r="G410" s="41" t="s">
        <v>2931</v>
      </c>
    </row>
    <row r="411" spans="1:7" x14ac:dyDescent="0.25">
      <c r="A411" s="41" t="s">
        <v>3447</v>
      </c>
      <c r="B411" s="41" t="s">
        <v>3446</v>
      </c>
      <c r="C411" s="41" t="s">
        <v>2928</v>
      </c>
      <c r="D411" s="41" t="s">
        <v>3445</v>
      </c>
      <c r="E411" s="41" t="s">
        <v>2929</v>
      </c>
      <c r="F411" s="41" t="s">
        <v>2933</v>
      </c>
      <c r="G411" s="41" t="s">
        <v>2934</v>
      </c>
    </row>
    <row r="412" spans="1:7" x14ac:dyDescent="0.25">
      <c r="A412" s="41" t="s">
        <v>3448</v>
      </c>
      <c r="B412" s="41" t="s">
        <v>3446</v>
      </c>
      <c r="C412" s="41" t="s">
        <v>2928</v>
      </c>
      <c r="D412" s="41" t="s">
        <v>3445</v>
      </c>
      <c r="E412" s="41" t="s">
        <v>2929</v>
      </c>
      <c r="F412" s="41" t="s">
        <v>2933</v>
      </c>
      <c r="G412" s="41" t="s">
        <v>2934</v>
      </c>
    </row>
    <row r="413" spans="1:7" x14ac:dyDescent="0.25">
      <c r="A413" s="41" t="s">
        <v>3449</v>
      </c>
      <c r="B413" s="41" t="s">
        <v>3446</v>
      </c>
      <c r="C413" s="41" t="s">
        <v>2928</v>
      </c>
      <c r="D413" s="41" t="s">
        <v>3445</v>
      </c>
      <c r="E413" s="41" t="s">
        <v>2929</v>
      </c>
      <c r="F413" s="41" t="s">
        <v>2930</v>
      </c>
      <c r="G413" s="41" t="s">
        <v>2931</v>
      </c>
    </row>
    <row r="414" spans="1:7" x14ac:dyDescent="0.25">
      <c r="A414" s="41" t="s">
        <v>3450</v>
      </c>
      <c r="B414" s="41" t="s">
        <v>3446</v>
      </c>
      <c r="C414" s="41" t="s">
        <v>2928</v>
      </c>
      <c r="D414" s="41" t="s">
        <v>3445</v>
      </c>
      <c r="E414" s="41" t="s">
        <v>2929</v>
      </c>
      <c r="F414" s="41" t="s">
        <v>2949</v>
      </c>
      <c r="G414" s="41" t="s">
        <v>2950</v>
      </c>
    </row>
    <row r="415" spans="1:7" x14ac:dyDescent="0.25">
      <c r="A415" s="41" t="s">
        <v>3451</v>
      </c>
      <c r="B415" s="41" t="s">
        <v>3446</v>
      </c>
      <c r="C415" s="41" t="s">
        <v>2928</v>
      </c>
      <c r="D415" s="41" t="s">
        <v>3445</v>
      </c>
      <c r="E415" s="41" t="s">
        <v>2929</v>
      </c>
      <c r="F415" s="41" t="s">
        <v>2949</v>
      </c>
      <c r="G415" s="41" t="s">
        <v>2950</v>
      </c>
    </row>
    <row r="416" spans="1:7" x14ac:dyDescent="0.25">
      <c r="A416" s="41" t="s">
        <v>3452</v>
      </c>
      <c r="B416" s="41" t="s">
        <v>3453</v>
      </c>
      <c r="C416" s="41" t="s">
        <v>2928</v>
      </c>
      <c r="D416" s="41" t="s">
        <v>3452</v>
      </c>
      <c r="E416" s="41" t="s">
        <v>2929</v>
      </c>
      <c r="F416" s="41" t="s">
        <v>2930</v>
      </c>
      <c r="G416" s="41" t="s">
        <v>2931</v>
      </c>
    </row>
    <row r="417" spans="1:7" x14ac:dyDescent="0.25">
      <c r="A417" s="41" t="s">
        <v>3454</v>
      </c>
      <c r="B417" s="41" t="s">
        <v>3453</v>
      </c>
      <c r="C417" s="41" t="s">
        <v>2928</v>
      </c>
      <c r="D417" s="41" t="s">
        <v>3452</v>
      </c>
      <c r="E417" s="41" t="s">
        <v>2929</v>
      </c>
      <c r="F417" s="41" t="s">
        <v>2933</v>
      </c>
      <c r="G417" s="41" t="s">
        <v>2934</v>
      </c>
    </row>
    <row r="418" spans="1:7" x14ac:dyDescent="0.25">
      <c r="A418" s="41" t="s">
        <v>3455</v>
      </c>
      <c r="B418" s="41" t="s">
        <v>3453</v>
      </c>
      <c r="C418" s="41" t="s">
        <v>2928</v>
      </c>
      <c r="D418" s="41" t="s">
        <v>3452</v>
      </c>
      <c r="E418" s="41" t="s">
        <v>2929</v>
      </c>
      <c r="F418" s="41" t="s">
        <v>2933</v>
      </c>
      <c r="G418" s="41" t="s">
        <v>2934</v>
      </c>
    </row>
    <row r="419" spans="1:7" x14ac:dyDescent="0.25">
      <c r="A419" s="41" t="s">
        <v>3456</v>
      </c>
      <c r="B419" s="41" t="s">
        <v>3453</v>
      </c>
      <c r="C419" s="41" t="s">
        <v>2928</v>
      </c>
      <c r="D419" s="41" t="s">
        <v>3452</v>
      </c>
      <c r="E419" s="41" t="s">
        <v>2929</v>
      </c>
      <c r="F419" s="41" t="s">
        <v>2933</v>
      </c>
      <c r="G419" s="41" t="s">
        <v>2934</v>
      </c>
    </row>
    <row r="420" spans="1:7" x14ac:dyDescent="0.25">
      <c r="A420" s="41" t="s">
        <v>3457</v>
      </c>
      <c r="B420" s="41" t="s">
        <v>3453</v>
      </c>
      <c r="C420" s="41" t="s">
        <v>2928</v>
      </c>
      <c r="D420" s="41" t="s">
        <v>3452</v>
      </c>
      <c r="E420" s="41" t="s">
        <v>2929</v>
      </c>
      <c r="F420" s="41" t="s">
        <v>2933</v>
      </c>
      <c r="G420" s="41" t="s">
        <v>2934</v>
      </c>
    </row>
    <row r="421" spans="1:7" x14ac:dyDescent="0.25">
      <c r="A421" s="41" t="s">
        <v>3458</v>
      </c>
      <c r="B421" s="41" t="s">
        <v>3453</v>
      </c>
      <c r="C421" s="41" t="s">
        <v>2928</v>
      </c>
      <c r="D421" s="41" t="s">
        <v>3452</v>
      </c>
      <c r="E421" s="41" t="s">
        <v>2929</v>
      </c>
      <c r="F421" s="41" t="s">
        <v>2933</v>
      </c>
      <c r="G421" s="41" t="s">
        <v>2934</v>
      </c>
    </row>
    <row r="422" spans="1:7" x14ac:dyDescent="0.25">
      <c r="A422" s="41" t="s">
        <v>3459</v>
      </c>
      <c r="B422" s="41" t="s">
        <v>3453</v>
      </c>
      <c r="C422" s="41" t="s">
        <v>2928</v>
      </c>
      <c r="D422" s="41" t="s">
        <v>3452</v>
      </c>
      <c r="E422" s="41" t="s">
        <v>2929</v>
      </c>
      <c r="F422" s="41" t="s">
        <v>2933</v>
      </c>
      <c r="G422" s="41" t="s">
        <v>2934</v>
      </c>
    </row>
    <row r="423" spans="1:7" x14ac:dyDescent="0.25">
      <c r="A423" s="41" t="s">
        <v>3460</v>
      </c>
      <c r="B423" s="41" t="s">
        <v>3453</v>
      </c>
      <c r="C423" s="41" t="s">
        <v>2928</v>
      </c>
      <c r="D423" s="41" t="s">
        <v>3452</v>
      </c>
      <c r="E423" s="41" t="s">
        <v>2929</v>
      </c>
      <c r="F423" s="41" t="s">
        <v>2933</v>
      </c>
      <c r="G423" s="41" t="s">
        <v>2934</v>
      </c>
    </row>
    <row r="424" spans="1:7" x14ac:dyDescent="0.25">
      <c r="A424" s="41" t="s">
        <v>3461</v>
      </c>
      <c r="B424" s="41" t="s">
        <v>3453</v>
      </c>
      <c r="C424" s="41" t="s">
        <v>2928</v>
      </c>
      <c r="D424" s="41" t="s">
        <v>3452</v>
      </c>
      <c r="E424" s="41" t="s">
        <v>2929</v>
      </c>
      <c r="F424" s="41" t="s">
        <v>2930</v>
      </c>
      <c r="G424" s="41" t="s">
        <v>2931</v>
      </c>
    </row>
    <row r="425" spans="1:7" x14ac:dyDescent="0.25">
      <c r="A425" s="41" t="s">
        <v>3462</v>
      </c>
      <c r="B425" s="41" t="s">
        <v>3453</v>
      </c>
      <c r="C425" s="41" t="s">
        <v>2928</v>
      </c>
      <c r="D425" s="41" t="s">
        <v>3452</v>
      </c>
      <c r="E425" s="41" t="s">
        <v>2929</v>
      </c>
      <c r="F425" s="41" t="s">
        <v>2930</v>
      </c>
      <c r="G425" s="41" t="s">
        <v>2931</v>
      </c>
    </row>
    <row r="426" spans="1:7" x14ac:dyDescent="0.25">
      <c r="A426" s="41" t="s">
        <v>3463</v>
      </c>
      <c r="B426" s="41" t="s">
        <v>3453</v>
      </c>
      <c r="C426" s="41" t="s">
        <v>2928</v>
      </c>
      <c r="D426" s="41" t="s">
        <v>3452</v>
      </c>
      <c r="E426" s="41" t="s">
        <v>2929</v>
      </c>
      <c r="F426" s="41" t="s">
        <v>2930</v>
      </c>
      <c r="G426" s="41" t="s">
        <v>2931</v>
      </c>
    </row>
    <row r="427" spans="1:7" x14ac:dyDescent="0.25">
      <c r="A427" s="41" t="s">
        <v>3464</v>
      </c>
      <c r="B427" s="41" t="s">
        <v>3453</v>
      </c>
      <c r="C427" s="41" t="s">
        <v>2928</v>
      </c>
      <c r="D427" s="41" t="s">
        <v>3452</v>
      </c>
      <c r="E427" s="41" t="s">
        <v>2929</v>
      </c>
      <c r="F427" s="41" t="s">
        <v>2930</v>
      </c>
      <c r="G427" s="41" t="s">
        <v>2931</v>
      </c>
    </row>
    <row r="428" spans="1:7" x14ac:dyDescent="0.25">
      <c r="A428" s="41" t="s">
        <v>3465</v>
      </c>
      <c r="B428" s="41" t="s">
        <v>3453</v>
      </c>
      <c r="C428" s="41" t="s">
        <v>2928</v>
      </c>
      <c r="D428" s="41" t="s">
        <v>3452</v>
      </c>
      <c r="E428" s="41" t="s">
        <v>2929</v>
      </c>
      <c r="F428" s="41" t="s">
        <v>2930</v>
      </c>
      <c r="G428" s="41" t="s">
        <v>2931</v>
      </c>
    </row>
    <row r="429" spans="1:7" x14ac:dyDescent="0.25">
      <c r="A429" s="41" t="s">
        <v>3466</v>
      </c>
      <c r="B429" s="41" t="s">
        <v>3453</v>
      </c>
      <c r="C429" s="41" t="s">
        <v>2928</v>
      </c>
      <c r="D429" s="41" t="s">
        <v>3452</v>
      </c>
      <c r="E429" s="41" t="s">
        <v>2929</v>
      </c>
      <c r="F429" s="41" t="s">
        <v>2930</v>
      </c>
      <c r="G429" s="41" t="s">
        <v>2931</v>
      </c>
    </row>
    <row r="430" spans="1:7" x14ac:dyDescent="0.25">
      <c r="A430" s="41" t="s">
        <v>3467</v>
      </c>
      <c r="B430" s="41" t="s">
        <v>3453</v>
      </c>
      <c r="C430" s="41" t="s">
        <v>2928</v>
      </c>
      <c r="D430" s="41" t="s">
        <v>3452</v>
      </c>
      <c r="E430" s="41" t="s">
        <v>2929</v>
      </c>
      <c r="F430" s="41" t="s">
        <v>2930</v>
      </c>
      <c r="G430" s="41" t="s">
        <v>2931</v>
      </c>
    </row>
    <row r="431" spans="1:7" x14ac:dyDescent="0.25">
      <c r="A431" s="41" t="s">
        <v>3468</v>
      </c>
      <c r="B431" s="41" t="s">
        <v>3453</v>
      </c>
      <c r="C431" s="41" t="s">
        <v>2928</v>
      </c>
      <c r="D431" s="41" t="s">
        <v>3452</v>
      </c>
      <c r="E431" s="41" t="s">
        <v>2929</v>
      </c>
      <c r="F431" s="41" t="s">
        <v>2949</v>
      </c>
      <c r="G431" s="41" t="s">
        <v>2950</v>
      </c>
    </row>
    <row r="432" spans="1:7" x14ac:dyDescent="0.25">
      <c r="A432" s="41" t="s">
        <v>3469</v>
      </c>
      <c r="B432" s="41" t="s">
        <v>3453</v>
      </c>
      <c r="C432" s="41" t="s">
        <v>2928</v>
      </c>
      <c r="D432" s="41" t="s">
        <v>3452</v>
      </c>
      <c r="E432" s="41" t="s">
        <v>2929</v>
      </c>
      <c r="F432" s="41" t="s">
        <v>2949</v>
      </c>
      <c r="G432" s="41" t="s">
        <v>2950</v>
      </c>
    </row>
    <row r="433" spans="1:7" x14ac:dyDescent="0.25">
      <c r="A433" s="41" t="s">
        <v>3470</v>
      </c>
      <c r="B433" s="41" t="s">
        <v>3453</v>
      </c>
      <c r="C433" s="41" t="s">
        <v>2928</v>
      </c>
      <c r="D433" s="41" t="s">
        <v>3452</v>
      </c>
      <c r="E433" s="41" t="s">
        <v>2929</v>
      </c>
      <c r="F433" s="41" t="s">
        <v>2949</v>
      </c>
      <c r="G433" s="41" t="s">
        <v>2950</v>
      </c>
    </row>
    <row r="434" spans="1:7" x14ac:dyDescent="0.25">
      <c r="A434" s="41" t="s">
        <v>3471</v>
      </c>
      <c r="B434" s="41" t="s">
        <v>3453</v>
      </c>
      <c r="C434" s="41" t="s">
        <v>2928</v>
      </c>
      <c r="D434" s="41" t="s">
        <v>3452</v>
      </c>
      <c r="E434" s="41" t="s">
        <v>2929</v>
      </c>
      <c r="F434" s="41" t="s">
        <v>2949</v>
      </c>
      <c r="G434" s="41" t="s">
        <v>2950</v>
      </c>
    </row>
    <row r="435" spans="1:7" x14ac:dyDescent="0.25">
      <c r="A435" s="41" t="s">
        <v>3472</v>
      </c>
      <c r="B435" s="41" t="s">
        <v>3453</v>
      </c>
      <c r="C435" s="41" t="s">
        <v>2928</v>
      </c>
      <c r="D435" s="41" t="s">
        <v>3452</v>
      </c>
      <c r="E435" s="41" t="s">
        <v>2929</v>
      </c>
      <c r="F435" s="41" t="s">
        <v>2949</v>
      </c>
      <c r="G435" s="41" t="s">
        <v>2950</v>
      </c>
    </row>
    <row r="436" spans="1:7" x14ac:dyDescent="0.25">
      <c r="A436" s="41" t="s">
        <v>3473</v>
      </c>
      <c r="B436" s="41" t="s">
        <v>3453</v>
      </c>
      <c r="C436" s="41" t="s">
        <v>2928</v>
      </c>
      <c r="D436" s="41" t="s">
        <v>3452</v>
      </c>
      <c r="E436" s="41" t="s">
        <v>2929</v>
      </c>
      <c r="F436" s="41" t="s">
        <v>2949</v>
      </c>
      <c r="G436" s="41" t="s">
        <v>2950</v>
      </c>
    </row>
    <row r="437" spans="1:7" x14ac:dyDescent="0.25">
      <c r="A437" s="41" t="s">
        <v>3474</v>
      </c>
      <c r="B437" s="41" t="s">
        <v>3453</v>
      </c>
      <c r="C437" s="41" t="s">
        <v>2928</v>
      </c>
      <c r="D437" s="41" t="s">
        <v>3452</v>
      </c>
      <c r="E437" s="41" t="s">
        <v>2929</v>
      </c>
      <c r="F437" s="41" t="s">
        <v>2949</v>
      </c>
      <c r="G437" s="41" t="s">
        <v>2950</v>
      </c>
    </row>
    <row r="438" spans="1:7" x14ac:dyDescent="0.25">
      <c r="A438" s="41" t="s">
        <v>3475</v>
      </c>
      <c r="B438" s="41" t="s">
        <v>3476</v>
      </c>
      <c r="C438" s="41" t="s">
        <v>2928</v>
      </c>
      <c r="D438" s="41" t="s">
        <v>3475</v>
      </c>
      <c r="E438" s="41" t="s">
        <v>2929</v>
      </c>
      <c r="F438" s="41" t="s">
        <v>2930</v>
      </c>
      <c r="G438" s="41" t="s">
        <v>2931</v>
      </c>
    </row>
    <row r="439" spans="1:7" x14ac:dyDescent="0.25">
      <c r="A439" s="41" t="s">
        <v>3477</v>
      </c>
      <c r="B439" s="41" t="s">
        <v>3476</v>
      </c>
      <c r="C439" s="41" t="s">
        <v>2928</v>
      </c>
      <c r="D439" s="41" t="s">
        <v>3475</v>
      </c>
      <c r="E439" s="41" t="s">
        <v>2929</v>
      </c>
      <c r="F439" s="41" t="s">
        <v>2933</v>
      </c>
      <c r="G439" s="41" t="s">
        <v>2934</v>
      </c>
    </row>
    <row r="440" spans="1:7" x14ac:dyDescent="0.25">
      <c r="A440" s="41" t="s">
        <v>3478</v>
      </c>
      <c r="B440" s="41" t="s">
        <v>3476</v>
      </c>
      <c r="C440" s="41" t="s">
        <v>2928</v>
      </c>
      <c r="D440" s="41" t="s">
        <v>3475</v>
      </c>
      <c r="E440" s="41" t="s">
        <v>2929</v>
      </c>
      <c r="F440" s="41" t="s">
        <v>2933</v>
      </c>
      <c r="G440" s="41" t="s">
        <v>2934</v>
      </c>
    </row>
    <row r="441" spans="1:7" x14ac:dyDescent="0.25">
      <c r="A441" s="41" t="s">
        <v>3479</v>
      </c>
      <c r="B441" s="41" t="s">
        <v>3476</v>
      </c>
      <c r="C441" s="41" t="s">
        <v>2928</v>
      </c>
      <c r="D441" s="41" t="s">
        <v>3475</v>
      </c>
      <c r="E441" s="41" t="s">
        <v>2929</v>
      </c>
      <c r="F441" s="41" t="s">
        <v>2933</v>
      </c>
      <c r="G441" s="41" t="s">
        <v>2934</v>
      </c>
    </row>
    <row r="442" spans="1:7" x14ac:dyDescent="0.25">
      <c r="A442" s="41" t="s">
        <v>3480</v>
      </c>
      <c r="B442" s="41" t="s">
        <v>3476</v>
      </c>
      <c r="C442" s="41" t="s">
        <v>2928</v>
      </c>
      <c r="D442" s="41" t="s">
        <v>3475</v>
      </c>
      <c r="E442" s="41" t="s">
        <v>2929</v>
      </c>
      <c r="F442" s="41" t="s">
        <v>2933</v>
      </c>
      <c r="G442" s="41" t="s">
        <v>2934</v>
      </c>
    </row>
    <row r="443" spans="1:7" x14ac:dyDescent="0.25">
      <c r="A443" s="41" t="s">
        <v>3481</v>
      </c>
      <c r="B443" s="41" t="s">
        <v>3476</v>
      </c>
      <c r="C443" s="41" t="s">
        <v>2928</v>
      </c>
      <c r="D443" s="41" t="s">
        <v>3475</v>
      </c>
      <c r="E443" s="41" t="s">
        <v>2929</v>
      </c>
      <c r="F443" s="41" t="s">
        <v>2933</v>
      </c>
      <c r="G443" s="41" t="s">
        <v>2934</v>
      </c>
    </row>
    <row r="444" spans="1:7" x14ac:dyDescent="0.25">
      <c r="A444" s="41" t="s">
        <v>3482</v>
      </c>
      <c r="B444" s="41" t="s">
        <v>3476</v>
      </c>
      <c r="C444" s="41" t="s">
        <v>2928</v>
      </c>
      <c r="D444" s="41" t="s">
        <v>3475</v>
      </c>
      <c r="E444" s="41" t="s">
        <v>2929</v>
      </c>
      <c r="F444" s="41" t="s">
        <v>2933</v>
      </c>
      <c r="G444" s="41" t="s">
        <v>2934</v>
      </c>
    </row>
    <row r="445" spans="1:7" x14ac:dyDescent="0.25">
      <c r="A445" s="41" t="s">
        <v>3483</v>
      </c>
      <c r="B445" s="41" t="s">
        <v>3476</v>
      </c>
      <c r="C445" s="41" t="s">
        <v>2928</v>
      </c>
      <c r="D445" s="41" t="s">
        <v>3475</v>
      </c>
      <c r="E445" s="41" t="s">
        <v>2929</v>
      </c>
      <c r="F445" s="41" t="s">
        <v>2933</v>
      </c>
      <c r="G445" s="41" t="s">
        <v>2934</v>
      </c>
    </row>
    <row r="446" spans="1:7" x14ac:dyDescent="0.25">
      <c r="A446" s="41" t="s">
        <v>3484</v>
      </c>
      <c r="B446" s="41" t="s">
        <v>3476</v>
      </c>
      <c r="C446" s="41" t="s">
        <v>2928</v>
      </c>
      <c r="D446" s="41" t="s">
        <v>3475</v>
      </c>
      <c r="E446" s="41" t="s">
        <v>2929</v>
      </c>
      <c r="F446" s="41" t="s">
        <v>2930</v>
      </c>
      <c r="G446" s="41" t="s">
        <v>2931</v>
      </c>
    </row>
    <row r="447" spans="1:7" x14ac:dyDescent="0.25">
      <c r="A447" s="41" t="s">
        <v>3485</v>
      </c>
      <c r="B447" s="41" t="s">
        <v>3476</v>
      </c>
      <c r="C447" s="41" t="s">
        <v>2928</v>
      </c>
      <c r="D447" s="41" t="s">
        <v>3475</v>
      </c>
      <c r="E447" s="41" t="s">
        <v>2929</v>
      </c>
      <c r="F447" s="41" t="s">
        <v>2930</v>
      </c>
      <c r="G447" s="41" t="s">
        <v>2931</v>
      </c>
    </row>
    <row r="448" spans="1:7" x14ac:dyDescent="0.25">
      <c r="A448" s="41" t="s">
        <v>3486</v>
      </c>
      <c r="B448" s="41" t="s">
        <v>3476</v>
      </c>
      <c r="C448" s="41" t="s">
        <v>2928</v>
      </c>
      <c r="D448" s="41" t="s">
        <v>3475</v>
      </c>
      <c r="E448" s="41" t="s">
        <v>2929</v>
      </c>
      <c r="F448" s="41" t="s">
        <v>2930</v>
      </c>
      <c r="G448" s="41" t="s">
        <v>2931</v>
      </c>
    </row>
    <row r="449" spans="1:7" x14ac:dyDescent="0.25">
      <c r="A449" s="41" t="s">
        <v>3487</v>
      </c>
      <c r="B449" s="41" t="s">
        <v>3476</v>
      </c>
      <c r="C449" s="41" t="s">
        <v>2928</v>
      </c>
      <c r="D449" s="41" t="s">
        <v>3475</v>
      </c>
      <c r="E449" s="41" t="s">
        <v>2929</v>
      </c>
      <c r="F449" s="41" t="s">
        <v>2930</v>
      </c>
      <c r="G449" s="41" t="s">
        <v>2931</v>
      </c>
    </row>
    <row r="450" spans="1:7" x14ac:dyDescent="0.25">
      <c r="A450" s="41" t="s">
        <v>3488</v>
      </c>
      <c r="B450" s="41" t="s">
        <v>3476</v>
      </c>
      <c r="C450" s="41" t="s">
        <v>2928</v>
      </c>
      <c r="D450" s="41" t="s">
        <v>3475</v>
      </c>
      <c r="E450" s="41" t="s">
        <v>2929</v>
      </c>
      <c r="F450" s="41" t="s">
        <v>2930</v>
      </c>
      <c r="G450" s="41" t="s">
        <v>2931</v>
      </c>
    </row>
    <row r="451" spans="1:7" x14ac:dyDescent="0.25">
      <c r="A451" s="41" t="s">
        <v>3489</v>
      </c>
      <c r="B451" s="41" t="s">
        <v>3476</v>
      </c>
      <c r="C451" s="41" t="s">
        <v>2928</v>
      </c>
      <c r="D451" s="41" t="s">
        <v>3475</v>
      </c>
      <c r="E451" s="41" t="s">
        <v>2929</v>
      </c>
      <c r="F451" s="41" t="s">
        <v>2930</v>
      </c>
      <c r="G451" s="41" t="s">
        <v>2931</v>
      </c>
    </row>
    <row r="452" spans="1:7" x14ac:dyDescent="0.25">
      <c r="A452" s="41" t="s">
        <v>3490</v>
      </c>
      <c r="B452" s="41" t="s">
        <v>3476</v>
      </c>
      <c r="C452" s="41" t="s">
        <v>2928</v>
      </c>
      <c r="D452" s="41" t="s">
        <v>3475</v>
      </c>
      <c r="E452" s="41" t="s">
        <v>2929</v>
      </c>
      <c r="F452" s="41" t="s">
        <v>2930</v>
      </c>
      <c r="G452" s="41" t="s">
        <v>2931</v>
      </c>
    </row>
    <row r="453" spans="1:7" x14ac:dyDescent="0.25">
      <c r="A453" s="41" t="s">
        <v>3491</v>
      </c>
      <c r="B453" s="41" t="s">
        <v>3476</v>
      </c>
      <c r="C453" s="41" t="s">
        <v>2928</v>
      </c>
      <c r="D453" s="41" t="s">
        <v>3475</v>
      </c>
      <c r="E453" s="41" t="s">
        <v>2929</v>
      </c>
      <c r="F453" s="41" t="s">
        <v>2949</v>
      </c>
      <c r="G453" s="41" t="s">
        <v>2950</v>
      </c>
    </row>
    <row r="454" spans="1:7" x14ac:dyDescent="0.25">
      <c r="A454" s="41" t="s">
        <v>3492</v>
      </c>
      <c r="B454" s="41" t="s">
        <v>3476</v>
      </c>
      <c r="C454" s="41" t="s">
        <v>2928</v>
      </c>
      <c r="D454" s="41" t="s">
        <v>3475</v>
      </c>
      <c r="E454" s="41" t="s">
        <v>2929</v>
      </c>
      <c r="F454" s="41" t="s">
        <v>2949</v>
      </c>
      <c r="G454" s="41" t="s">
        <v>2950</v>
      </c>
    </row>
    <row r="455" spans="1:7" x14ac:dyDescent="0.25">
      <c r="A455" s="41" t="s">
        <v>3493</v>
      </c>
      <c r="B455" s="41" t="s">
        <v>3476</v>
      </c>
      <c r="C455" s="41" t="s">
        <v>2928</v>
      </c>
      <c r="D455" s="41" t="s">
        <v>3475</v>
      </c>
      <c r="E455" s="41" t="s">
        <v>2929</v>
      </c>
      <c r="F455" s="41" t="s">
        <v>2949</v>
      </c>
      <c r="G455" s="41" t="s">
        <v>2950</v>
      </c>
    </row>
    <row r="456" spans="1:7" x14ac:dyDescent="0.25">
      <c r="A456" s="41" t="s">
        <v>3494</v>
      </c>
      <c r="B456" s="41" t="s">
        <v>3476</v>
      </c>
      <c r="C456" s="41" t="s">
        <v>2928</v>
      </c>
      <c r="D456" s="41" t="s">
        <v>3475</v>
      </c>
      <c r="E456" s="41" t="s">
        <v>2929</v>
      </c>
      <c r="F456" s="41" t="s">
        <v>2949</v>
      </c>
      <c r="G456" s="41" t="s">
        <v>2950</v>
      </c>
    </row>
    <row r="457" spans="1:7" x14ac:dyDescent="0.25">
      <c r="A457" s="41" t="s">
        <v>3495</v>
      </c>
      <c r="B457" s="41" t="s">
        <v>3476</v>
      </c>
      <c r="C457" s="41" t="s">
        <v>2928</v>
      </c>
      <c r="D457" s="41" t="s">
        <v>3475</v>
      </c>
      <c r="E457" s="41" t="s">
        <v>2929</v>
      </c>
      <c r="F457" s="41" t="s">
        <v>2949</v>
      </c>
      <c r="G457" s="41" t="s">
        <v>2950</v>
      </c>
    </row>
    <row r="458" spans="1:7" x14ac:dyDescent="0.25">
      <c r="A458" s="41" t="s">
        <v>3496</v>
      </c>
      <c r="B458" s="41" t="s">
        <v>3476</v>
      </c>
      <c r="C458" s="41" t="s">
        <v>2928</v>
      </c>
      <c r="D458" s="41" t="s">
        <v>3475</v>
      </c>
      <c r="E458" s="41" t="s">
        <v>2929</v>
      </c>
      <c r="F458" s="41" t="s">
        <v>2949</v>
      </c>
      <c r="G458" s="41" t="s">
        <v>2950</v>
      </c>
    </row>
    <row r="459" spans="1:7" x14ac:dyDescent="0.25">
      <c r="A459" s="41" t="s">
        <v>3497</v>
      </c>
      <c r="B459" s="41" t="s">
        <v>3476</v>
      </c>
      <c r="C459" s="41" t="s">
        <v>2928</v>
      </c>
      <c r="D459" s="41" t="s">
        <v>3475</v>
      </c>
      <c r="E459" s="41" t="s">
        <v>2929</v>
      </c>
      <c r="F459" s="41" t="s">
        <v>2949</v>
      </c>
      <c r="G459" s="41" t="s">
        <v>2950</v>
      </c>
    </row>
    <row r="460" spans="1:7" x14ac:dyDescent="0.25">
      <c r="A460" s="41" t="s">
        <v>3498</v>
      </c>
      <c r="B460" s="41" t="s">
        <v>3499</v>
      </c>
      <c r="C460" s="41" t="s">
        <v>2928</v>
      </c>
      <c r="D460" s="41" t="s">
        <v>3498</v>
      </c>
      <c r="E460" s="41" t="s">
        <v>2929</v>
      </c>
      <c r="F460" s="41" t="s">
        <v>2930</v>
      </c>
      <c r="G460" s="41" t="s">
        <v>2931</v>
      </c>
    </row>
    <row r="461" spans="1:7" x14ac:dyDescent="0.25">
      <c r="A461" s="41" t="s">
        <v>3500</v>
      </c>
      <c r="B461" s="41" t="s">
        <v>3499</v>
      </c>
      <c r="C461" s="41" t="s">
        <v>2928</v>
      </c>
      <c r="D461" s="41" t="s">
        <v>3498</v>
      </c>
      <c r="E461" s="41" t="s">
        <v>2929</v>
      </c>
      <c r="F461" s="41" t="s">
        <v>2930</v>
      </c>
      <c r="G461" s="41" t="s">
        <v>2931</v>
      </c>
    </row>
    <row r="462" spans="1:7" x14ac:dyDescent="0.25">
      <c r="A462" s="41" t="s">
        <v>3501</v>
      </c>
      <c r="B462" s="41" t="s">
        <v>3502</v>
      </c>
      <c r="C462" s="41" t="s">
        <v>2928</v>
      </c>
      <c r="D462" s="41" t="s">
        <v>3501</v>
      </c>
      <c r="E462" s="41" t="s">
        <v>2929</v>
      </c>
      <c r="F462" s="41" t="s">
        <v>2930</v>
      </c>
      <c r="G462" s="41" t="s">
        <v>2931</v>
      </c>
    </row>
    <row r="463" spans="1:7" x14ac:dyDescent="0.25">
      <c r="A463" s="41" t="s">
        <v>3503</v>
      </c>
      <c r="B463" s="41" t="s">
        <v>3502</v>
      </c>
      <c r="C463" s="41" t="s">
        <v>2928</v>
      </c>
      <c r="D463" s="41" t="s">
        <v>3501</v>
      </c>
      <c r="E463" s="41" t="s">
        <v>2929</v>
      </c>
      <c r="F463" s="41" t="s">
        <v>2933</v>
      </c>
      <c r="G463" s="41" t="s">
        <v>2934</v>
      </c>
    </row>
    <row r="464" spans="1:7" x14ac:dyDescent="0.25">
      <c r="A464" s="41" t="s">
        <v>3504</v>
      </c>
      <c r="B464" s="41" t="s">
        <v>3502</v>
      </c>
      <c r="C464" s="41" t="s">
        <v>2928</v>
      </c>
      <c r="D464" s="41" t="s">
        <v>3501</v>
      </c>
      <c r="E464" s="41" t="s">
        <v>2929</v>
      </c>
      <c r="F464" s="41" t="s">
        <v>2930</v>
      </c>
      <c r="G464" s="41" t="s">
        <v>2931</v>
      </c>
    </row>
    <row r="465" spans="1:7" x14ac:dyDescent="0.25">
      <c r="A465" s="41" t="s">
        <v>3505</v>
      </c>
      <c r="B465" s="41" t="s">
        <v>3502</v>
      </c>
      <c r="C465" s="41" t="s">
        <v>2928</v>
      </c>
      <c r="D465" s="41" t="s">
        <v>3501</v>
      </c>
      <c r="E465" s="41" t="s">
        <v>2929</v>
      </c>
      <c r="F465" s="41" t="s">
        <v>2949</v>
      </c>
      <c r="G465" s="41" t="s">
        <v>2950</v>
      </c>
    </row>
    <row r="466" spans="1:7" x14ac:dyDescent="0.25">
      <c r="A466" s="41" t="s">
        <v>3506</v>
      </c>
      <c r="B466" s="41" t="s">
        <v>3507</v>
      </c>
      <c r="C466" s="41" t="s">
        <v>2928</v>
      </c>
      <c r="D466" s="41" t="s">
        <v>3506</v>
      </c>
      <c r="E466" s="41" t="s">
        <v>2929</v>
      </c>
      <c r="F466" s="41" t="s">
        <v>2930</v>
      </c>
      <c r="G466" s="41" t="s">
        <v>2931</v>
      </c>
    </row>
    <row r="467" spans="1:7" x14ac:dyDescent="0.25">
      <c r="A467" s="41" t="s">
        <v>3508</v>
      </c>
      <c r="B467" s="41" t="s">
        <v>3507</v>
      </c>
      <c r="C467" s="41" t="s">
        <v>2928</v>
      </c>
      <c r="D467" s="41" t="s">
        <v>3506</v>
      </c>
      <c r="E467" s="41" t="s">
        <v>2929</v>
      </c>
      <c r="F467" s="41" t="s">
        <v>2933</v>
      </c>
      <c r="G467" s="41" t="s">
        <v>2934</v>
      </c>
    </row>
    <row r="468" spans="1:7" x14ac:dyDescent="0.25">
      <c r="A468" s="41" t="s">
        <v>3509</v>
      </c>
      <c r="B468" s="41" t="s">
        <v>3507</v>
      </c>
      <c r="C468" s="41" t="s">
        <v>2928</v>
      </c>
      <c r="D468" s="41" t="s">
        <v>3506</v>
      </c>
      <c r="E468" s="41" t="s">
        <v>2929</v>
      </c>
      <c r="F468" s="41" t="s">
        <v>2933</v>
      </c>
      <c r="G468" s="41" t="s">
        <v>2934</v>
      </c>
    </row>
    <row r="469" spans="1:7" x14ac:dyDescent="0.25">
      <c r="A469" s="41" t="s">
        <v>3510</v>
      </c>
      <c r="B469" s="41" t="s">
        <v>3507</v>
      </c>
      <c r="C469" s="41" t="s">
        <v>2928</v>
      </c>
      <c r="D469" s="41" t="s">
        <v>3506</v>
      </c>
      <c r="E469" s="41" t="s">
        <v>2929</v>
      </c>
      <c r="F469" s="41" t="s">
        <v>2933</v>
      </c>
      <c r="G469" s="41" t="s">
        <v>2934</v>
      </c>
    </row>
    <row r="470" spans="1:7" x14ac:dyDescent="0.25">
      <c r="A470" s="41" t="s">
        <v>3511</v>
      </c>
      <c r="B470" s="41" t="s">
        <v>3507</v>
      </c>
      <c r="C470" s="41" t="s">
        <v>2928</v>
      </c>
      <c r="D470" s="41" t="s">
        <v>3506</v>
      </c>
      <c r="E470" s="41" t="s">
        <v>2929</v>
      </c>
      <c r="F470" s="41" t="s">
        <v>2933</v>
      </c>
      <c r="G470" s="41" t="s">
        <v>2934</v>
      </c>
    </row>
    <row r="471" spans="1:7" x14ac:dyDescent="0.25">
      <c r="A471" s="41" t="s">
        <v>3512</v>
      </c>
      <c r="B471" s="41" t="s">
        <v>3507</v>
      </c>
      <c r="C471" s="41" t="s">
        <v>2928</v>
      </c>
      <c r="D471" s="41" t="s">
        <v>3506</v>
      </c>
      <c r="E471" s="41" t="s">
        <v>2929</v>
      </c>
      <c r="F471" s="41" t="s">
        <v>2933</v>
      </c>
      <c r="G471" s="41" t="s">
        <v>2934</v>
      </c>
    </row>
    <row r="472" spans="1:7" x14ac:dyDescent="0.25">
      <c r="A472" s="41" t="s">
        <v>3513</v>
      </c>
      <c r="B472" s="41" t="s">
        <v>3507</v>
      </c>
      <c r="C472" s="41" t="s">
        <v>2928</v>
      </c>
      <c r="D472" s="41" t="s">
        <v>3506</v>
      </c>
      <c r="E472" s="41" t="s">
        <v>2929</v>
      </c>
      <c r="F472" s="41" t="s">
        <v>2933</v>
      </c>
      <c r="G472" s="41" t="s">
        <v>2934</v>
      </c>
    </row>
    <row r="473" spans="1:7" x14ac:dyDescent="0.25">
      <c r="A473" s="41" t="s">
        <v>3514</v>
      </c>
      <c r="B473" s="41" t="s">
        <v>3507</v>
      </c>
      <c r="C473" s="41" t="s">
        <v>2928</v>
      </c>
      <c r="D473" s="41" t="s">
        <v>3506</v>
      </c>
      <c r="E473" s="41" t="s">
        <v>2929</v>
      </c>
      <c r="F473" s="41" t="s">
        <v>2933</v>
      </c>
      <c r="G473" s="41" t="s">
        <v>2934</v>
      </c>
    </row>
    <row r="474" spans="1:7" x14ac:dyDescent="0.25">
      <c r="A474" s="41" t="s">
        <v>3515</v>
      </c>
      <c r="B474" s="41" t="s">
        <v>3507</v>
      </c>
      <c r="C474" s="41" t="s">
        <v>2928</v>
      </c>
      <c r="D474" s="41" t="s">
        <v>3506</v>
      </c>
      <c r="E474" s="41" t="s">
        <v>2929</v>
      </c>
      <c r="F474" s="41" t="s">
        <v>2930</v>
      </c>
      <c r="G474" s="41" t="s">
        <v>2931</v>
      </c>
    </row>
    <row r="475" spans="1:7" x14ac:dyDescent="0.25">
      <c r="A475" s="41" t="s">
        <v>3516</v>
      </c>
      <c r="B475" s="41" t="s">
        <v>3507</v>
      </c>
      <c r="C475" s="41" t="s">
        <v>2928</v>
      </c>
      <c r="D475" s="41" t="s">
        <v>3506</v>
      </c>
      <c r="E475" s="41" t="s">
        <v>2929</v>
      </c>
      <c r="F475" s="41" t="s">
        <v>2930</v>
      </c>
      <c r="G475" s="41" t="s">
        <v>2931</v>
      </c>
    </row>
    <row r="476" spans="1:7" x14ac:dyDescent="0.25">
      <c r="A476" s="41" t="s">
        <v>3517</v>
      </c>
      <c r="B476" s="41" t="s">
        <v>3507</v>
      </c>
      <c r="C476" s="41" t="s">
        <v>2928</v>
      </c>
      <c r="D476" s="41" t="s">
        <v>3506</v>
      </c>
      <c r="E476" s="41" t="s">
        <v>2929</v>
      </c>
      <c r="F476" s="41" t="s">
        <v>2930</v>
      </c>
      <c r="G476" s="41" t="s">
        <v>2931</v>
      </c>
    </row>
    <row r="477" spans="1:7" x14ac:dyDescent="0.25">
      <c r="A477" s="41" t="s">
        <v>3518</v>
      </c>
      <c r="B477" s="41" t="s">
        <v>3507</v>
      </c>
      <c r="C477" s="41" t="s">
        <v>2928</v>
      </c>
      <c r="D477" s="41" t="s">
        <v>3506</v>
      </c>
      <c r="E477" s="41" t="s">
        <v>2929</v>
      </c>
      <c r="F477" s="41" t="s">
        <v>2930</v>
      </c>
      <c r="G477" s="41" t="s">
        <v>2931</v>
      </c>
    </row>
    <row r="478" spans="1:7" x14ac:dyDescent="0.25">
      <c r="A478" s="41" t="s">
        <v>3519</v>
      </c>
      <c r="B478" s="41" t="s">
        <v>3507</v>
      </c>
      <c r="C478" s="41" t="s">
        <v>2928</v>
      </c>
      <c r="D478" s="41" t="s">
        <v>3506</v>
      </c>
      <c r="E478" s="41" t="s">
        <v>2929</v>
      </c>
      <c r="F478" s="41" t="s">
        <v>2930</v>
      </c>
      <c r="G478" s="41" t="s">
        <v>2931</v>
      </c>
    </row>
    <row r="479" spans="1:7" x14ac:dyDescent="0.25">
      <c r="A479" s="41" t="s">
        <v>3520</v>
      </c>
      <c r="B479" s="41" t="s">
        <v>3507</v>
      </c>
      <c r="C479" s="41" t="s">
        <v>2928</v>
      </c>
      <c r="D479" s="41" t="s">
        <v>3506</v>
      </c>
      <c r="E479" s="41" t="s">
        <v>2929</v>
      </c>
      <c r="F479" s="41" t="s">
        <v>2930</v>
      </c>
      <c r="G479" s="41" t="s">
        <v>2931</v>
      </c>
    </row>
    <row r="480" spans="1:7" x14ac:dyDescent="0.25">
      <c r="A480" s="41" t="s">
        <v>3521</v>
      </c>
      <c r="B480" s="41" t="s">
        <v>3507</v>
      </c>
      <c r="C480" s="41" t="s">
        <v>2928</v>
      </c>
      <c r="D480" s="41" t="s">
        <v>3506</v>
      </c>
      <c r="E480" s="41" t="s">
        <v>2929</v>
      </c>
      <c r="F480" s="41" t="s">
        <v>2930</v>
      </c>
      <c r="G480" s="41" t="s">
        <v>2931</v>
      </c>
    </row>
    <row r="481" spans="1:7" x14ac:dyDescent="0.25">
      <c r="A481" s="41" t="s">
        <v>3522</v>
      </c>
      <c r="B481" s="41" t="s">
        <v>3507</v>
      </c>
      <c r="C481" s="41" t="s">
        <v>2928</v>
      </c>
      <c r="D481" s="41" t="s">
        <v>3506</v>
      </c>
      <c r="E481" s="41" t="s">
        <v>2929</v>
      </c>
      <c r="F481" s="41" t="s">
        <v>2949</v>
      </c>
      <c r="G481" s="41" t="s">
        <v>2950</v>
      </c>
    </row>
    <row r="482" spans="1:7" x14ac:dyDescent="0.25">
      <c r="A482" s="41" t="s">
        <v>3523</v>
      </c>
      <c r="B482" s="41" t="s">
        <v>3507</v>
      </c>
      <c r="C482" s="41" t="s">
        <v>2928</v>
      </c>
      <c r="D482" s="41" t="s">
        <v>3506</v>
      </c>
      <c r="E482" s="41" t="s">
        <v>2929</v>
      </c>
      <c r="F482" s="41" t="s">
        <v>2949</v>
      </c>
      <c r="G482" s="41" t="s">
        <v>2950</v>
      </c>
    </row>
    <row r="483" spans="1:7" x14ac:dyDescent="0.25">
      <c r="A483" s="41" t="s">
        <v>3524</v>
      </c>
      <c r="B483" s="41" t="s">
        <v>3507</v>
      </c>
      <c r="C483" s="41" t="s">
        <v>2928</v>
      </c>
      <c r="D483" s="41" t="s">
        <v>3506</v>
      </c>
      <c r="E483" s="41" t="s">
        <v>2929</v>
      </c>
      <c r="F483" s="41" t="s">
        <v>2949</v>
      </c>
      <c r="G483" s="41" t="s">
        <v>2950</v>
      </c>
    </row>
    <row r="484" spans="1:7" x14ac:dyDescent="0.25">
      <c r="A484" s="41" t="s">
        <v>3525</v>
      </c>
      <c r="B484" s="41" t="s">
        <v>3507</v>
      </c>
      <c r="C484" s="41" t="s">
        <v>2928</v>
      </c>
      <c r="D484" s="41" t="s">
        <v>3506</v>
      </c>
      <c r="E484" s="41" t="s">
        <v>2929</v>
      </c>
      <c r="F484" s="41" t="s">
        <v>2949</v>
      </c>
      <c r="G484" s="41" t="s">
        <v>2950</v>
      </c>
    </row>
    <row r="485" spans="1:7" x14ac:dyDescent="0.25">
      <c r="A485" s="41" t="s">
        <v>3526</v>
      </c>
      <c r="B485" s="41" t="s">
        <v>3507</v>
      </c>
      <c r="C485" s="41" t="s">
        <v>2928</v>
      </c>
      <c r="D485" s="41" t="s">
        <v>3506</v>
      </c>
      <c r="E485" s="41" t="s">
        <v>2929</v>
      </c>
      <c r="F485" s="41" t="s">
        <v>2949</v>
      </c>
      <c r="G485" s="41" t="s">
        <v>2950</v>
      </c>
    </row>
    <row r="486" spans="1:7" x14ac:dyDescent="0.25">
      <c r="A486" s="41" t="s">
        <v>3527</v>
      </c>
      <c r="B486" s="41" t="s">
        <v>3507</v>
      </c>
      <c r="C486" s="41" t="s">
        <v>2928</v>
      </c>
      <c r="D486" s="41" t="s">
        <v>3506</v>
      </c>
      <c r="E486" s="41" t="s">
        <v>2929</v>
      </c>
      <c r="F486" s="41" t="s">
        <v>2949</v>
      </c>
      <c r="G486" s="41" t="s">
        <v>2950</v>
      </c>
    </row>
    <row r="487" spans="1:7" x14ac:dyDescent="0.25">
      <c r="A487" s="41" t="s">
        <v>3528</v>
      </c>
      <c r="B487" s="41" t="s">
        <v>3507</v>
      </c>
      <c r="C487" s="41" t="s">
        <v>2928</v>
      </c>
      <c r="D487" s="41" t="s">
        <v>3506</v>
      </c>
      <c r="E487" s="41" t="s">
        <v>2929</v>
      </c>
      <c r="F487" s="41" t="s">
        <v>2949</v>
      </c>
      <c r="G487" s="41" t="s">
        <v>2950</v>
      </c>
    </row>
    <row r="488" spans="1:7" x14ac:dyDescent="0.25">
      <c r="A488" s="41" t="s">
        <v>3529</v>
      </c>
      <c r="B488" s="41" t="s">
        <v>227</v>
      </c>
      <c r="C488" s="41" t="s">
        <v>2928</v>
      </c>
      <c r="D488" s="41" t="s">
        <v>3529</v>
      </c>
      <c r="E488" s="41" t="s">
        <v>2929</v>
      </c>
      <c r="F488" s="41" t="s">
        <v>2930</v>
      </c>
      <c r="G488" s="41" t="s">
        <v>2931</v>
      </c>
    </row>
    <row r="489" spans="1:7" x14ac:dyDescent="0.25">
      <c r="A489" s="41" t="s">
        <v>3530</v>
      </c>
      <c r="B489" s="41" t="s">
        <v>227</v>
      </c>
      <c r="C489" s="41" t="s">
        <v>2928</v>
      </c>
      <c r="D489" s="41" t="s">
        <v>3529</v>
      </c>
      <c r="E489" s="41" t="s">
        <v>2929</v>
      </c>
      <c r="F489" s="41" t="s">
        <v>2933</v>
      </c>
      <c r="G489" s="41" t="s">
        <v>2934</v>
      </c>
    </row>
    <row r="490" spans="1:7" x14ac:dyDescent="0.25">
      <c r="A490" s="41" t="s">
        <v>3531</v>
      </c>
      <c r="B490" s="41" t="s">
        <v>227</v>
      </c>
      <c r="C490" s="41" t="s">
        <v>2928</v>
      </c>
      <c r="D490" s="41" t="s">
        <v>3529</v>
      </c>
      <c r="E490" s="41" t="s">
        <v>2929</v>
      </c>
      <c r="F490" s="41" t="s">
        <v>2930</v>
      </c>
      <c r="G490" s="41" t="s">
        <v>2931</v>
      </c>
    </row>
    <row r="491" spans="1:7" x14ac:dyDescent="0.25">
      <c r="A491" s="41" t="s">
        <v>3532</v>
      </c>
      <c r="B491" s="41" t="s">
        <v>227</v>
      </c>
      <c r="C491" s="41" t="s">
        <v>2928</v>
      </c>
      <c r="D491" s="41" t="s">
        <v>3529</v>
      </c>
      <c r="E491" s="41" t="s">
        <v>2929</v>
      </c>
      <c r="F491" s="41" t="s">
        <v>2949</v>
      </c>
      <c r="G491" s="41" t="s">
        <v>2950</v>
      </c>
    </row>
    <row r="492" spans="1:7" x14ac:dyDescent="0.25">
      <c r="A492" s="41" t="s">
        <v>3533</v>
      </c>
      <c r="B492" s="41" t="s">
        <v>198</v>
      </c>
      <c r="C492" s="41" t="s">
        <v>2928</v>
      </c>
      <c r="D492" s="41" t="s">
        <v>3533</v>
      </c>
      <c r="E492" s="41" t="s">
        <v>2929</v>
      </c>
      <c r="F492" s="41" t="s">
        <v>2930</v>
      </c>
      <c r="G492" s="41" t="s">
        <v>2931</v>
      </c>
    </row>
    <row r="493" spans="1:7" x14ac:dyDescent="0.25">
      <c r="A493" s="41" t="s">
        <v>3534</v>
      </c>
      <c r="B493" s="41" t="s">
        <v>198</v>
      </c>
      <c r="C493" s="41" t="s">
        <v>2928</v>
      </c>
      <c r="D493" s="41" t="s">
        <v>3533</v>
      </c>
      <c r="E493" s="41" t="s">
        <v>2929</v>
      </c>
      <c r="F493" s="41" t="s">
        <v>2933</v>
      </c>
      <c r="G493" s="41" t="s">
        <v>2934</v>
      </c>
    </row>
    <row r="494" spans="1:7" x14ac:dyDescent="0.25">
      <c r="A494" s="41" t="s">
        <v>3535</v>
      </c>
      <c r="B494" s="41" t="s">
        <v>198</v>
      </c>
      <c r="C494" s="41" t="s">
        <v>2928</v>
      </c>
      <c r="D494" s="41" t="s">
        <v>3533</v>
      </c>
      <c r="E494" s="41" t="s">
        <v>2929</v>
      </c>
      <c r="F494" s="41" t="s">
        <v>2933</v>
      </c>
      <c r="G494" s="41" t="s">
        <v>2934</v>
      </c>
    </row>
    <row r="495" spans="1:7" x14ac:dyDescent="0.25">
      <c r="A495" s="41" t="s">
        <v>3536</v>
      </c>
      <c r="B495" s="41" t="s">
        <v>198</v>
      </c>
      <c r="C495" s="41" t="s">
        <v>2928</v>
      </c>
      <c r="D495" s="41" t="s">
        <v>3533</v>
      </c>
      <c r="E495" s="41" t="s">
        <v>2929</v>
      </c>
      <c r="F495" s="41" t="s">
        <v>2933</v>
      </c>
      <c r="G495" s="41" t="s">
        <v>2934</v>
      </c>
    </row>
    <row r="496" spans="1:7" x14ac:dyDescent="0.25">
      <c r="A496" s="41" t="s">
        <v>3537</v>
      </c>
      <c r="B496" s="41" t="s">
        <v>198</v>
      </c>
      <c r="C496" s="41" t="s">
        <v>2928</v>
      </c>
      <c r="D496" s="41" t="s">
        <v>3533</v>
      </c>
      <c r="E496" s="41" t="s">
        <v>2929</v>
      </c>
      <c r="F496" s="41" t="s">
        <v>2933</v>
      </c>
      <c r="G496" s="41" t="s">
        <v>2934</v>
      </c>
    </row>
    <row r="497" spans="1:7" x14ac:dyDescent="0.25">
      <c r="A497" s="41" t="s">
        <v>3538</v>
      </c>
      <c r="B497" s="41" t="s">
        <v>198</v>
      </c>
      <c r="C497" s="41" t="s">
        <v>2928</v>
      </c>
      <c r="D497" s="41" t="s">
        <v>3533</v>
      </c>
      <c r="E497" s="41" t="s">
        <v>2929</v>
      </c>
      <c r="F497" s="41" t="s">
        <v>2933</v>
      </c>
      <c r="G497" s="41" t="s">
        <v>2934</v>
      </c>
    </row>
    <row r="498" spans="1:7" x14ac:dyDescent="0.25">
      <c r="A498" s="41" t="s">
        <v>3539</v>
      </c>
      <c r="B498" s="41" t="s">
        <v>198</v>
      </c>
      <c r="C498" s="41" t="s">
        <v>2928</v>
      </c>
      <c r="D498" s="41" t="s">
        <v>3533</v>
      </c>
      <c r="E498" s="41" t="s">
        <v>2929</v>
      </c>
      <c r="F498" s="41" t="s">
        <v>2933</v>
      </c>
      <c r="G498" s="41" t="s">
        <v>2934</v>
      </c>
    </row>
    <row r="499" spans="1:7" x14ac:dyDescent="0.25">
      <c r="A499" s="41" t="s">
        <v>3540</v>
      </c>
      <c r="B499" s="41" t="s">
        <v>198</v>
      </c>
      <c r="C499" s="41" t="s">
        <v>2928</v>
      </c>
      <c r="D499" s="41" t="s">
        <v>3533</v>
      </c>
      <c r="E499" s="41" t="s">
        <v>2929</v>
      </c>
      <c r="F499" s="41" t="s">
        <v>2933</v>
      </c>
      <c r="G499" s="41" t="s">
        <v>2934</v>
      </c>
    </row>
    <row r="500" spans="1:7" x14ac:dyDescent="0.25">
      <c r="A500" s="41" t="s">
        <v>3541</v>
      </c>
      <c r="B500" s="41" t="s">
        <v>198</v>
      </c>
      <c r="C500" s="41" t="s">
        <v>2928</v>
      </c>
      <c r="D500" s="41" t="s">
        <v>3533</v>
      </c>
      <c r="E500" s="41" t="s">
        <v>2929</v>
      </c>
      <c r="F500" s="41" t="s">
        <v>2930</v>
      </c>
      <c r="G500" s="41" t="s">
        <v>2931</v>
      </c>
    </row>
    <row r="501" spans="1:7" x14ac:dyDescent="0.25">
      <c r="A501" s="41" t="s">
        <v>3542</v>
      </c>
      <c r="B501" s="41" t="s">
        <v>198</v>
      </c>
      <c r="C501" s="41" t="s">
        <v>2928</v>
      </c>
      <c r="D501" s="41" t="s">
        <v>3533</v>
      </c>
      <c r="E501" s="41" t="s">
        <v>2929</v>
      </c>
      <c r="F501" s="41" t="s">
        <v>2930</v>
      </c>
      <c r="G501" s="41" t="s">
        <v>2931</v>
      </c>
    </row>
    <row r="502" spans="1:7" x14ac:dyDescent="0.25">
      <c r="A502" s="41" t="s">
        <v>3543</v>
      </c>
      <c r="B502" s="41" t="s">
        <v>198</v>
      </c>
      <c r="C502" s="41" t="s">
        <v>2928</v>
      </c>
      <c r="D502" s="41" t="s">
        <v>3533</v>
      </c>
      <c r="E502" s="41" t="s">
        <v>2929</v>
      </c>
      <c r="F502" s="41" t="s">
        <v>2930</v>
      </c>
      <c r="G502" s="41" t="s">
        <v>2931</v>
      </c>
    </row>
    <row r="503" spans="1:7" x14ac:dyDescent="0.25">
      <c r="A503" s="41" t="s">
        <v>3544</v>
      </c>
      <c r="B503" s="41" t="s">
        <v>198</v>
      </c>
      <c r="C503" s="41" t="s">
        <v>2928</v>
      </c>
      <c r="D503" s="41" t="s">
        <v>3533</v>
      </c>
      <c r="E503" s="41" t="s">
        <v>2929</v>
      </c>
      <c r="F503" s="41" t="s">
        <v>2930</v>
      </c>
      <c r="G503" s="41" t="s">
        <v>2931</v>
      </c>
    </row>
    <row r="504" spans="1:7" x14ac:dyDescent="0.25">
      <c r="A504" s="41" t="s">
        <v>3545</v>
      </c>
      <c r="B504" s="41" t="s">
        <v>198</v>
      </c>
      <c r="C504" s="41" t="s">
        <v>2928</v>
      </c>
      <c r="D504" s="41" t="s">
        <v>3533</v>
      </c>
      <c r="E504" s="41" t="s">
        <v>2929</v>
      </c>
      <c r="F504" s="41" t="s">
        <v>2930</v>
      </c>
      <c r="G504" s="41" t="s">
        <v>2931</v>
      </c>
    </row>
    <row r="505" spans="1:7" x14ac:dyDescent="0.25">
      <c r="A505" s="41" t="s">
        <v>3546</v>
      </c>
      <c r="B505" s="41" t="s">
        <v>198</v>
      </c>
      <c r="C505" s="41" t="s">
        <v>2928</v>
      </c>
      <c r="D505" s="41" t="s">
        <v>3533</v>
      </c>
      <c r="E505" s="41" t="s">
        <v>2929</v>
      </c>
      <c r="F505" s="41" t="s">
        <v>2930</v>
      </c>
      <c r="G505" s="41" t="s">
        <v>2931</v>
      </c>
    </row>
    <row r="506" spans="1:7" x14ac:dyDescent="0.25">
      <c r="A506" s="41" t="s">
        <v>3547</v>
      </c>
      <c r="B506" s="41" t="s">
        <v>198</v>
      </c>
      <c r="C506" s="41" t="s">
        <v>2928</v>
      </c>
      <c r="D506" s="41" t="s">
        <v>3533</v>
      </c>
      <c r="E506" s="41" t="s">
        <v>2929</v>
      </c>
      <c r="F506" s="41" t="s">
        <v>2930</v>
      </c>
      <c r="G506" s="41" t="s">
        <v>2931</v>
      </c>
    </row>
    <row r="507" spans="1:7" x14ac:dyDescent="0.25">
      <c r="A507" s="41" t="s">
        <v>3548</v>
      </c>
      <c r="B507" s="41" t="s">
        <v>198</v>
      </c>
      <c r="C507" s="41" t="s">
        <v>2928</v>
      </c>
      <c r="D507" s="41" t="s">
        <v>3533</v>
      </c>
      <c r="E507" s="41" t="s">
        <v>2929</v>
      </c>
      <c r="F507" s="41" t="s">
        <v>2949</v>
      </c>
      <c r="G507" s="41" t="s">
        <v>2950</v>
      </c>
    </row>
    <row r="508" spans="1:7" x14ac:dyDescent="0.25">
      <c r="A508" s="41" t="s">
        <v>3549</v>
      </c>
      <c r="B508" s="41" t="s">
        <v>198</v>
      </c>
      <c r="C508" s="41" t="s">
        <v>2928</v>
      </c>
      <c r="D508" s="41" t="s">
        <v>3533</v>
      </c>
      <c r="E508" s="41" t="s">
        <v>2929</v>
      </c>
      <c r="F508" s="41" t="s">
        <v>2949</v>
      </c>
      <c r="G508" s="41" t="s">
        <v>2950</v>
      </c>
    </row>
    <row r="509" spans="1:7" x14ac:dyDescent="0.25">
      <c r="A509" s="41" t="s">
        <v>3550</v>
      </c>
      <c r="B509" s="41" t="s">
        <v>198</v>
      </c>
      <c r="C509" s="41" t="s">
        <v>2928</v>
      </c>
      <c r="D509" s="41" t="s">
        <v>3533</v>
      </c>
      <c r="E509" s="41" t="s">
        <v>2929</v>
      </c>
      <c r="F509" s="41" t="s">
        <v>2949</v>
      </c>
      <c r="G509" s="41" t="s">
        <v>2950</v>
      </c>
    </row>
    <row r="510" spans="1:7" x14ac:dyDescent="0.25">
      <c r="A510" s="41" t="s">
        <v>3551</v>
      </c>
      <c r="B510" s="41" t="s">
        <v>198</v>
      </c>
      <c r="C510" s="41" t="s">
        <v>2928</v>
      </c>
      <c r="D510" s="41" t="s">
        <v>3533</v>
      </c>
      <c r="E510" s="41" t="s">
        <v>2929</v>
      </c>
      <c r="F510" s="41" t="s">
        <v>2949</v>
      </c>
      <c r="G510" s="41" t="s">
        <v>2950</v>
      </c>
    </row>
    <row r="511" spans="1:7" x14ac:dyDescent="0.25">
      <c r="A511" s="41" t="s">
        <v>3552</v>
      </c>
      <c r="B511" s="41" t="s">
        <v>198</v>
      </c>
      <c r="C511" s="41" t="s">
        <v>2928</v>
      </c>
      <c r="D511" s="41" t="s">
        <v>3533</v>
      </c>
      <c r="E511" s="41" t="s">
        <v>2929</v>
      </c>
      <c r="F511" s="41" t="s">
        <v>2949</v>
      </c>
      <c r="G511" s="41" t="s">
        <v>2950</v>
      </c>
    </row>
    <row r="512" spans="1:7" x14ac:dyDescent="0.25">
      <c r="A512" s="41" t="s">
        <v>3553</v>
      </c>
      <c r="B512" s="41" t="s">
        <v>198</v>
      </c>
      <c r="C512" s="41" t="s">
        <v>2928</v>
      </c>
      <c r="D512" s="41" t="s">
        <v>3533</v>
      </c>
      <c r="E512" s="41" t="s">
        <v>2929</v>
      </c>
      <c r="F512" s="41" t="s">
        <v>2949</v>
      </c>
      <c r="G512" s="41" t="s">
        <v>2950</v>
      </c>
    </row>
    <row r="513" spans="1:7" x14ac:dyDescent="0.25">
      <c r="A513" s="41" t="s">
        <v>3554</v>
      </c>
      <c r="B513" s="41" t="s">
        <v>198</v>
      </c>
      <c r="C513" s="41" t="s">
        <v>2928</v>
      </c>
      <c r="D513" s="41" t="s">
        <v>3533</v>
      </c>
      <c r="E513" s="41" t="s">
        <v>2929</v>
      </c>
      <c r="F513" s="41" t="s">
        <v>2949</v>
      </c>
      <c r="G513" s="41" t="s">
        <v>2950</v>
      </c>
    </row>
    <row r="514" spans="1:7" x14ac:dyDescent="0.25">
      <c r="A514" s="41" t="s">
        <v>3555</v>
      </c>
      <c r="B514" s="41" t="s">
        <v>3556</v>
      </c>
      <c r="C514" s="41" t="s">
        <v>2928</v>
      </c>
      <c r="D514" s="41" t="s">
        <v>3555</v>
      </c>
      <c r="E514" s="41" t="s">
        <v>2929</v>
      </c>
      <c r="F514" s="41" t="s">
        <v>2930</v>
      </c>
      <c r="G514" s="41" t="s">
        <v>2931</v>
      </c>
    </row>
    <row r="515" spans="1:7" x14ac:dyDescent="0.25">
      <c r="A515" s="41" t="s">
        <v>3557</v>
      </c>
      <c r="B515" s="41" t="s">
        <v>3556</v>
      </c>
      <c r="C515" s="41" t="s">
        <v>2928</v>
      </c>
      <c r="D515" s="41" t="s">
        <v>3555</v>
      </c>
      <c r="E515" s="41" t="s">
        <v>2929</v>
      </c>
      <c r="F515" s="41" t="s">
        <v>2933</v>
      </c>
      <c r="G515" s="41" t="s">
        <v>2934</v>
      </c>
    </row>
    <row r="516" spans="1:7" x14ac:dyDescent="0.25">
      <c r="A516" s="41" t="s">
        <v>3558</v>
      </c>
      <c r="B516" s="41" t="s">
        <v>3556</v>
      </c>
      <c r="C516" s="41" t="s">
        <v>2928</v>
      </c>
      <c r="D516" s="41" t="s">
        <v>3555</v>
      </c>
      <c r="E516" s="41" t="s">
        <v>2929</v>
      </c>
      <c r="F516" s="41" t="s">
        <v>2933</v>
      </c>
      <c r="G516" s="41" t="s">
        <v>2934</v>
      </c>
    </row>
    <row r="517" spans="1:7" x14ac:dyDescent="0.25">
      <c r="A517" s="41" t="s">
        <v>3559</v>
      </c>
      <c r="B517" s="41" t="s">
        <v>3556</v>
      </c>
      <c r="C517" s="41" t="s">
        <v>2928</v>
      </c>
      <c r="D517" s="41" t="s">
        <v>3555</v>
      </c>
      <c r="E517" s="41" t="s">
        <v>2929</v>
      </c>
      <c r="F517" s="41" t="s">
        <v>2933</v>
      </c>
      <c r="G517" s="41" t="s">
        <v>2934</v>
      </c>
    </row>
    <row r="518" spans="1:7" x14ac:dyDescent="0.25">
      <c r="A518" s="41" t="s">
        <v>3560</v>
      </c>
      <c r="B518" s="41" t="s">
        <v>3556</v>
      </c>
      <c r="C518" s="41" t="s">
        <v>2928</v>
      </c>
      <c r="D518" s="41" t="s">
        <v>3555</v>
      </c>
      <c r="E518" s="41" t="s">
        <v>2929</v>
      </c>
      <c r="F518" s="41" t="s">
        <v>2933</v>
      </c>
      <c r="G518" s="41" t="s">
        <v>2934</v>
      </c>
    </row>
    <row r="519" spans="1:7" x14ac:dyDescent="0.25">
      <c r="A519" s="41" t="s">
        <v>3561</v>
      </c>
      <c r="B519" s="41" t="s">
        <v>3556</v>
      </c>
      <c r="C519" s="41" t="s">
        <v>2928</v>
      </c>
      <c r="D519" s="41" t="s">
        <v>3555</v>
      </c>
      <c r="E519" s="41" t="s">
        <v>2929</v>
      </c>
      <c r="F519" s="41" t="s">
        <v>2933</v>
      </c>
      <c r="G519" s="41" t="s">
        <v>2934</v>
      </c>
    </row>
    <row r="520" spans="1:7" x14ac:dyDescent="0.25">
      <c r="A520" s="41" t="s">
        <v>3562</v>
      </c>
      <c r="B520" s="41" t="s">
        <v>3556</v>
      </c>
      <c r="C520" s="41" t="s">
        <v>2928</v>
      </c>
      <c r="D520" s="41" t="s">
        <v>3555</v>
      </c>
      <c r="E520" s="41" t="s">
        <v>2929</v>
      </c>
      <c r="F520" s="41" t="s">
        <v>2933</v>
      </c>
      <c r="G520" s="41" t="s">
        <v>2934</v>
      </c>
    </row>
    <row r="521" spans="1:7" x14ac:dyDescent="0.25">
      <c r="A521" s="41" t="s">
        <v>3563</v>
      </c>
      <c r="B521" s="41" t="s">
        <v>3556</v>
      </c>
      <c r="C521" s="41" t="s">
        <v>2928</v>
      </c>
      <c r="D521" s="41" t="s">
        <v>3555</v>
      </c>
      <c r="E521" s="41" t="s">
        <v>2929</v>
      </c>
      <c r="F521" s="41" t="s">
        <v>2933</v>
      </c>
      <c r="G521" s="41" t="s">
        <v>2934</v>
      </c>
    </row>
    <row r="522" spans="1:7" x14ac:dyDescent="0.25">
      <c r="A522" s="41" t="s">
        <v>3564</v>
      </c>
      <c r="B522" s="41" t="s">
        <v>3556</v>
      </c>
      <c r="C522" s="41" t="s">
        <v>2928</v>
      </c>
      <c r="D522" s="41" t="s">
        <v>3555</v>
      </c>
      <c r="E522" s="41" t="s">
        <v>2929</v>
      </c>
      <c r="F522" s="41" t="s">
        <v>2930</v>
      </c>
      <c r="G522" s="41" t="s">
        <v>2931</v>
      </c>
    </row>
    <row r="523" spans="1:7" x14ac:dyDescent="0.25">
      <c r="A523" s="41" t="s">
        <v>3565</v>
      </c>
      <c r="B523" s="41" t="s">
        <v>3556</v>
      </c>
      <c r="C523" s="41" t="s">
        <v>2928</v>
      </c>
      <c r="D523" s="41" t="s">
        <v>3555</v>
      </c>
      <c r="E523" s="41" t="s">
        <v>2929</v>
      </c>
      <c r="F523" s="41" t="s">
        <v>2930</v>
      </c>
      <c r="G523" s="41" t="s">
        <v>2931</v>
      </c>
    </row>
    <row r="524" spans="1:7" x14ac:dyDescent="0.25">
      <c r="A524" s="41" t="s">
        <v>3566</v>
      </c>
      <c r="B524" s="41" t="s">
        <v>3556</v>
      </c>
      <c r="C524" s="41" t="s">
        <v>2928</v>
      </c>
      <c r="D524" s="41" t="s">
        <v>3555</v>
      </c>
      <c r="E524" s="41" t="s">
        <v>2929</v>
      </c>
      <c r="F524" s="41" t="s">
        <v>2930</v>
      </c>
      <c r="G524" s="41" t="s">
        <v>2931</v>
      </c>
    </row>
    <row r="525" spans="1:7" x14ac:dyDescent="0.25">
      <c r="A525" s="41" t="s">
        <v>3567</v>
      </c>
      <c r="B525" s="41" t="s">
        <v>3556</v>
      </c>
      <c r="C525" s="41" t="s">
        <v>2928</v>
      </c>
      <c r="D525" s="41" t="s">
        <v>3555</v>
      </c>
      <c r="E525" s="41" t="s">
        <v>2929</v>
      </c>
      <c r="F525" s="41" t="s">
        <v>2930</v>
      </c>
      <c r="G525" s="41" t="s">
        <v>2931</v>
      </c>
    </row>
    <row r="526" spans="1:7" x14ac:dyDescent="0.25">
      <c r="A526" s="41" t="s">
        <v>3568</v>
      </c>
      <c r="B526" s="41" t="s">
        <v>3556</v>
      </c>
      <c r="C526" s="41" t="s">
        <v>2928</v>
      </c>
      <c r="D526" s="41" t="s">
        <v>3555</v>
      </c>
      <c r="E526" s="41" t="s">
        <v>2929</v>
      </c>
      <c r="F526" s="41" t="s">
        <v>2930</v>
      </c>
      <c r="G526" s="41" t="s">
        <v>2931</v>
      </c>
    </row>
    <row r="527" spans="1:7" x14ac:dyDescent="0.25">
      <c r="A527" s="41" t="s">
        <v>3569</v>
      </c>
      <c r="B527" s="41" t="s">
        <v>3556</v>
      </c>
      <c r="C527" s="41" t="s">
        <v>2928</v>
      </c>
      <c r="D527" s="41" t="s">
        <v>3555</v>
      </c>
      <c r="E527" s="41" t="s">
        <v>2929</v>
      </c>
      <c r="F527" s="41" t="s">
        <v>2930</v>
      </c>
      <c r="G527" s="41" t="s">
        <v>2931</v>
      </c>
    </row>
    <row r="528" spans="1:7" x14ac:dyDescent="0.25">
      <c r="A528" s="41" t="s">
        <v>3570</v>
      </c>
      <c r="B528" s="41" t="s">
        <v>3556</v>
      </c>
      <c r="C528" s="41" t="s">
        <v>2928</v>
      </c>
      <c r="D528" s="41" t="s">
        <v>3555</v>
      </c>
      <c r="E528" s="41" t="s">
        <v>2929</v>
      </c>
      <c r="F528" s="41" t="s">
        <v>2930</v>
      </c>
      <c r="G528" s="41" t="s">
        <v>2931</v>
      </c>
    </row>
    <row r="529" spans="1:7" x14ac:dyDescent="0.25">
      <c r="A529" s="41" t="s">
        <v>3571</v>
      </c>
      <c r="B529" s="41" t="s">
        <v>3556</v>
      </c>
      <c r="C529" s="41" t="s">
        <v>2928</v>
      </c>
      <c r="D529" s="41" t="s">
        <v>3555</v>
      </c>
      <c r="E529" s="41" t="s">
        <v>2929</v>
      </c>
      <c r="F529" s="41" t="s">
        <v>2949</v>
      </c>
      <c r="G529" s="41" t="s">
        <v>2950</v>
      </c>
    </row>
    <row r="530" spans="1:7" x14ac:dyDescent="0.25">
      <c r="A530" s="41" t="s">
        <v>3572</v>
      </c>
      <c r="B530" s="41" t="s">
        <v>3556</v>
      </c>
      <c r="C530" s="41" t="s">
        <v>2928</v>
      </c>
      <c r="D530" s="41" t="s">
        <v>3555</v>
      </c>
      <c r="E530" s="41" t="s">
        <v>2929</v>
      </c>
      <c r="F530" s="41" t="s">
        <v>2949</v>
      </c>
      <c r="G530" s="41" t="s">
        <v>2950</v>
      </c>
    </row>
    <row r="531" spans="1:7" x14ac:dyDescent="0.25">
      <c r="A531" s="41" t="s">
        <v>3573</v>
      </c>
      <c r="B531" s="41" t="s">
        <v>3556</v>
      </c>
      <c r="C531" s="41" t="s">
        <v>2928</v>
      </c>
      <c r="D531" s="41" t="s">
        <v>3555</v>
      </c>
      <c r="E531" s="41" t="s">
        <v>2929</v>
      </c>
      <c r="F531" s="41" t="s">
        <v>2949</v>
      </c>
      <c r="G531" s="41" t="s">
        <v>2950</v>
      </c>
    </row>
    <row r="532" spans="1:7" x14ac:dyDescent="0.25">
      <c r="A532" s="41" t="s">
        <v>3574</v>
      </c>
      <c r="B532" s="41" t="s">
        <v>3556</v>
      </c>
      <c r="C532" s="41" t="s">
        <v>2928</v>
      </c>
      <c r="D532" s="41" t="s">
        <v>3555</v>
      </c>
      <c r="E532" s="41" t="s">
        <v>2929</v>
      </c>
      <c r="F532" s="41" t="s">
        <v>2949</v>
      </c>
      <c r="G532" s="41" t="s">
        <v>2950</v>
      </c>
    </row>
    <row r="533" spans="1:7" x14ac:dyDescent="0.25">
      <c r="A533" s="41" t="s">
        <v>3575</v>
      </c>
      <c r="B533" s="41" t="s">
        <v>3556</v>
      </c>
      <c r="C533" s="41" t="s">
        <v>2928</v>
      </c>
      <c r="D533" s="41" t="s">
        <v>3555</v>
      </c>
      <c r="E533" s="41" t="s">
        <v>2929</v>
      </c>
      <c r="F533" s="41" t="s">
        <v>2949</v>
      </c>
      <c r="G533" s="41" t="s">
        <v>2950</v>
      </c>
    </row>
    <row r="534" spans="1:7" x14ac:dyDescent="0.25">
      <c r="A534" s="41" t="s">
        <v>3576</v>
      </c>
      <c r="B534" s="41" t="s">
        <v>3556</v>
      </c>
      <c r="C534" s="41" t="s">
        <v>2928</v>
      </c>
      <c r="D534" s="41" t="s">
        <v>3555</v>
      </c>
      <c r="E534" s="41" t="s">
        <v>2929</v>
      </c>
      <c r="F534" s="41" t="s">
        <v>2949</v>
      </c>
      <c r="G534" s="41" t="s">
        <v>2950</v>
      </c>
    </row>
    <row r="535" spans="1:7" x14ac:dyDescent="0.25">
      <c r="A535" s="41" t="s">
        <v>3577</v>
      </c>
      <c r="B535" s="41" t="s">
        <v>3556</v>
      </c>
      <c r="C535" s="41" t="s">
        <v>2928</v>
      </c>
      <c r="D535" s="41" t="s">
        <v>3555</v>
      </c>
      <c r="E535" s="41" t="s">
        <v>2929</v>
      </c>
      <c r="F535" s="41" t="s">
        <v>2949</v>
      </c>
      <c r="G535" s="41" t="s">
        <v>2950</v>
      </c>
    </row>
    <row r="536" spans="1:7" x14ac:dyDescent="0.25">
      <c r="A536" s="41" t="s">
        <v>3578</v>
      </c>
      <c r="B536" s="41" t="s">
        <v>3579</v>
      </c>
      <c r="C536" s="41" t="s">
        <v>2928</v>
      </c>
      <c r="D536" s="41" t="s">
        <v>3578</v>
      </c>
      <c r="E536" s="41" t="s">
        <v>2929</v>
      </c>
      <c r="F536" s="41" t="s">
        <v>2930</v>
      </c>
      <c r="G536" s="41" t="s">
        <v>2931</v>
      </c>
    </row>
    <row r="537" spans="1:7" x14ac:dyDescent="0.25">
      <c r="A537" s="41" t="s">
        <v>3580</v>
      </c>
      <c r="B537" s="41" t="s">
        <v>3579</v>
      </c>
      <c r="C537" s="41" t="s">
        <v>2928</v>
      </c>
      <c r="D537" s="41" t="s">
        <v>3578</v>
      </c>
      <c r="E537" s="41" t="s">
        <v>2929</v>
      </c>
      <c r="F537" s="41" t="s">
        <v>2933</v>
      </c>
      <c r="G537" s="41" t="s">
        <v>2934</v>
      </c>
    </row>
    <row r="538" spans="1:7" x14ac:dyDescent="0.25">
      <c r="A538" s="41" t="s">
        <v>3581</v>
      </c>
      <c r="B538" s="41" t="s">
        <v>3579</v>
      </c>
      <c r="C538" s="41" t="s">
        <v>2928</v>
      </c>
      <c r="D538" s="41" t="s">
        <v>3578</v>
      </c>
      <c r="E538" s="41" t="s">
        <v>2929</v>
      </c>
      <c r="F538" s="41" t="s">
        <v>2933</v>
      </c>
      <c r="G538" s="41" t="s">
        <v>2934</v>
      </c>
    </row>
    <row r="539" spans="1:7" x14ac:dyDescent="0.25">
      <c r="A539" s="41" t="s">
        <v>3582</v>
      </c>
      <c r="B539" s="41" t="s">
        <v>3579</v>
      </c>
      <c r="C539" s="41" t="s">
        <v>2928</v>
      </c>
      <c r="D539" s="41" t="s">
        <v>3578</v>
      </c>
      <c r="E539" s="41" t="s">
        <v>2929</v>
      </c>
      <c r="F539" s="41" t="s">
        <v>2933</v>
      </c>
      <c r="G539" s="41" t="s">
        <v>2934</v>
      </c>
    </row>
    <row r="540" spans="1:7" x14ac:dyDescent="0.25">
      <c r="A540" s="41" t="s">
        <v>3583</v>
      </c>
      <c r="B540" s="41" t="s">
        <v>3579</v>
      </c>
      <c r="C540" s="41" t="s">
        <v>2928</v>
      </c>
      <c r="D540" s="41" t="s">
        <v>3578</v>
      </c>
      <c r="E540" s="41" t="s">
        <v>2929</v>
      </c>
      <c r="F540" s="41" t="s">
        <v>2933</v>
      </c>
      <c r="G540" s="41" t="s">
        <v>2934</v>
      </c>
    </row>
    <row r="541" spans="1:7" x14ac:dyDescent="0.25">
      <c r="A541" s="41" t="s">
        <v>3584</v>
      </c>
      <c r="B541" s="41" t="s">
        <v>3579</v>
      </c>
      <c r="C541" s="41" t="s">
        <v>2928</v>
      </c>
      <c r="D541" s="41" t="s">
        <v>3578</v>
      </c>
      <c r="E541" s="41" t="s">
        <v>2929</v>
      </c>
      <c r="F541" s="41" t="s">
        <v>2933</v>
      </c>
      <c r="G541" s="41" t="s">
        <v>2934</v>
      </c>
    </row>
    <row r="542" spans="1:7" x14ac:dyDescent="0.25">
      <c r="A542" s="41" t="s">
        <v>3585</v>
      </c>
      <c r="B542" s="41" t="s">
        <v>3579</v>
      </c>
      <c r="C542" s="41" t="s">
        <v>2928</v>
      </c>
      <c r="D542" s="41" t="s">
        <v>3578</v>
      </c>
      <c r="E542" s="41" t="s">
        <v>2929</v>
      </c>
      <c r="F542" s="41" t="s">
        <v>2933</v>
      </c>
      <c r="G542" s="41" t="s">
        <v>2934</v>
      </c>
    </row>
    <row r="543" spans="1:7" x14ac:dyDescent="0.25">
      <c r="A543" s="41" t="s">
        <v>3586</v>
      </c>
      <c r="B543" s="41" t="s">
        <v>3579</v>
      </c>
      <c r="C543" s="41" t="s">
        <v>2928</v>
      </c>
      <c r="D543" s="41" t="s">
        <v>3578</v>
      </c>
      <c r="E543" s="41" t="s">
        <v>2929</v>
      </c>
      <c r="F543" s="41" t="s">
        <v>2933</v>
      </c>
      <c r="G543" s="41" t="s">
        <v>2934</v>
      </c>
    </row>
    <row r="544" spans="1:7" x14ac:dyDescent="0.25">
      <c r="A544" s="41" t="s">
        <v>3587</v>
      </c>
      <c r="B544" s="41" t="s">
        <v>3579</v>
      </c>
      <c r="C544" s="41" t="s">
        <v>2928</v>
      </c>
      <c r="D544" s="41" t="s">
        <v>3578</v>
      </c>
      <c r="E544" s="41" t="s">
        <v>2929</v>
      </c>
      <c r="F544" s="41" t="s">
        <v>2930</v>
      </c>
      <c r="G544" s="41" t="s">
        <v>2931</v>
      </c>
    </row>
    <row r="545" spans="1:7" x14ac:dyDescent="0.25">
      <c r="A545" s="41" t="s">
        <v>3588</v>
      </c>
      <c r="B545" s="41" t="s">
        <v>3579</v>
      </c>
      <c r="C545" s="41" t="s">
        <v>2928</v>
      </c>
      <c r="D545" s="41" t="s">
        <v>3578</v>
      </c>
      <c r="E545" s="41" t="s">
        <v>2929</v>
      </c>
      <c r="F545" s="41" t="s">
        <v>2930</v>
      </c>
      <c r="G545" s="41" t="s">
        <v>2931</v>
      </c>
    </row>
    <row r="546" spans="1:7" x14ac:dyDescent="0.25">
      <c r="A546" s="41" t="s">
        <v>3589</v>
      </c>
      <c r="B546" s="41" t="s">
        <v>3579</v>
      </c>
      <c r="C546" s="41" t="s">
        <v>2928</v>
      </c>
      <c r="D546" s="41" t="s">
        <v>3578</v>
      </c>
      <c r="E546" s="41" t="s">
        <v>2929</v>
      </c>
      <c r="F546" s="41" t="s">
        <v>2930</v>
      </c>
      <c r="G546" s="41" t="s">
        <v>2931</v>
      </c>
    </row>
    <row r="547" spans="1:7" x14ac:dyDescent="0.25">
      <c r="A547" s="41" t="s">
        <v>3590</v>
      </c>
      <c r="B547" s="41" t="s">
        <v>3579</v>
      </c>
      <c r="C547" s="41" t="s">
        <v>2928</v>
      </c>
      <c r="D547" s="41" t="s">
        <v>3578</v>
      </c>
      <c r="E547" s="41" t="s">
        <v>2929</v>
      </c>
      <c r="F547" s="41" t="s">
        <v>2930</v>
      </c>
      <c r="G547" s="41" t="s">
        <v>2931</v>
      </c>
    </row>
    <row r="548" spans="1:7" x14ac:dyDescent="0.25">
      <c r="A548" s="41" t="s">
        <v>3591</v>
      </c>
      <c r="B548" s="41" t="s">
        <v>3579</v>
      </c>
      <c r="C548" s="41" t="s">
        <v>2928</v>
      </c>
      <c r="D548" s="41" t="s">
        <v>3578</v>
      </c>
      <c r="E548" s="41" t="s">
        <v>2929</v>
      </c>
      <c r="F548" s="41" t="s">
        <v>2930</v>
      </c>
      <c r="G548" s="41" t="s">
        <v>2931</v>
      </c>
    </row>
    <row r="549" spans="1:7" x14ac:dyDescent="0.25">
      <c r="A549" s="41" t="s">
        <v>3592</v>
      </c>
      <c r="B549" s="41" t="s">
        <v>3579</v>
      </c>
      <c r="C549" s="41" t="s">
        <v>2928</v>
      </c>
      <c r="D549" s="41" t="s">
        <v>3578</v>
      </c>
      <c r="E549" s="41" t="s">
        <v>2929</v>
      </c>
      <c r="F549" s="41" t="s">
        <v>2930</v>
      </c>
      <c r="G549" s="41" t="s">
        <v>2931</v>
      </c>
    </row>
    <row r="550" spans="1:7" x14ac:dyDescent="0.25">
      <c r="A550" s="41" t="s">
        <v>3593</v>
      </c>
      <c r="B550" s="41" t="s">
        <v>3579</v>
      </c>
      <c r="C550" s="41" t="s">
        <v>2928</v>
      </c>
      <c r="D550" s="41" t="s">
        <v>3578</v>
      </c>
      <c r="E550" s="41" t="s">
        <v>2929</v>
      </c>
      <c r="F550" s="41" t="s">
        <v>2930</v>
      </c>
      <c r="G550" s="41" t="s">
        <v>2931</v>
      </c>
    </row>
    <row r="551" spans="1:7" x14ac:dyDescent="0.25">
      <c r="A551" s="41" t="s">
        <v>3594</v>
      </c>
      <c r="B551" s="41" t="s">
        <v>3579</v>
      </c>
      <c r="C551" s="41" t="s">
        <v>2928</v>
      </c>
      <c r="D551" s="41" t="s">
        <v>3578</v>
      </c>
      <c r="E551" s="41" t="s">
        <v>2929</v>
      </c>
      <c r="F551" s="41" t="s">
        <v>2949</v>
      </c>
      <c r="G551" s="41" t="s">
        <v>2950</v>
      </c>
    </row>
    <row r="552" spans="1:7" x14ac:dyDescent="0.25">
      <c r="A552" s="41" t="s">
        <v>3595</v>
      </c>
      <c r="B552" s="41" t="s">
        <v>3579</v>
      </c>
      <c r="C552" s="41" t="s">
        <v>2928</v>
      </c>
      <c r="D552" s="41" t="s">
        <v>3578</v>
      </c>
      <c r="E552" s="41" t="s">
        <v>2929</v>
      </c>
      <c r="F552" s="41" t="s">
        <v>2949</v>
      </c>
      <c r="G552" s="41" t="s">
        <v>2950</v>
      </c>
    </row>
    <row r="553" spans="1:7" x14ac:dyDescent="0.25">
      <c r="A553" s="41" t="s">
        <v>3596</v>
      </c>
      <c r="B553" s="41" t="s">
        <v>3579</v>
      </c>
      <c r="C553" s="41" t="s">
        <v>2928</v>
      </c>
      <c r="D553" s="41" t="s">
        <v>3578</v>
      </c>
      <c r="E553" s="41" t="s">
        <v>2929</v>
      </c>
      <c r="F553" s="41" t="s">
        <v>2949</v>
      </c>
      <c r="G553" s="41" t="s">
        <v>2950</v>
      </c>
    </row>
    <row r="554" spans="1:7" x14ac:dyDescent="0.25">
      <c r="A554" s="41" t="s">
        <v>3597</v>
      </c>
      <c r="B554" s="41" t="s">
        <v>3579</v>
      </c>
      <c r="C554" s="41" t="s">
        <v>2928</v>
      </c>
      <c r="D554" s="41" t="s">
        <v>3578</v>
      </c>
      <c r="E554" s="41" t="s">
        <v>2929</v>
      </c>
      <c r="F554" s="41" t="s">
        <v>2949</v>
      </c>
      <c r="G554" s="41" t="s">
        <v>2950</v>
      </c>
    </row>
    <row r="555" spans="1:7" x14ac:dyDescent="0.25">
      <c r="A555" s="41" t="s">
        <v>3598</v>
      </c>
      <c r="B555" s="41" t="s">
        <v>3579</v>
      </c>
      <c r="C555" s="41" t="s">
        <v>2928</v>
      </c>
      <c r="D555" s="41" t="s">
        <v>3578</v>
      </c>
      <c r="E555" s="41" t="s">
        <v>2929</v>
      </c>
      <c r="F555" s="41" t="s">
        <v>2949</v>
      </c>
      <c r="G555" s="41" t="s">
        <v>2950</v>
      </c>
    </row>
    <row r="556" spans="1:7" x14ac:dyDescent="0.25">
      <c r="A556" s="41" t="s">
        <v>3599</v>
      </c>
      <c r="B556" s="41" t="s">
        <v>3579</v>
      </c>
      <c r="C556" s="41" t="s">
        <v>2928</v>
      </c>
      <c r="D556" s="41" t="s">
        <v>3578</v>
      </c>
      <c r="E556" s="41" t="s">
        <v>2929</v>
      </c>
      <c r="F556" s="41" t="s">
        <v>2949</v>
      </c>
      <c r="G556" s="41" t="s">
        <v>2950</v>
      </c>
    </row>
    <row r="557" spans="1:7" x14ac:dyDescent="0.25">
      <c r="A557" s="41" t="s">
        <v>3600</v>
      </c>
      <c r="B557" s="41" t="s">
        <v>3579</v>
      </c>
      <c r="C557" s="41" t="s">
        <v>2928</v>
      </c>
      <c r="D557" s="41" t="s">
        <v>3578</v>
      </c>
      <c r="E557" s="41" t="s">
        <v>2929</v>
      </c>
      <c r="F557" s="41" t="s">
        <v>2949</v>
      </c>
      <c r="G557" s="41" t="s">
        <v>2950</v>
      </c>
    </row>
    <row r="558" spans="1:7" x14ac:dyDescent="0.25">
      <c r="A558" s="41" t="s">
        <v>3601</v>
      </c>
      <c r="B558" s="41" t="s">
        <v>3602</v>
      </c>
      <c r="C558" s="41" t="s">
        <v>2928</v>
      </c>
      <c r="D558" s="41" t="s">
        <v>3601</v>
      </c>
      <c r="E558" s="41" t="s">
        <v>2929</v>
      </c>
      <c r="F558" s="41" t="s">
        <v>2930</v>
      </c>
      <c r="G558" s="41" t="s">
        <v>2931</v>
      </c>
    </row>
    <row r="559" spans="1:7" x14ac:dyDescent="0.25">
      <c r="A559" s="41" t="s">
        <v>3603</v>
      </c>
      <c r="B559" s="41" t="s">
        <v>3602</v>
      </c>
      <c r="C559" s="41" t="s">
        <v>2928</v>
      </c>
      <c r="D559" s="41" t="s">
        <v>3601</v>
      </c>
      <c r="E559" s="41" t="s">
        <v>2929</v>
      </c>
      <c r="F559" s="41" t="s">
        <v>2933</v>
      </c>
      <c r="G559" s="41" t="s">
        <v>2934</v>
      </c>
    </row>
    <row r="560" spans="1:7" x14ac:dyDescent="0.25">
      <c r="A560" s="41" t="s">
        <v>3604</v>
      </c>
      <c r="B560" s="41" t="s">
        <v>3602</v>
      </c>
      <c r="C560" s="41" t="s">
        <v>2928</v>
      </c>
      <c r="D560" s="41" t="s">
        <v>3601</v>
      </c>
      <c r="E560" s="41" t="s">
        <v>2929</v>
      </c>
      <c r="F560" s="41" t="s">
        <v>2933</v>
      </c>
      <c r="G560" s="41" t="s">
        <v>2934</v>
      </c>
    </row>
    <row r="561" spans="1:7" x14ac:dyDescent="0.25">
      <c r="A561" s="41" t="s">
        <v>3605</v>
      </c>
      <c r="B561" s="41" t="s">
        <v>3602</v>
      </c>
      <c r="C561" s="41" t="s">
        <v>2928</v>
      </c>
      <c r="D561" s="41" t="s">
        <v>3601</v>
      </c>
      <c r="E561" s="41" t="s">
        <v>2929</v>
      </c>
      <c r="F561" s="41" t="s">
        <v>2933</v>
      </c>
      <c r="G561" s="41" t="s">
        <v>2934</v>
      </c>
    </row>
    <row r="562" spans="1:7" x14ac:dyDescent="0.25">
      <c r="A562" s="41" t="s">
        <v>3606</v>
      </c>
      <c r="B562" s="41" t="s">
        <v>3602</v>
      </c>
      <c r="C562" s="41" t="s">
        <v>2928</v>
      </c>
      <c r="D562" s="41" t="s">
        <v>3601</v>
      </c>
      <c r="E562" s="41" t="s">
        <v>2929</v>
      </c>
      <c r="F562" s="41" t="s">
        <v>2933</v>
      </c>
      <c r="G562" s="41" t="s">
        <v>2934</v>
      </c>
    </row>
    <row r="563" spans="1:7" x14ac:dyDescent="0.25">
      <c r="A563" s="41" t="s">
        <v>3607</v>
      </c>
      <c r="B563" s="41" t="s">
        <v>3602</v>
      </c>
      <c r="C563" s="41" t="s">
        <v>2928</v>
      </c>
      <c r="D563" s="41" t="s">
        <v>3601</v>
      </c>
      <c r="E563" s="41" t="s">
        <v>2929</v>
      </c>
      <c r="F563" s="41" t="s">
        <v>2933</v>
      </c>
      <c r="G563" s="41" t="s">
        <v>2934</v>
      </c>
    </row>
    <row r="564" spans="1:7" x14ac:dyDescent="0.25">
      <c r="A564" s="41" t="s">
        <v>3608</v>
      </c>
      <c r="B564" s="41" t="s">
        <v>3602</v>
      </c>
      <c r="C564" s="41" t="s">
        <v>2928</v>
      </c>
      <c r="D564" s="41" t="s">
        <v>3601</v>
      </c>
      <c r="E564" s="41" t="s">
        <v>2929</v>
      </c>
      <c r="F564" s="41" t="s">
        <v>2933</v>
      </c>
      <c r="G564" s="41" t="s">
        <v>2934</v>
      </c>
    </row>
    <row r="565" spans="1:7" x14ac:dyDescent="0.25">
      <c r="A565" s="41" t="s">
        <v>3609</v>
      </c>
      <c r="B565" s="41" t="s">
        <v>3602</v>
      </c>
      <c r="C565" s="41" t="s">
        <v>2928</v>
      </c>
      <c r="D565" s="41" t="s">
        <v>3601</v>
      </c>
      <c r="E565" s="41" t="s">
        <v>2929</v>
      </c>
      <c r="F565" s="41" t="s">
        <v>2933</v>
      </c>
      <c r="G565" s="41" t="s">
        <v>2934</v>
      </c>
    </row>
    <row r="566" spans="1:7" x14ac:dyDescent="0.25">
      <c r="A566" s="41" t="s">
        <v>3610</v>
      </c>
      <c r="B566" s="41" t="s">
        <v>3602</v>
      </c>
      <c r="C566" s="41" t="s">
        <v>2928</v>
      </c>
      <c r="D566" s="41" t="s">
        <v>3601</v>
      </c>
      <c r="E566" s="41" t="s">
        <v>2929</v>
      </c>
      <c r="F566" s="41" t="s">
        <v>2930</v>
      </c>
      <c r="G566" s="41" t="s">
        <v>2931</v>
      </c>
    </row>
    <row r="567" spans="1:7" x14ac:dyDescent="0.25">
      <c r="A567" s="41" t="s">
        <v>3611</v>
      </c>
      <c r="B567" s="41" t="s">
        <v>3602</v>
      </c>
      <c r="C567" s="41" t="s">
        <v>2928</v>
      </c>
      <c r="D567" s="41" t="s">
        <v>3601</v>
      </c>
      <c r="E567" s="41" t="s">
        <v>2929</v>
      </c>
      <c r="F567" s="41" t="s">
        <v>2930</v>
      </c>
      <c r="G567" s="41" t="s">
        <v>2931</v>
      </c>
    </row>
    <row r="568" spans="1:7" x14ac:dyDescent="0.25">
      <c r="A568" s="41" t="s">
        <v>3612</v>
      </c>
      <c r="B568" s="41" t="s">
        <v>3602</v>
      </c>
      <c r="C568" s="41" t="s">
        <v>2928</v>
      </c>
      <c r="D568" s="41" t="s">
        <v>3601</v>
      </c>
      <c r="E568" s="41" t="s">
        <v>2929</v>
      </c>
      <c r="F568" s="41" t="s">
        <v>2930</v>
      </c>
      <c r="G568" s="41" t="s">
        <v>2931</v>
      </c>
    </row>
    <row r="569" spans="1:7" x14ac:dyDescent="0.25">
      <c r="A569" s="41" t="s">
        <v>3613</v>
      </c>
      <c r="B569" s="41" t="s">
        <v>3602</v>
      </c>
      <c r="C569" s="41" t="s">
        <v>2928</v>
      </c>
      <c r="D569" s="41" t="s">
        <v>3601</v>
      </c>
      <c r="E569" s="41" t="s">
        <v>2929</v>
      </c>
      <c r="F569" s="41" t="s">
        <v>2930</v>
      </c>
      <c r="G569" s="41" t="s">
        <v>2931</v>
      </c>
    </row>
    <row r="570" spans="1:7" x14ac:dyDescent="0.25">
      <c r="A570" s="41" t="s">
        <v>3614</v>
      </c>
      <c r="B570" s="41" t="s">
        <v>3602</v>
      </c>
      <c r="C570" s="41" t="s">
        <v>2928</v>
      </c>
      <c r="D570" s="41" t="s">
        <v>3601</v>
      </c>
      <c r="E570" s="41" t="s">
        <v>2929</v>
      </c>
      <c r="F570" s="41" t="s">
        <v>2930</v>
      </c>
      <c r="G570" s="41" t="s">
        <v>2931</v>
      </c>
    </row>
    <row r="571" spans="1:7" x14ac:dyDescent="0.25">
      <c r="A571" s="41" t="s">
        <v>3615</v>
      </c>
      <c r="B571" s="41" t="s">
        <v>3602</v>
      </c>
      <c r="C571" s="41" t="s">
        <v>2928</v>
      </c>
      <c r="D571" s="41" t="s">
        <v>3601</v>
      </c>
      <c r="E571" s="41" t="s">
        <v>2929</v>
      </c>
      <c r="F571" s="41" t="s">
        <v>2930</v>
      </c>
      <c r="G571" s="41" t="s">
        <v>2931</v>
      </c>
    </row>
    <row r="572" spans="1:7" x14ac:dyDescent="0.25">
      <c r="A572" s="41" t="s">
        <v>3616</v>
      </c>
      <c r="B572" s="41" t="s">
        <v>3602</v>
      </c>
      <c r="C572" s="41" t="s">
        <v>2928</v>
      </c>
      <c r="D572" s="41" t="s">
        <v>3601</v>
      </c>
      <c r="E572" s="41" t="s">
        <v>2929</v>
      </c>
      <c r="F572" s="41" t="s">
        <v>2930</v>
      </c>
      <c r="G572" s="41" t="s">
        <v>2931</v>
      </c>
    </row>
    <row r="573" spans="1:7" x14ac:dyDescent="0.25">
      <c r="A573" s="41" t="s">
        <v>3617</v>
      </c>
      <c r="B573" s="41" t="s">
        <v>3602</v>
      </c>
      <c r="C573" s="41" t="s">
        <v>2928</v>
      </c>
      <c r="D573" s="41" t="s">
        <v>3601</v>
      </c>
      <c r="E573" s="41" t="s">
        <v>2929</v>
      </c>
      <c r="F573" s="41" t="s">
        <v>2949</v>
      </c>
      <c r="G573" s="41" t="s">
        <v>2950</v>
      </c>
    </row>
    <row r="574" spans="1:7" x14ac:dyDescent="0.25">
      <c r="A574" s="41" t="s">
        <v>3618</v>
      </c>
      <c r="B574" s="41" t="s">
        <v>3602</v>
      </c>
      <c r="C574" s="41" t="s">
        <v>2928</v>
      </c>
      <c r="D574" s="41" t="s">
        <v>3601</v>
      </c>
      <c r="E574" s="41" t="s">
        <v>2929</v>
      </c>
      <c r="F574" s="41" t="s">
        <v>2949</v>
      </c>
      <c r="G574" s="41" t="s">
        <v>2950</v>
      </c>
    </row>
    <row r="575" spans="1:7" x14ac:dyDescent="0.25">
      <c r="A575" s="41" t="s">
        <v>3619</v>
      </c>
      <c r="B575" s="41" t="s">
        <v>3602</v>
      </c>
      <c r="C575" s="41" t="s">
        <v>2928</v>
      </c>
      <c r="D575" s="41" t="s">
        <v>3601</v>
      </c>
      <c r="E575" s="41" t="s">
        <v>2929</v>
      </c>
      <c r="F575" s="41" t="s">
        <v>2949</v>
      </c>
      <c r="G575" s="41" t="s">
        <v>2950</v>
      </c>
    </row>
    <row r="576" spans="1:7" x14ac:dyDescent="0.25">
      <c r="A576" s="41" t="s">
        <v>3620</v>
      </c>
      <c r="B576" s="41" t="s">
        <v>3602</v>
      </c>
      <c r="C576" s="41" t="s">
        <v>2928</v>
      </c>
      <c r="D576" s="41" t="s">
        <v>3601</v>
      </c>
      <c r="E576" s="41" t="s">
        <v>2929</v>
      </c>
      <c r="F576" s="41" t="s">
        <v>2949</v>
      </c>
      <c r="G576" s="41" t="s">
        <v>2950</v>
      </c>
    </row>
    <row r="577" spans="1:7" x14ac:dyDescent="0.25">
      <c r="A577" s="41" t="s">
        <v>3621</v>
      </c>
      <c r="B577" s="41" t="s">
        <v>3602</v>
      </c>
      <c r="C577" s="41" t="s">
        <v>2928</v>
      </c>
      <c r="D577" s="41" t="s">
        <v>3601</v>
      </c>
      <c r="E577" s="41" t="s">
        <v>2929</v>
      </c>
      <c r="F577" s="41" t="s">
        <v>2949</v>
      </c>
      <c r="G577" s="41" t="s">
        <v>2950</v>
      </c>
    </row>
    <row r="578" spans="1:7" x14ac:dyDescent="0.25">
      <c r="A578" s="41" t="s">
        <v>3622</v>
      </c>
      <c r="B578" s="41" t="s">
        <v>3602</v>
      </c>
      <c r="C578" s="41" t="s">
        <v>2928</v>
      </c>
      <c r="D578" s="41" t="s">
        <v>3601</v>
      </c>
      <c r="E578" s="41" t="s">
        <v>2929</v>
      </c>
      <c r="F578" s="41" t="s">
        <v>2949</v>
      </c>
      <c r="G578" s="41" t="s">
        <v>2950</v>
      </c>
    </row>
    <row r="579" spans="1:7" x14ac:dyDescent="0.25">
      <c r="A579" s="41" t="s">
        <v>3623</v>
      </c>
      <c r="B579" s="41" t="s">
        <v>3602</v>
      </c>
      <c r="C579" s="41" t="s">
        <v>2928</v>
      </c>
      <c r="D579" s="41" t="s">
        <v>3601</v>
      </c>
      <c r="E579" s="41" t="s">
        <v>2929</v>
      </c>
      <c r="F579" s="41" t="s">
        <v>2949</v>
      </c>
      <c r="G579" s="41" t="s">
        <v>2950</v>
      </c>
    </row>
    <row r="580" spans="1:7" x14ac:dyDescent="0.25">
      <c r="A580" s="41" t="s">
        <v>3624</v>
      </c>
      <c r="B580" s="41" t="s">
        <v>3625</v>
      </c>
      <c r="C580" s="41" t="s">
        <v>77</v>
      </c>
      <c r="D580" s="41" t="s">
        <v>3626</v>
      </c>
      <c r="E580" s="41" t="s">
        <v>2929</v>
      </c>
      <c r="F580" s="41" t="s">
        <v>2933</v>
      </c>
      <c r="G580" s="41" t="s">
        <v>2934</v>
      </c>
    </row>
    <row r="581" spans="1:7" x14ac:dyDescent="0.25">
      <c r="A581" s="41" t="s">
        <v>3627</v>
      </c>
      <c r="B581" s="41" t="s">
        <v>3628</v>
      </c>
      <c r="C581" s="41" t="s">
        <v>77</v>
      </c>
      <c r="D581" s="41" t="s">
        <v>3629</v>
      </c>
      <c r="E581" s="41" t="s">
        <v>2929</v>
      </c>
      <c r="F581" s="41" t="s">
        <v>2930</v>
      </c>
      <c r="G581" s="41" t="s">
        <v>2931</v>
      </c>
    </row>
    <row r="582" spans="1:7" x14ac:dyDescent="0.25">
      <c r="A582" s="41" t="s">
        <v>3630</v>
      </c>
      <c r="B582" s="41" t="s">
        <v>266</v>
      </c>
      <c r="C582" s="41" t="s">
        <v>2928</v>
      </c>
      <c r="D582" s="41" t="s">
        <v>3630</v>
      </c>
      <c r="E582" s="41" t="s">
        <v>2929</v>
      </c>
      <c r="F582" s="41" t="s">
        <v>2930</v>
      </c>
      <c r="G582" s="41" t="s">
        <v>2931</v>
      </c>
    </row>
    <row r="583" spans="1:7" x14ac:dyDescent="0.25">
      <c r="A583" s="41" t="s">
        <v>3631</v>
      </c>
      <c r="B583" s="41" t="s">
        <v>266</v>
      </c>
      <c r="C583" s="41" t="s">
        <v>2928</v>
      </c>
      <c r="D583" s="41" t="s">
        <v>3630</v>
      </c>
      <c r="E583" s="41" t="s">
        <v>2929</v>
      </c>
      <c r="F583" s="41" t="s">
        <v>2933</v>
      </c>
      <c r="G583" s="41" t="s">
        <v>2934</v>
      </c>
    </row>
    <row r="584" spans="1:7" x14ac:dyDescent="0.25">
      <c r="A584" s="41" t="s">
        <v>3632</v>
      </c>
      <c r="B584" s="41" t="s">
        <v>266</v>
      </c>
      <c r="C584" s="41" t="s">
        <v>2928</v>
      </c>
      <c r="D584" s="41" t="s">
        <v>3630</v>
      </c>
      <c r="E584" s="41" t="s">
        <v>2929</v>
      </c>
      <c r="F584" s="41" t="s">
        <v>2930</v>
      </c>
      <c r="G584" s="41" t="s">
        <v>2931</v>
      </c>
    </row>
    <row r="585" spans="1:7" x14ac:dyDescent="0.25">
      <c r="A585" s="41" t="s">
        <v>3633</v>
      </c>
      <c r="B585" s="41" t="s">
        <v>266</v>
      </c>
      <c r="C585" s="41" t="s">
        <v>2928</v>
      </c>
      <c r="D585" s="41" t="s">
        <v>3630</v>
      </c>
      <c r="E585" s="41" t="s">
        <v>2929</v>
      </c>
      <c r="F585" s="41" t="s">
        <v>2949</v>
      </c>
      <c r="G585" s="41" t="s">
        <v>2950</v>
      </c>
    </row>
    <row r="586" spans="1:7" x14ac:dyDescent="0.25">
      <c r="A586" s="41" t="s">
        <v>3634</v>
      </c>
      <c r="B586" s="41" t="s">
        <v>3635</v>
      </c>
      <c r="C586" s="41" t="s">
        <v>2928</v>
      </c>
      <c r="D586" s="41" t="s">
        <v>3634</v>
      </c>
      <c r="E586" s="41" t="s">
        <v>2929</v>
      </c>
      <c r="F586" s="41" t="s">
        <v>2930</v>
      </c>
      <c r="G586" s="41" t="s">
        <v>2931</v>
      </c>
    </row>
    <row r="587" spans="1:7" x14ac:dyDescent="0.25">
      <c r="A587" s="41" t="s">
        <v>3636</v>
      </c>
      <c r="B587" s="41" t="s">
        <v>3635</v>
      </c>
      <c r="C587" s="41" t="s">
        <v>2928</v>
      </c>
      <c r="D587" s="41" t="s">
        <v>3634</v>
      </c>
      <c r="E587" s="41" t="s">
        <v>2929</v>
      </c>
      <c r="F587" s="41" t="s">
        <v>2933</v>
      </c>
      <c r="G587" s="41" t="s">
        <v>2934</v>
      </c>
    </row>
    <row r="588" spans="1:7" x14ac:dyDescent="0.25">
      <c r="A588" s="41" t="s">
        <v>3637</v>
      </c>
      <c r="B588" s="41" t="s">
        <v>3635</v>
      </c>
      <c r="C588" s="41" t="s">
        <v>2928</v>
      </c>
      <c r="D588" s="41" t="s">
        <v>3634</v>
      </c>
      <c r="E588" s="41" t="s">
        <v>2929</v>
      </c>
      <c r="F588" s="41" t="s">
        <v>2930</v>
      </c>
      <c r="G588" s="41" t="s">
        <v>2931</v>
      </c>
    </row>
    <row r="589" spans="1:7" x14ac:dyDescent="0.25">
      <c r="A589" s="41" t="s">
        <v>3638</v>
      </c>
      <c r="B589" s="41" t="s">
        <v>3635</v>
      </c>
      <c r="C589" s="41" t="s">
        <v>2928</v>
      </c>
      <c r="D589" s="41" t="s">
        <v>3634</v>
      </c>
      <c r="E589" s="41" t="s">
        <v>2929</v>
      </c>
      <c r="F589" s="41" t="s">
        <v>2949</v>
      </c>
      <c r="G589" s="41" t="s">
        <v>2950</v>
      </c>
    </row>
    <row r="590" spans="1:7" x14ac:dyDescent="0.25">
      <c r="A590" s="41" t="s">
        <v>3639</v>
      </c>
      <c r="B590" s="41" t="s">
        <v>3640</v>
      </c>
      <c r="C590" s="41" t="s">
        <v>2928</v>
      </c>
      <c r="D590" s="41" t="s">
        <v>3639</v>
      </c>
      <c r="E590" s="41" t="s">
        <v>2929</v>
      </c>
      <c r="F590" s="41" t="s">
        <v>2930</v>
      </c>
      <c r="G590" s="41" t="s">
        <v>2931</v>
      </c>
    </row>
    <row r="591" spans="1:7" x14ac:dyDescent="0.25">
      <c r="A591" s="41" t="s">
        <v>3641</v>
      </c>
      <c r="B591" s="41" t="s">
        <v>3640</v>
      </c>
      <c r="C591" s="41" t="s">
        <v>2928</v>
      </c>
      <c r="D591" s="41" t="s">
        <v>3639</v>
      </c>
      <c r="E591" s="41" t="s">
        <v>2929</v>
      </c>
      <c r="F591" s="41" t="s">
        <v>2933</v>
      </c>
      <c r="G591" s="41" t="s">
        <v>2934</v>
      </c>
    </row>
    <row r="592" spans="1:7" x14ac:dyDescent="0.25">
      <c r="A592" s="41" t="s">
        <v>3642</v>
      </c>
      <c r="B592" s="41" t="s">
        <v>3640</v>
      </c>
      <c r="C592" s="41" t="s">
        <v>2928</v>
      </c>
      <c r="D592" s="41" t="s">
        <v>3639</v>
      </c>
      <c r="E592" s="41" t="s">
        <v>2929</v>
      </c>
      <c r="F592" s="41" t="s">
        <v>2933</v>
      </c>
      <c r="G592" s="41" t="s">
        <v>2934</v>
      </c>
    </row>
    <row r="593" spans="1:7" x14ac:dyDescent="0.25">
      <c r="A593" s="41" t="s">
        <v>3643</v>
      </c>
      <c r="B593" s="41" t="s">
        <v>3640</v>
      </c>
      <c r="C593" s="41" t="s">
        <v>2928</v>
      </c>
      <c r="D593" s="41" t="s">
        <v>3639</v>
      </c>
      <c r="E593" s="41" t="s">
        <v>2929</v>
      </c>
      <c r="F593" s="41" t="s">
        <v>2933</v>
      </c>
      <c r="G593" s="41" t="s">
        <v>2934</v>
      </c>
    </row>
    <row r="594" spans="1:7" x14ac:dyDescent="0.25">
      <c r="A594" s="41" t="s">
        <v>3644</v>
      </c>
      <c r="B594" s="41" t="s">
        <v>3640</v>
      </c>
      <c r="C594" s="41" t="s">
        <v>2928</v>
      </c>
      <c r="D594" s="41" t="s">
        <v>3639</v>
      </c>
      <c r="E594" s="41" t="s">
        <v>2929</v>
      </c>
      <c r="F594" s="41" t="s">
        <v>2933</v>
      </c>
      <c r="G594" s="41" t="s">
        <v>2934</v>
      </c>
    </row>
    <row r="595" spans="1:7" x14ac:dyDescent="0.25">
      <c r="A595" s="41" t="s">
        <v>3645</v>
      </c>
      <c r="B595" s="41" t="s">
        <v>3640</v>
      </c>
      <c r="C595" s="41" t="s">
        <v>2928</v>
      </c>
      <c r="D595" s="41" t="s">
        <v>3639</v>
      </c>
      <c r="E595" s="41" t="s">
        <v>2929</v>
      </c>
      <c r="F595" s="41" t="s">
        <v>2933</v>
      </c>
      <c r="G595" s="41" t="s">
        <v>2934</v>
      </c>
    </row>
    <row r="596" spans="1:7" x14ac:dyDescent="0.25">
      <c r="A596" s="41" t="s">
        <v>3646</v>
      </c>
      <c r="B596" s="41" t="s">
        <v>3640</v>
      </c>
      <c r="C596" s="41" t="s">
        <v>2928</v>
      </c>
      <c r="D596" s="41" t="s">
        <v>3639</v>
      </c>
      <c r="E596" s="41" t="s">
        <v>2929</v>
      </c>
      <c r="F596" s="41" t="s">
        <v>2933</v>
      </c>
      <c r="G596" s="41" t="s">
        <v>2934</v>
      </c>
    </row>
    <row r="597" spans="1:7" x14ac:dyDescent="0.25">
      <c r="A597" s="41" t="s">
        <v>3647</v>
      </c>
      <c r="B597" s="41" t="s">
        <v>3640</v>
      </c>
      <c r="C597" s="41" t="s">
        <v>2928</v>
      </c>
      <c r="D597" s="41" t="s">
        <v>3639</v>
      </c>
      <c r="E597" s="41" t="s">
        <v>2929</v>
      </c>
      <c r="F597" s="41" t="s">
        <v>2933</v>
      </c>
      <c r="G597" s="41" t="s">
        <v>2934</v>
      </c>
    </row>
    <row r="598" spans="1:7" x14ac:dyDescent="0.25">
      <c r="A598" s="41" t="s">
        <v>3648</v>
      </c>
      <c r="B598" s="41" t="s">
        <v>3640</v>
      </c>
      <c r="C598" s="41" t="s">
        <v>2928</v>
      </c>
      <c r="D598" s="41" t="s">
        <v>3639</v>
      </c>
      <c r="E598" s="41" t="s">
        <v>2929</v>
      </c>
      <c r="F598" s="41" t="s">
        <v>2930</v>
      </c>
      <c r="G598" s="41" t="s">
        <v>2931</v>
      </c>
    </row>
    <row r="599" spans="1:7" x14ac:dyDescent="0.25">
      <c r="A599" s="41" t="s">
        <v>3649</v>
      </c>
      <c r="B599" s="41" t="s">
        <v>3640</v>
      </c>
      <c r="C599" s="41" t="s">
        <v>2928</v>
      </c>
      <c r="D599" s="41" t="s">
        <v>3639</v>
      </c>
      <c r="E599" s="41" t="s">
        <v>2929</v>
      </c>
      <c r="F599" s="41" t="s">
        <v>2930</v>
      </c>
      <c r="G599" s="41" t="s">
        <v>2931</v>
      </c>
    </row>
    <row r="600" spans="1:7" x14ac:dyDescent="0.25">
      <c r="A600" s="41" t="s">
        <v>3650</v>
      </c>
      <c r="B600" s="41" t="s">
        <v>3640</v>
      </c>
      <c r="C600" s="41" t="s">
        <v>2928</v>
      </c>
      <c r="D600" s="41" t="s">
        <v>3639</v>
      </c>
      <c r="E600" s="41" t="s">
        <v>2929</v>
      </c>
      <c r="F600" s="41" t="s">
        <v>2930</v>
      </c>
      <c r="G600" s="41" t="s">
        <v>2931</v>
      </c>
    </row>
    <row r="601" spans="1:7" x14ac:dyDescent="0.25">
      <c r="A601" s="41" t="s">
        <v>3651</v>
      </c>
      <c r="B601" s="41" t="s">
        <v>3640</v>
      </c>
      <c r="C601" s="41" t="s">
        <v>2928</v>
      </c>
      <c r="D601" s="41" t="s">
        <v>3639</v>
      </c>
      <c r="E601" s="41" t="s">
        <v>2929</v>
      </c>
      <c r="F601" s="41" t="s">
        <v>2930</v>
      </c>
      <c r="G601" s="41" t="s">
        <v>2931</v>
      </c>
    </row>
    <row r="602" spans="1:7" x14ac:dyDescent="0.25">
      <c r="A602" s="41" t="s">
        <v>3652</v>
      </c>
      <c r="B602" s="41" t="s">
        <v>3640</v>
      </c>
      <c r="C602" s="41" t="s">
        <v>2928</v>
      </c>
      <c r="D602" s="41" t="s">
        <v>3639</v>
      </c>
      <c r="E602" s="41" t="s">
        <v>2929</v>
      </c>
      <c r="F602" s="41" t="s">
        <v>2930</v>
      </c>
      <c r="G602" s="41" t="s">
        <v>2931</v>
      </c>
    </row>
    <row r="603" spans="1:7" x14ac:dyDescent="0.25">
      <c r="A603" s="41" t="s">
        <v>3653</v>
      </c>
      <c r="B603" s="41" t="s">
        <v>3640</v>
      </c>
      <c r="C603" s="41" t="s">
        <v>2928</v>
      </c>
      <c r="D603" s="41" t="s">
        <v>3639</v>
      </c>
      <c r="E603" s="41" t="s">
        <v>2929</v>
      </c>
      <c r="F603" s="41" t="s">
        <v>2930</v>
      </c>
      <c r="G603" s="41" t="s">
        <v>2931</v>
      </c>
    </row>
    <row r="604" spans="1:7" x14ac:dyDescent="0.25">
      <c r="A604" s="41" t="s">
        <v>3654</v>
      </c>
      <c r="B604" s="41" t="s">
        <v>3640</v>
      </c>
      <c r="C604" s="41" t="s">
        <v>2928</v>
      </c>
      <c r="D604" s="41" t="s">
        <v>3639</v>
      </c>
      <c r="E604" s="41" t="s">
        <v>2929</v>
      </c>
      <c r="F604" s="41" t="s">
        <v>2930</v>
      </c>
      <c r="G604" s="41" t="s">
        <v>2931</v>
      </c>
    </row>
    <row r="605" spans="1:7" x14ac:dyDescent="0.25">
      <c r="A605" s="41" t="s">
        <v>3655</v>
      </c>
      <c r="B605" s="41" t="s">
        <v>3640</v>
      </c>
      <c r="C605" s="41" t="s">
        <v>2928</v>
      </c>
      <c r="D605" s="41" t="s">
        <v>3639</v>
      </c>
      <c r="E605" s="41" t="s">
        <v>2929</v>
      </c>
      <c r="F605" s="41" t="s">
        <v>2949</v>
      </c>
      <c r="G605" s="41" t="s">
        <v>2950</v>
      </c>
    </row>
    <row r="606" spans="1:7" x14ac:dyDescent="0.25">
      <c r="A606" s="41" t="s">
        <v>3656</v>
      </c>
      <c r="B606" s="41" t="s">
        <v>3640</v>
      </c>
      <c r="C606" s="41" t="s">
        <v>2928</v>
      </c>
      <c r="D606" s="41" t="s">
        <v>3639</v>
      </c>
      <c r="E606" s="41" t="s">
        <v>2929</v>
      </c>
      <c r="F606" s="41" t="s">
        <v>2949</v>
      </c>
      <c r="G606" s="41" t="s">
        <v>2950</v>
      </c>
    </row>
    <row r="607" spans="1:7" x14ac:dyDescent="0.25">
      <c r="A607" s="41" t="s">
        <v>3657</v>
      </c>
      <c r="B607" s="41" t="s">
        <v>3640</v>
      </c>
      <c r="C607" s="41" t="s">
        <v>2928</v>
      </c>
      <c r="D607" s="41" t="s">
        <v>3639</v>
      </c>
      <c r="E607" s="41" t="s">
        <v>2929</v>
      </c>
      <c r="F607" s="41" t="s">
        <v>2949</v>
      </c>
      <c r="G607" s="41" t="s">
        <v>2950</v>
      </c>
    </row>
    <row r="608" spans="1:7" x14ac:dyDescent="0.25">
      <c r="A608" s="41" t="s">
        <v>3658</v>
      </c>
      <c r="B608" s="41" t="s">
        <v>3640</v>
      </c>
      <c r="C608" s="41" t="s">
        <v>2928</v>
      </c>
      <c r="D608" s="41" t="s">
        <v>3639</v>
      </c>
      <c r="E608" s="41" t="s">
        <v>2929</v>
      </c>
      <c r="F608" s="41" t="s">
        <v>2949</v>
      </c>
      <c r="G608" s="41" t="s">
        <v>2950</v>
      </c>
    </row>
    <row r="609" spans="1:7" x14ac:dyDescent="0.25">
      <c r="A609" s="41" t="s">
        <v>3659</v>
      </c>
      <c r="B609" s="41" t="s">
        <v>3640</v>
      </c>
      <c r="C609" s="41" t="s">
        <v>2928</v>
      </c>
      <c r="D609" s="41" t="s">
        <v>3639</v>
      </c>
      <c r="E609" s="41" t="s">
        <v>2929</v>
      </c>
      <c r="F609" s="41" t="s">
        <v>2949</v>
      </c>
      <c r="G609" s="41" t="s">
        <v>2950</v>
      </c>
    </row>
    <row r="610" spans="1:7" x14ac:dyDescent="0.25">
      <c r="A610" s="41" t="s">
        <v>3660</v>
      </c>
      <c r="B610" s="41" t="s">
        <v>3640</v>
      </c>
      <c r="C610" s="41" t="s">
        <v>2928</v>
      </c>
      <c r="D610" s="41" t="s">
        <v>3639</v>
      </c>
      <c r="E610" s="41" t="s">
        <v>2929</v>
      </c>
      <c r="F610" s="41" t="s">
        <v>2949</v>
      </c>
      <c r="G610" s="41" t="s">
        <v>2950</v>
      </c>
    </row>
    <row r="611" spans="1:7" x14ac:dyDescent="0.25">
      <c r="A611" s="41" t="s">
        <v>3661</v>
      </c>
      <c r="B611" s="41" t="s">
        <v>3640</v>
      </c>
      <c r="C611" s="41" t="s">
        <v>2928</v>
      </c>
      <c r="D611" s="41" t="s">
        <v>3639</v>
      </c>
      <c r="E611" s="41" t="s">
        <v>2929</v>
      </c>
      <c r="F611" s="41" t="s">
        <v>2949</v>
      </c>
      <c r="G611" s="41" t="s">
        <v>2950</v>
      </c>
    </row>
    <row r="612" spans="1:7" x14ac:dyDescent="0.25">
      <c r="A612" s="41" t="s">
        <v>3662</v>
      </c>
      <c r="B612" s="41" t="s">
        <v>3663</v>
      </c>
      <c r="C612" s="41" t="s">
        <v>2928</v>
      </c>
      <c r="D612" s="41" t="s">
        <v>3662</v>
      </c>
      <c r="E612" s="41" t="s">
        <v>2929</v>
      </c>
      <c r="F612" s="41" t="s">
        <v>2930</v>
      </c>
      <c r="G612" s="41" t="s">
        <v>2931</v>
      </c>
    </row>
    <row r="613" spans="1:7" x14ac:dyDescent="0.25">
      <c r="A613" s="41" t="s">
        <v>3664</v>
      </c>
      <c r="B613" s="41" t="s">
        <v>3663</v>
      </c>
      <c r="C613" s="41" t="s">
        <v>2928</v>
      </c>
      <c r="D613" s="41" t="s">
        <v>3662</v>
      </c>
      <c r="E613" s="41" t="s">
        <v>2929</v>
      </c>
      <c r="F613" s="41" t="s">
        <v>2933</v>
      </c>
      <c r="G613" s="41" t="s">
        <v>2934</v>
      </c>
    </row>
    <row r="614" spans="1:7" x14ac:dyDescent="0.25">
      <c r="A614" s="41" t="s">
        <v>3665</v>
      </c>
      <c r="B614" s="41" t="s">
        <v>3663</v>
      </c>
      <c r="C614" s="41" t="s">
        <v>2928</v>
      </c>
      <c r="D614" s="41" t="s">
        <v>3662</v>
      </c>
      <c r="E614" s="41" t="s">
        <v>2929</v>
      </c>
      <c r="F614" s="41" t="s">
        <v>2933</v>
      </c>
      <c r="G614" s="41" t="s">
        <v>2934</v>
      </c>
    </row>
    <row r="615" spans="1:7" x14ac:dyDescent="0.25">
      <c r="A615" s="41" t="s">
        <v>3666</v>
      </c>
      <c r="B615" s="41" t="s">
        <v>3663</v>
      </c>
      <c r="C615" s="41" t="s">
        <v>2928</v>
      </c>
      <c r="D615" s="41" t="s">
        <v>3662</v>
      </c>
      <c r="E615" s="41" t="s">
        <v>2929</v>
      </c>
      <c r="F615" s="41" t="s">
        <v>2930</v>
      </c>
      <c r="G615" s="41" t="s">
        <v>2931</v>
      </c>
    </row>
    <row r="616" spans="1:7" x14ac:dyDescent="0.25">
      <c r="A616" s="41" t="s">
        <v>3667</v>
      </c>
      <c r="B616" s="41" t="s">
        <v>3663</v>
      </c>
      <c r="C616" s="41" t="s">
        <v>2928</v>
      </c>
      <c r="D616" s="41" t="s">
        <v>3662</v>
      </c>
      <c r="E616" s="41" t="s">
        <v>2929</v>
      </c>
      <c r="F616" s="41" t="s">
        <v>2949</v>
      </c>
      <c r="G616" s="41" t="s">
        <v>2950</v>
      </c>
    </row>
    <row r="617" spans="1:7" x14ac:dyDescent="0.25">
      <c r="A617" s="41" t="s">
        <v>3668</v>
      </c>
      <c r="B617" s="41" t="s">
        <v>3669</v>
      </c>
      <c r="C617" s="41" t="s">
        <v>77</v>
      </c>
      <c r="D617" s="41" t="s">
        <v>3670</v>
      </c>
      <c r="E617" s="41" t="s">
        <v>2929</v>
      </c>
      <c r="F617" s="41" t="s">
        <v>2930</v>
      </c>
      <c r="G617" s="41" t="s">
        <v>2931</v>
      </c>
    </row>
    <row r="618" spans="1:7" x14ac:dyDescent="0.25">
      <c r="A618" s="41" t="s">
        <v>3671</v>
      </c>
      <c r="B618" s="41" t="s">
        <v>3669</v>
      </c>
      <c r="C618" s="41" t="s">
        <v>77</v>
      </c>
      <c r="D618" s="41" t="s">
        <v>3670</v>
      </c>
      <c r="E618" s="41" t="s">
        <v>2984</v>
      </c>
      <c r="F618" s="41" t="s">
        <v>3355</v>
      </c>
      <c r="G618" s="41" t="s">
        <v>2950</v>
      </c>
    </row>
    <row r="619" spans="1:7" x14ac:dyDescent="0.25">
      <c r="A619" s="41" t="s">
        <v>3672</v>
      </c>
      <c r="B619" s="41" t="s">
        <v>3669</v>
      </c>
      <c r="C619" s="41" t="s">
        <v>77</v>
      </c>
      <c r="D619" s="41" t="s">
        <v>3670</v>
      </c>
      <c r="E619" s="41" t="s">
        <v>2929</v>
      </c>
      <c r="F619" s="41" t="s">
        <v>2933</v>
      </c>
      <c r="G619" s="41" t="s">
        <v>2934</v>
      </c>
    </row>
    <row r="620" spans="1:7" x14ac:dyDescent="0.25">
      <c r="A620" s="41" t="s">
        <v>3673</v>
      </c>
      <c r="B620" s="41" t="s">
        <v>3674</v>
      </c>
      <c r="C620" s="41" t="s">
        <v>77</v>
      </c>
      <c r="D620" s="41" t="s">
        <v>3675</v>
      </c>
      <c r="E620" s="41" t="s">
        <v>2929</v>
      </c>
      <c r="F620" s="41" t="s">
        <v>2949</v>
      </c>
      <c r="G620" s="41" t="s">
        <v>2950</v>
      </c>
    </row>
    <row r="621" spans="1:7" x14ac:dyDescent="0.25">
      <c r="A621" s="41" t="s">
        <v>3676</v>
      </c>
      <c r="B621" s="41" t="s">
        <v>3674</v>
      </c>
      <c r="C621" s="41" t="s">
        <v>77</v>
      </c>
      <c r="D621" s="41" t="s">
        <v>3675</v>
      </c>
      <c r="E621" s="41" t="s">
        <v>2929</v>
      </c>
      <c r="F621" s="41" t="s">
        <v>2949</v>
      </c>
      <c r="G621" s="41" t="s">
        <v>2950</v>
      </c>
    </row>
    <row r="622" spans="1:7" x14ac:dyDescent="0.25">
      <c r="A622" s="41" t="s">
        <v>3677</v>
      </c>
      <c r="B622" s="41" t="s">
        <v>3678</v>
      </c>
      <c r="C622" s="41" t="s">
        <v>2928</v>
      </c>
      <c r="D622" s="41" t="s">
        <v>3677</v>
      </c>
      <c r="E622" s="41" t="s">
        <v>2929</v>
      </c>
      <c r="F622" s="41" t="s">
        <v>2930</v>
      </c>
      <c r="G622" s="41" t="s">
        <v>2931</v>
      </c>
    </row>
    <row r="623" spans="1:7" x14ac:dyDescent="0.25">
      <c r="A623" s="41" t="s">
        <v>3679</v>
      </c>
      <c r="B623" s="41" t="s">
        <v>3678</v>
      </c>
      <c r="C623" s="41" t="s">
        <v>2928</v>
      </c>
      <c r="D623" s="41" t="s">
        <v>3677</v>
      </c>
      <c r="E623" s="41" t="s">
        <v>2929</v>
      </c>
      <c r="F623" s="41" t="s">
        <v>2933</v>
      </c>
      <c r="G623" s="41" t="s">
        <v>2934</v>
      </c>
    </row>
    <row r="624" spans="1:7" x14ac:dyDescent="0.25">
      <c r="A624" s="41" t="s">
        <v>3680</v>
      </c>
      <c r="B624" s="41" t="s">
        <v>3678</v>
      </c>
      <c r="C624" s="41" t="s">
        <v>2928</v>
      </c>
      <c r="D624" s="41" t="s">
        <v>3677</v>
      </c>
      <c r="E624" s="41" t="s">
        <v>2929</v>
      </c>
      <c r="F624" s="41" t="s">
        <v>2933</v>
      </c>
      <c r="G624" s="41" t="s">
        <v>2934</v>
      </c>
    </row>
    <row r="625" spans="1:7" x14ac:dyDescent="0.25">
      <c r="A625" s="41" t="s">
        <v>3681</v>
      </c>
      <c r="B625" s="41" t="s">
        <v>3678</v>
      </c>
      <c r="C625" s="41" t="s">
        <v>2928</v>
      </c>
      <c r="D625" s="41" t="s">
        <v>3677</v>
      </c>
      <c r="E625" s="41" t="s">
        <v>2929</v>
      </c>
      <c r="F625" s="41" t="s">
        <v>2933</v>
      </c>
      <c r="G625" s="41" t="s">
        <v>2934</v>
      </c>
    </row>
    <row r="626" spans="1:7" x14ac:dyDescent="0.25">
      <c r="A626" s="41" t="s">
        <v>3682</v>
      </c>
      <c r="B626" s="41" t="s">
        <v>3678</v>
      </c>
      <c r="C626" s="41" t="s">
        <v>2928</v>
      </c>
      <c r="D626" s="41" t="s">
        <v>3677</v>
      </c>
      <c r="E626" s="41" t="s">
        <v>2929</v>
      </c>
      <c r="F626" s="41" t="s">
        <v>2933</v>
      </c>
      <c r="G626" s="41" t="s">
        <v>2934</v>
      </c>
    </row>
    <row r="627" spans="1:7" x14ac:dyDescent="0.25">
      <c r="A627" s="41" t="s">
        <v>3683</v>
      </c>
      <c r="B627" s="41" t="s">
        <v>3678</v>
      </c>
      <c r="C627" s="41" t="s">
        <v>2928</v>
      </c>
      <c r="D627" s="41" t="s">
        <v>3677</v>
      </c>
      <c r="E627" s="41" t="s">
        <v>2929</v>
      </c>
      <c r="F627" s="41" t="s">
        <v>2933</v>
      </c>
      <c r="G627" s="41" t="s">
        <v>2934</v>
      </c>
    </row>
    <row r="628" spans="1:7" x14ac:dyDescent="0.25">
      <c r="A628" s="41" t="s">
        <v>3684</v>
      </c>
      <c r="B628" s="41" t="s">
        <v>3678</v>
      </c>
      <c r="C628" s="41" t="s">
        <v>2928</v>
      </c>
      <c r="D628" s="41" t="s">
        <v>3677</v>
      </c>
      <c r="E628" s="41" t="s">
        <v>2929</v>
      </c>
      <c r="F628" s="41" t="s">
        <v>2933</v>
      </c>
      <c r="G628" s="41" t="s">
        <v>2934</v>
      </c>
    </row>
    <row r="629" spans="1:7" x14ac:dyDescent="0.25">
      <c r="A629" s="41" t="s">
        <v>3685</v>
      </c>
      <c r="B629" s="41" t="s">
        <v>3678</v>
      </c>
      <c r="C629" s="41" t="s">
        <v>2928</v>
      </c>
      <c r="D629" s="41" t="s">
        <v>3677</v>
      </c>
      <c r="E629" s="41" t="s">
        <v>2929</v>
      </c>
      <c r="F629" s="41" t="s">
        <v>2933</v>
      </c>
      <c r="G629" s="41" t="s">
        <v>2934</v>
      </c>
    </row>
    <row r="630" spans="1:7" x14ac:dyDescent="0.25">
      <c r="A630" s="41" t="s">
        <v>3686</v>
      </c>
      <c r="B630" s="41" t="s">
        <v>3678</v>
      </c>
      <c r="C630" s="41" t="s">
        <v>2928</v>
      </c>
      <c r="D630" s="41" t="s">
        <v>3677</v>
      </c>
      <c r="E630" s="41" t="s">
        <v>2929</v>
      </c>
      <c r="F630" s="41" t="s">
        <v>2930</v>
      </c>
      <c r="G630" s="41" t="s">
        <v>2931</v>
      </c>
    </row>
    <row r="631" spans="1:7" x14ac:dyDescent="0.25">
      <c r="A631" s="41" t="s">
        <v>3687</v>
      </c>
      <c r="B631" s="41" t="s">
        <v>3678</v>
      </c>
      <c r="C631" s="41" t="s">
        <v>2928</v>
      </c>
      <c r="D631" s="41" t="s">
        <v>3677</v>
      </c>
      <c r="E631" s="41" t="s">
        <v>2929</v>
      </c>
      <c r="F631" s="41" t="s">
        <v>2930</v>
      </c>
      <c r="G631" s="41" t="s">
        <v>2931</v>
      </c>
    </row>
    <row r="632" spans="1:7" x14ac:dyDescent="0.25">
      <c r="A632" s="41" t="s">
        <v>3688</v>
      </c>
      <c r="B632" s="41" t="s">
        <v>3678</v>
      </c>
      <c r="C632" s="41" t="s">
        <v>2928</v>
      </c>
      <c r="D632" s="41" t="s">
        <v>3677</v>
      </c>
      <c r="E632" s="41" t="s">
        <v>2929</v>
      </c>
      <c r="F632" s="41" t="s">
        <v>2930</v>
      </c>
      <c r="G632" s="41" t="s">
        <v>2931</v>
      </c>
    </row>
    <row r="633" spans="1:7" x14ac:dyDescent="0.25">
      <c r="A633" s="41" t="s">
        <v>3689</v>
      </c>
      <c r="B633" s="41" t="s">
        <v>3678</v>
      </c>
      <c r="C633" s="41" t="s">
        <v>2928</v>
      </c>
      <c r="D633" s="41" t="s">
        <v>3677</v>
      </c>
      <c r="E633" s="41" t="s">
        <v>2929</v>
      </c>
      <c r="F633" s="41" t="s">
        <v>2930</v>
      </c>
      <c r="G633" s="41" t="s">
        <v>2931</v>
      </c>
    </row>
    <row r="634" spans="1:7" x14ac:dyDescent="0.25">
      <c r="A634" s="41" t="s">
        <v>3690</v>
      </c>
      <c r="B634" s="41" t="s">
        <v>3678</v>
      </c>
      <c r="C634" s="41" t="s">
        <v>2928</v>
      </c>
      <c r="D634" s="41" t="s">
        <v>3677</v>
      </c>
      <c r="E634" s="41" t="s">
        <v>2929</v>
      </c>
      <c r="F634" s="41" t="s">
        <v>2930</v>
      </c>
      <c r="G634" s="41" t="s">
        <v>2931</v>
      </c>
    </row>
    <row r="635" spans="1:7" x14ac:dyDescent="0.25">
      <c r="A635" s="41" t="s">
        <v>3691</v>
      </c>
      <c r="B635" s="41" t="s">
        <v>3678</v>
      </c>
      <c r="C635" s="41" t="s">
        <v>2928</v>
      </c>
      <c r="D635" s="41" t="s">
        <v>3677</v>
      </c>
      <c r="E635" s="41" t="s">
        <v>2929</v>
      </c>
      <c r="F635" s="41" t="s">
        <v>2930</v>
      </c>
      <c r="G635" s="41" t="s">
        <v>2931</v>
      </c>
    </row>
    <row r="636" spans="1:7" x14ac:dyDescent="0.25">
      <c r="A636" s="41" t="s">
        <v>3692</v>
      </c>
      <c r="B636" s="41" t="s">
        <v>3678</v>
      </c>
      <c r="C636" s="41" t="s">
        <v>2928</v>
      </c>
      <c r="D636" s="41" t="s">
        <v>3677</v>
      </c>
      <c r="E636" s="41" t="s">
        <v>2929</v>
      </c>
      <c r="F636" s="41" t="s">
        <v>2930</v>
      </c>
      <c r="G636" s="41" t="s">
        <v>2931</v>
      </c>
    </row>
    <row r="637" spans="1:7" x14ac:dyDescent="0.25">
      <c r="A637" s="41" t="s">
        <v>3693</v>
      </c>
      <c r="B637" s="41" t="s">
        <v>3678</v>
      </c>
      <c r="C637" s="41" t="s">
        <v>2928</v>
      </c>
      <c r="D637" s="41" t="s">
        <v>3677</v>
      </c>
      <c r="E637" s="41" t="s">
        <v>2929</v>
      </c>
      <c r="F637" s="41" t="s">
        <v>2949</v>
      </c>
      <c r="G637" s="41" t="s">
        <v>2950</v>
      </c>
    </row>
    <row r="638" spans="1:7" x14ac:dyDescent="0.25">
      <c r="A638" s="41" t="s">
        <v>3694</v>
      </c>
      <c r="B638" s="41" t="s">
        <v>3678</v>
      </c>
      <c r="C638" s="41" t="s">
        <v>2928</v>
      </c>
      <c r="D638" s="41" t="s">
        <v>3677</v>
      </c>
      <c r="E638" s="41" t="s">
        <v>2929</v>
      </c>
      <c r="F638" s="41" t="s">
        <v>2949</v>
      </c>
      <c r="G638" s="41" t="s">
        <v>2950</v>
      </c>
    </row>
    <row r="639" spans="1:7" x14ac:dyDescent="0.25">
      <c r="A639" s="41" t="s">
        <v>3695</v>
      </c>
      <c r="B639" s="41" t="s">
        <v>3678</v>
      </c>
      <c r="C639" s="41" t="s">
        <v>2928</v>
      </c>
      <c r="D639" s="41" t="s">
        <v>3677</v>
      </c>
      <c r="E639" s="41" t="s">
        <v>2929</v>
      </c>
      <c r="F639" s="41" t="s">
        <v>2949</v>
      </c>
      <c r="G639" s="41" t="s">
        <v>2950</v>
      </c>
    </row>
    <row r="640" spans="1:7" x14ac:dyDescent="0.25">
      <c r="A640" s="41" t="s">
        <v>3696</v>
      </c>
      <c r="B640" s="41" t="s">
        <v>3678</v>
      </c>
      <c r="C640" s="41" t="s">
        <v>2928</v>
      </c>
      <c r="D640" s="41" t="s">
        <v>3677</v>
      </c>
      <c r="E640" s="41" t="s">
        <v>2929</v>
      </c>
      <c r="F640" s="41" t="s">
        <v>2949</v>
      </c>
      <c r="G640" s="41" t="s">
        <v>2950</v>
      </c>
    </row>
    <row r="641" spans="1:7" x14ac:dyDescent="0.25">
      <c r="A641" s="41" t="s">
        <v>3697</v>
      </c>
      <c r="B641" s="41" t="s">
        <v>3678</v>
      </c>
      <c r="C641" s="41" t="s">
        <v>2928</v>
      </c>
      <c r="D641" s="41" t="s">
        <v>3677</v>
      </c>
      <c r="E641" s="41" t="s">
        <v>2929</v>
      </c>
      <c r="F641" s="41" t="s">
        <v>2949</v>
      </c>
      <c r="G641" s="41" t="s">
        <v>2950</v>
      </c>
    </row>
    <row r="642" spans="1:7" x14ac:dyDescent="0.25">
      <c r="A642" s="41" t="s">
        <v>3698</v>
      </c>
      <c r="B642" s="41" t="s">
        <v>3678</v>
      </c>
      <c r="C642" s="41" t="s">
        <v>2928</v>
      </c>
      <c r="D642" s="41" t="s">
        <v>3677</v>
      </c>
      <c r="E642" s="41" t="s">
        <v>2929</v>
      </c>
      <c r="F642" s="41" t="s">
        <v>2949</v>
      </c>
      <c r="G642" s="41" t="s">
        <v>2950</v>
      </c>
    </row>
    <row r="643" spans="1:7" x14ac:dyDescent="0.25">
      <c r="A643" s="41" t="s">
        <v>3699</v>
      </c>
      <c r="B643" s="41" t="s">
        <v>3678</v>
      </c>
      <c r="C643" s="41" t="s">
        <v>2928</v>
      </c>
      <c r="D643" s="41" t="s">
        <v>3677</v>
      </c>
      <c r="E643" s="41" t="s">
        <v>2929</v>
      </c>
      <c r="F643" s="41" t="s">
        <v>2949</v>
      </c>
      <c r="G643" s="41" t="s">
        <v>2950</v>
      </c>
    </row>
    <row r="644" spans="1:7" x14ac:dyDescent="0.25">
      <c r="A644" s="41" t="s">
        <v>3700</v>
      </c>
      <c r="B644" s="41" t="s">
        <v>3674</v>
      </c>
      <c r="C644" s="41" t="s">
        <v>77</v>
      </c>
      <c r="D644" s="41" t="s">
        <v>3675</v>
      </c>
      <c r="E644" s="41" t="s">
        <v>2929</v>
      </c>
      <c r="F644" s="41" t="s">
        <v>2933</v>
      </c>
      <c r="G644" s="41" t="s">
        <v>2934</v>
      </c>
    </row>
    <row r="645" spans="1:7" x14ac:dyDescent="0.25">
      <c r="A645" s="41" t="s">
        <v>3701</v>
      </c>
      <c r="B645" s="41" t="s">
        <v>3674</v>
      </c>
      <c r="C645" s="41" t="s">
        <v>77</v>
      </c>
      <c r="D645" s="41" t="s">
        <v>3675</v>
      </c>
      <c r="E645" s="41" t="s">
        <v>2929</v>
      </c>
      <c r="F645" s="41" t="s">
        <v>2949</v>
      </c>
      <c r="G645" s="41" t="s">
        <v>2950</v>
      </c>
    </row>
    <row r="646" spans="1:7" x14ac:dyDescent="0.25">
      <c r="A646" s="41" t="s">
        <v>3702</v>
      </c>
      <c r="B646" s="41" t="s">
        <v>3703</v>
      </c>
      <c r="C646" s="41" t="s">
        <v>77</v>
      </c>
      <c r="D646" s="41" t="s">
        <v>3704</v>
      </c>
      <c r="E646" s="41" t="s">
        <v>2984</v>
      </c>
      <c r="F646" s="41" t="s">
        <v>2949</v>
      </c>
      <c r="G646" s="41" t="s">
        <v>2950</v>
      </c>
    </row>
    <row r="647" spans="1:7" x14ac:dyDescent="0.25">
      <c r="A647" s="41" t="s">
        <v>3705</v>
      </c>
      <c r="B647" s="41" t="s">
        <v>3706</v>
      </c>
      <c r="C647" s="41" t="s">
        <v>77</v>
      </c>
      <c r="D647" s="41" t="s">
        <v>3707</v>
      </c>
      <c r="E647" s="41" t="s">
        <v>2929</v>
      </c>
      <c r="F647" s="41" t="s">
        <v>2949</v>
      </c>
      <c r="G647" s="41" t="s">
        <v>2950</v>
      </c>
    </row>
    <row r="648" spans="1:7" x14ac:dyDescent="0.25">
      <c r="A648" s="41" t="s">
        <v>3708</v>
      </c>
      <c r="B648" s="41" t="s">
        <v>3709</v>
      </c>
      <c r="C648" s="41" t="s">
        <v>77</v>
      </c>
      <c r="D648" s="41" t="s">
        <v>3710</v>
      </c>
      <c r="E648" s="41" t="s">
        <v>2929</v>
      </c>
      <c r="F648" s="41" t="s">
        <v>2933</v>
      </c>
      <c r="G648" s="41" t="s">
        <v>2934</v>
      </c>
    </row>
    <row r="649" spans="1:7" x14ac:dyDescent="0.25">
      <c r="A649" s="41" t="s">
        <v>3711</v>
      </c>
      <c r="B649" s="41" t="s">
        <v>502</v>
      </c>
      <c r="C649" s="41" t="s">
        <v>2928</v>
      </c>
      <c r="D649" s="41" t="s">
        <v>3711</v>
      </c>
      <c r="E649" s="41" t="s">
        <v>2929</v>
      </c>
      <c r="F649" s="41" t="s">
        <v>2930</v>
      </c>
      <c r="G649" s="41" t="s">
        <v>2931</v>
      </c>
    </row>
    <row r="650" spans="1:7" x14ac:dyDescent="0.25">
      <c r="A650" s="41" t="s">
        <v>3712</v>
      </c>
      <c r="B650" s="41" t="s">
        <v>502</v>
      </c>
      <c r="C650" s="41" t="s">
        <v>2928</v>
      </c>
      <c r="D650" s="41" t="s">
        <v>3711</v>
      </c>
      <c r="E650" s="41" t="s">
        <v>2929</v>
      </c>
      <c r="F650" s="41" t="s">
        <v>2933</v>
      </c>
      <c r="G650" s="41" t="s">
        <v>2934</v>
      </c>
    </row>
    <row r="651" spans="1:7" x14ac:dyDescent="0.25">
      <c r="A651" s="41" t="s">
        <v>3713</v>
      </c>
      <c r="B651" s="41" t="s">
        <v>502</v>
      </c>
      <c r="C651" s="41" t="s">
        <v>2928</v>
      </c>
      <c r="D651" s="41" t="s">
        <v>3711</v>
      </c>
      <c r="E651" s="41" t="s">
        <v>2929</v>
      </c>
      <c r="F651" s="41" t="s">
        <v>2933</v>
      </c>
      <c r="G651" s="41" t="s">
        <v>2934</v>
      </c>
    </row>
    <row r="652" spans="1:7" x14ac:dyDescent="0.25">
      <c r="A652" s="41" t="s">
        <v>3714</v>
      </c>
      <c r="B652" s="41" t="s">
        <v>502</v>
      </c>
      <c r="C652" s="41" t="s">
        <v>2928</v>
      </c>
      <c r="D652" s="41" t="s">
        <v>3711</v>
      </c>
      <c r="E652" s="41" t="s">
        <v>2929</v>
      </c>
      <c r="F652" s="41" t="s">
        <v>2933</v>
      </c>
      <c r="G652" s="41" t="s">
        <v>2934</v>
      </c>
    </row>
    <row r="653" spans="1:7" x14ac:dyDescent="0.25">
      <c r="A653" s="41" t="s">
        <v>3715</v>
      </c>
      <c r="B653" s="41" t="s">
        <v>502</v>
      </c>
      <c r="C653" s="41" t="s">
        <v>2928</v>
      </c>
      <c r="D653" s="41" t="s">
        <v>3711</v>
      </c>
      <c r="E653" s="41" t="s">
        <v>2929</v>
      </c>
      <c r="F653" s="41" t="s">
        <v>2933</v>
      </c>
      <c r="G653" s="41" t="s">
        <v>2934</v>
      </c>
    </row>
    <row r="654" spans="1:7" x14ac:dyDescent="0.25">
      <c r="A654" s="41" t="s">
        <v>3716</v>
      </c>
      <c r="B654" s="41" t="s">
        <v>502</v>
      </c>
      <c r="C654" s="41" t="s">
        <v>2928</v>
      </c>
      <c r="D654" s="41" t="s">
        <v>3711</v>
      </c>
      <c r="E654" s="41" t="s">
        <v>2929</v>
      </c>
      <c r="F654" s="41" t="s">
        <v>2933</v>
      </c>
      <c r="G654" s="41" t="s">
        <v>2934</v>
      </c>
    </row>
    <row r="655" spans="1:7" x14ac:dyDescent="0.25">
      <c r="A655" s="41" t="s">
        <v>3717</v>
      </c>
      <c r="B655" s="41" t="s">
        <v>502</v>
      </c>
      <c r="C655" s="41" t="s">
        <v>2928</v>
      </c>
      <c r="D655" s="41" t="s">
        <v>3711</v>
      </c>
      <c r="E655" s="41" t="s">
        <v>2929</v>
      </c>
      <c r="F655" s="41" t="s">
        <v>2933</v>
      </c>
      <c r="G655" s="41" t="s">
        <v>2934</v>
      </c>
    </row>
    <row r="656" spans="1:7" x14ac:dyDescent="0.25">
      <c r="A656" s="41" t="s">
        <v>3718</v>
      </c>
      <c r="B656" s="41" t="s">
        <v>502</v>
      </c>
      <c r="C656" s="41" t="s">
        <v>2928</v>
      </c>
      <c r="D656" s="41" t="s">
        <v>3711</v>
      </c>
      <c r="E656" s="41" t="s">
        <v>2929</v>
      </c>
      <c r="F656" s="41" t="s">
        <v>2933</v>
      </c>
      <c r="G656" s="41" t="s">
        <v>2934</v>
      </c>
    </row>
    <row r="657" spans="1:7" x14ac:dyDescent="0.25">
      <c r="A657" s="41" t="s">
        <v>3719</v>
      </c>
      <c r="B657" s="41" t="s">
        <v>502</v>
      </c>
      <c r="C657" s="41" t="s">
        <v>2928</v>
      </c>
      <c r="D657" s="41" t="s">
        <v>3711</v>
      </c>
      <c r="E657" s="41" t="s">
        <v>2929</v>
      </c>
      <c r="F657" s="41" t="s">
        <v>2930</v>
      </c>
      <c r="G657" s="41" t="s">
        <v>2931</v>
      </c>
    </row>
    <row r="658" spans="1:7" x14ac:dyDescent="0.25">
      <c r="A658" s="41" t="s">
        <v>3720</v>
      </c>
      <c r="B658" s="41" t="s">
        <v>502</v>
      </c>
      <c r="C658" s="41" t="s">
        <v>2928</v>
      </c>
      <c r="D658" s="41" t="s">
        <v>3711</v>
      </c>
      <c r="E658" s="41" t="s">
        <v>2929</v>
      </c>
      <c r="F658" s="41" t="s">
        <v>2930</v>
      </c>
      <c r="G658" s="41" t="s">
        <v>2931</v>
      </c>
    </row>
    <row r="659" spans="1:7" x14ac:dyDescent="0.25">
      <c r="A659" s="41" t="s">
        <v>3721</v>
      </c>
      <c r="B659" s="41" t="s">
        <v>502</v>
      </c>
      <c r="C659" s="41" t="s">
        <v>2928</v>
      </c>
      <c r="D659" s="41" t="s">
        <v>3711</v>
      </c>
      <c r="E659" s="41" t="s">
        <v>2929</v>
      </c>
      <c r="F659" s="41" t="s">
        <v>2930</v>
      </c>
      <c r="G659" s="41" t="s">
        <v>2931</v>
      </c>
    </row>
    <row r="660" spans="1:7" x14ac:dyDescent="0.25">
      <c r="A660" s="41" t="s">
        <v>3722</v>
      </c>
      <c r="B660" s="41" t="s">
        <v>502</v>
      </c>
      <c r="C660" s="41" t="s">
        <v>2928</v>
      </c>
      <c r="D660" s="41" t="s">
        <v>3711</v>
      </c>
      <c r="E660" s="41" t="s">
        <v>2929</v>
      </c>
      <c r="F660" s="41" t="s">
        <v>2930</v>
      </c>
      <c r="G660" s="41" t="s">
        <v>2931</v>
      </c>
    </row>
    <row r="661" spans="1:7" x14ac:dyDescent="0.25">
      <c r="A661" s="41" t="s">
        <v>3723</v>
      </c>
      <c r="B661" s="41" t="s">
        <v>502</v>
      </c>
      <c r="C661" s="41" t="s">
        <v>2928</v>
      </c>
      <c r="D661" s="41" t="s">
        <v>3711</v>
      </c>
      <c r="E661" s="41" t="s">
        <v>2929</v>
      </c>
      <c r="F661" s="41" t="s">
        <v>2930</v>
      </c>
      <c r="G661" s="41" t="s">
        <v>2931</v>
      </c>
    </row>
    <row r="662" spans="1:7" x14ac:dyDescent="0.25">
      <c r="A662" s="41" t="s">
        <v>3724</v>
      </c>
      <c r="B662" s="41" t="s">
        <v>502</v>
      </c>
      <c r="C662" s="41" t="s">
        <v>2928</v>
      </c>
      <c r="D662" s="41" t="s">
        <v>3711</v>
      </c>
      <c r="E662" s="41" t="s">
        <v>2929</v>
      </c>
      <c r="F662" s="41" t="s">
        <v>2930</v>
      </c>
      <c r="G662" s="41" t="s">
        <v>2931</v>
      </c>
    </row>
    <row r="663" spans="1:7" x14ac:dyDescent="0.25">
      <c r="A663" s="41" t="s">
        <v>3725</v>
      </c>
      <c r="B663" s="41" t="s">
        <v>502</v>
      </c>
      <c r="C663" s="41" t="s">
        <v>2928</v>
      </c>
      <c r="D663" s="41" t="s">
        <v>3711</v>
      </c>
      <c r="E663" s="41" t="s">
        <v>2929</v>
      </c>
      <c r="F663" s="41" t="s">
        <v>2930</v>
      </c>
      <c r="G663" s="41" t="s">
        <v>2931</v>
      </c>
    </row>
    <row r="664" spans="1:7" x14ac:dyDescent="0.25">
      <c r="A664" s="41" t="s">
        <v>3726</v>
      </c>
      <c r="B664" s="41" t="s">
        <v>502</v>
      </c>
      <c r="C664" s="41" t="s">
        <v>2928</v>
      </c>
      <c r="D664" s="41" t="s">
        <v>3711</v>
      </c>
      <c r="E664" s="41" t="s">
        <v>2929</v>
      </c>
      <c r="F664" s="41" t="s">
        <v>2949</v>
      </c>
      <c r="G664" s="41" t="s">
        <v>2950</v>
      </c>
    </row>
    <row r="665" spans="1:7" x14ac:dyDescent="0.25">
      <c r="A665" s="41" t="s">
        <v>3727</v>
      </c>
      <c r="B665" s="41" t="s">
        <v>502</v>
      </c>
      <c r="C665" s="41" t="s">
        <v>2928</v>
      </c>
      <c r="D665" s="41" t="s">
        <v>3711</v>
      </c>
      <c r="E665" s="41" t="s">
        <v>2929</v>
      </c>
      <c r="F665" s="41" t="s">
        <v>2949</v>
      </c>
      <c r="G665" s="41" t="s">
        <v>2950</v>
      </c>
    </row>
    <row r="666" spans="1:7" x14ac:dyDescent="0.25">
      <c r="A666" s="41" t="s">
        <v>3728</v>
      </c>
      <c r="B666" s="41" t="s">
        <v>502</v>
      </c>
      <c r="C666" s="41" t="s">
        <v>2928</v>
      </c>
      <c r="D666" s="41" t="s">
        <v>3711</v>
      </c>
      <c r="E666" s="41" t="s">
        <v>2929</v>
      </c>
      <c r="F666" s="41" t="s">
        <v>2949</v>
      </c>
      <c r="G666" s="41" t="s">
        <v>2950</v>
      </c>
    </row>
    <row r="667" spans="1:7" x14ac:dyDescent="0.25">
      <c r="A667" s="41" t="s">
        <v>3729</v>
      </c>
      <c r="B667" s="41" t="s">
        <v>502</v>
      </c>
      <c r="C667" s="41" t="s">
        <v>2928</v>
      </c>
      <c r="D667" s="41" t="s">
        <v>3711</v>
      </c>
      <c r="E667" s="41" t="s">
        <v>2929</v>
      </c>
      <c r="F667" s="41" t="s">
        <v>2949</v>
      </c>
      <c r="G667" s="41" t="s">
        <v>2950</v>
      </c>
    </row>
    <row r="668" spans="1:7" x14ac:dyDescent="0.25">
      <c r="A668" s="41" t="s">
        <v>3730</v>
      </c>
      <c r="B668" s="41" t="s">
        <v>502</v>
      </c>
      <c r="C668" s="41" t="s">
        <v>2928</v>
      </c>
      <c r="D668" s="41" t="s">
        <v>3711</v>
      </c>
      <c r="E668" s="41" t="s">
        <v>2929</v>
      </c>
      <c r="F668" s="41" t="s">
        <v>2949</v>
      </c>
      <c r="G668" s="41" t="s">
        <v>2950</v>
      </c>
    </row>
    <row r="669" spans="1:7" x14ac:dyDescent="0.25">
      <c r="A669" s="41" t="s">
        <v>3731</v>
      </c>
      <c r="B669" s="41" t="s">
        <v>502</v>
      </c>
      <c r="C669" s="41" t="s">
        <v>2928</v>
      </c>
      <c r="D669" s="41" t="s">
        <v>3711</v>
      </c>
      <c r="E669" s="41" t="s">
        <v>2929</v>
      </c>
      <c r="F669" s="41" t="s">
        <v>2949</v>
      </c>
      <c r="G669" s="41" t="s">
        <v>2950</v>
      </c>
    </row>
    <row r="670" spans="1:7" x14ac:dyDescent="0.25">
      <c r="A670" s="41" t="s">
        <v>3732</v>
      </c>
      <c r="B670" s="41" t="s">
        <v>502</v>
      </c>
      <c r="C670" s="41" t="s">
        <v>2928</v>
      </c>
      <c r="D670" s="41" t="s">
        <v>3711</v>
      </c>
      <c r="E670" s="41" t="s">
        <v>2929</v>
      </c>
      <c r="F670" s="41" t="s">
        <v>2949</v>
      </c>
      <c r="G670" s="41" t="s">
        <v>2950</v>
      </c>
    </row>
    <row r="671" spans="1:7" x14ac:dyDescent="0.25">
      <c r="A671" s="41" t="s">
        <v>3733</v>
      </c>
      <c r="B671" s="41" t="s">
        <v>486</v>
      </c>
      <c r="C671" s="41" t="s">
        <v>2928</v>
      </c>
      <c r="D671" s="41" t="s">
        <v>3733</v>
      </c>
      <c r="E671" s="41" t="s">
        <v>2929</v>
      </c>
      <c r="F671" s="41" t="s">
        <v>2930</v>
      </c>
      <c r="G671" s="41" t="s">
        <v>2931</v>
      </c>
    </row>
    <row r="672" spans="1:7" x14ac:dyDescent="0.25">
      <c r="A672" s="41" t="s">
        <v>3734</v>
      </c>
      <c r="B672" s="41" t="s">
        <v>486</v>
      </c>
      <c r="C672" s="41" t="s">
        <v>2928</v>
      </c>
      <c r="D672" s="41" t="s">
        <v>3733</v>
      </c>
      <c r="E672" s="41" t="s">
        <v>2929</v>
      </c>
      <c r="F672" s="41" t="s">
        <v>2933</v>
      </c>
      <c r="G672" s="41" t="s">
        <v>2934</v>
      </c>
    </row>
    <row r="673" spans="1:7" x14ac:dyDescent="0.25">
      <c r="A673" s="41" t="s">
        <v>3735</v>
      </c>
      <c r="B673" s="41" t="s">
        <v>486</v>
      </c>
      <c r="C673" s="41" t="s">
        <v>2928</v>
      </c>
      <c r="D673" s="41" t="s">
        <v>3733</v>
      </c>
      <c r="E673" s="41" t="s">
        <v>2929</v>
      </c>
      <c r="F673" s="41" t="s">
        <v>2933</v>
      </c>
      <c r="G673" s="41" t="s">
        <v>2934</v>
      </c>
    </row>
    <row r="674" spans="1:7" x14ac:dyDescent="0.25">
      <c r="A674" s="41" t="s">
        <v>3736</v>
      </c>
      <c r="B674" s="41" t="s">
        <v>486</v>
      </c>
      <c r="C674" s="41" t="s">
        <v>2928</v>
      </c>
      <c r="D674" s="41" t="s">
        <v>3733</v>
      </c>
      <c r="E674" s="41" t="s">
        <v>2929</v>
      </c>
      <c r="F674" s="41" t="s">
        <v>2933</v>
      </c>
      <c r="G674" s="41" t="s">
        <v>2934</v>
      </c>
    </row>
    <row r="675" spans="1:7" x14ac:dyDescent="0.25">
      <c r="A675" s="41" t="s">
        <v>3737</v>
      </c>
      <c r="B675" s="41" t="s">
        <v>486</v>
      </c>
      <c r="C675" s="41" t="s">
        <v>2928</v>
      </c>
      <c r="D675" s="41" t="s">
        <v>3733</v>
      </c>
      <c r="E675" s="41" t="s">
        <v>2929</v>
      </c>
      <c r="F675" s="41" t="s">
        <v>2933</v>
      </c>
      <c r="G675" s="41" t="s">
        <v>2934</v>
      </c>
    </row>
    <row r="676" spans="1:7" x14ac:dyDescent="0.25">
      <c r="A676" s="41" t="s">
        <v>3738</v>
      </c>
      <c r="B676" s="41" t="s">
        <v>486</v>
      </c>
      <c r="C676" s="41" t="s">
        <v>2928</v>
      </c>
      <c r="D676" s="41" t="s">
        <v>3733</v>
      </c>
      <c r="E676" s="41" t="s">
        <v>2929</v>
      </c>
      <c r="F676" s="41" t="s">
        <v>2933</v>
      </c>
      <c r="G676" s="41" t="s">
        <v>2934</v>
      </c>
    </row>
    <row r="677" spans="1:7" x14ac:dyDescent="0.25">
      <c r="A677" s="41" t="s">
        <v>3739</v>
      </c>
      <c r="B677" s="41" t="s">
        <v>486</v>
      </c>
      <c r="C677" s="41" t="s">
        <v>2928</v>
      </c>
      <c r="D677" s="41" t="s">
        <v>3733</v>
      </c>
      <c r="E677" s="41" t="s">
        <v>2929</v>
      </c>
      <c r="F677" s="41" t="s">
        <v>2933</v>
      </c>
      <c r="G677" s="41" t="s">
        <v>2934</v>
      </c>
    </row>
    <row r="678" spans="1:7" x14ac:dyDescent="0.25">
      <c r="A678" s="41" t="s">
        <v>3740</v>
      </c>
      <c r="B678" s="41" t="s">
        <v>486</v>
      </c>
      <c r="C678" s="41" t="s">
        <v>2928</v>
      </c>
      <c r="D678" s="41" t="s">
        <v>3733</v>
      </c>
      <c r="E678" s="41" t="s">
        <v>2929</v>
      </c>
      <c r="F678" s="41" t="s">
        <v>2933</v>
      </c>
      <c r="G678" s="41" t="s">
        <v>2934</v>
      </c>
    </row>
    <row r="679" spans="1:7" x14ac:dyDescent="0.25">
      <c r="A679" s="41" t="s">
        <v>3741</v>
      </c>
      <c r="B679" s="41" t="s">
        <v>486</v>
      </c>
      <c r="C679" s="41" t="s">
        <v>2928</v>
      </c>
      <c r="D679" s="41" t="s">
        <v>3733</v>
      </c>
      <c r="E679" s="41" t="s">
        <v>2929</v>
      </c>
      <c r="F679" s="41" t="s">
        <v>2930</v>
      </c>
      <c r="G679" s="41" t="s">
        <v>2931</v>
      </c>
    </row>
    <row r="680" spans="1:7" x14ac:dyDescent="0.25">
      <c r="A680" s="41" t="s">
        <v>3742</v>
      </c>
      <c r="B680" s="41" t="s">
        <v>486</v>
      </c>
      <c r="C680" s="41" t="s">
        <v>2928</v>
      </c>
      <c r="D680" s="41" t="s">
        <v>3733</v>
      </c>
      <c r="E680" s="41" t="s">
        <v>2929</v>
      </c>
      <c r="F680" s="41" t="s">
        <v>2930</v>
      </c>
      <c r="G680" s="41" t="s">
        <v>2931</v>
      </c>
    </row>
    <row r="681" spans="1:7" x14ac:dyDescent="0.25">
      <c r="A681" s="41" t="s">
        <v>3743</v>
      </c>
      <c r="B681" s="41" t="s">
        <v>486</v>
      </c>
      <c r="C681" s="41" t="s">
        <v>2928</v>
      </c>
      <c r="D681" s="41" t="s">
        <v>3733</v>
      </c>
      <c r="E681" s="41" t="s">
        <v>2929</v>
      </c>
      <c r="F681" s="41" t="s">
        <v>2930</v>
      </c>
      <c r="G681" s="41" t="s">
        <v>2931</v>
      </c>
    </row>
    <row r="682" spans="1:7" x14ac:dyDescent="0.25">
      <c r="A682" s="41" t="s">
        <v>3744</v>
      </c>
      <c r="B682" s="41" t="s">
        <v>486</v>
      </c>
      <c r="C682" s="41" t="s">
        <v>2928</v>
      </c>
      <c r="D682" s="41" t="s">
        <v>3733</v>
      </c>
      <c r="E682" s="41" t="s">
        <v>2929</v>
      </c>
      <c r="F682" s="41" t="s">
        <v>2930</v>
      </c>
      <c r="G682" s="41" t="s">
        <v>2931</v>
      </c>
    </row>
    <row r="683" spans="1:7" x14ac:dyDescent="0.25">
      <c r="A683" s="41" t="s">
        <v>3745</v>
      </c>
      <c r="B683" s="41" t="s">
        <v>486</v>
      </c>
      <c r="C683" s="41" t="s">
        <v>2928</v>
      </c>
      <c r="D683" s="41" t="s">
        <v>3733</v>
      </c>
      <c r="E683" s="41" t="s">
        <v>2929</v>
      </c>
      <c r="F683" s="41" t="s">
        <v>2930</v>
      </c>
      <c r="G683" s="41" t="s">
        <v>2931</v>
      </c>
    </row>
    <row r="684" spans="1:7" x14ac:dyDescent="0.25">
      <c r="A684" s="41" t="s">
        <v>3746</v>
      </c>
      <c r="B684" s="41" t="s">
        <v>486</v>
      </c>
      <c r="C684" s="41" t="s">
        <v>2928</v>
      </c>
      <c r="D684" s="41" t="s">
        <v>3733</v>
      </c>
      <c r="E684" s="41" t="s">
        <v>2929</v>
      </c>
      <c r="F684" s="41" t="s">
        <v>2930</v>
      </c>
      <c r="G684" s="41" t="s">
        <v>2931</v>
      </c>
    </row>
    <row r="685" spans="1:7" x14ac:dyDescent="0.25">
      <c r="A685" s="41" t="s">
        <v>3747</v>
      </c>
      <c r="B685" s="41" t="s">
        <v>486</v>
      </c>
      <c r="C685" s="41" t="s">
        <v>2928</v>
      </c>
      <c r="D685" s="41" t="s">
        <v>3733</v>
      </c>
      <c r="E685" s="41" t="s">
        <v>2929</v>
      </c>
      <c r="F685" s="41" t="s">
        <v>2930</v>
      </c>
      <c r="G685" s="41" t="s">
        <v>2931</v>
      </c>
    </row>
    <row r="686" spans="1:7" x14ac:dyDescent="0.25">
      <c r="A686" s="41" t="s">
        <v>3748</v>
      </c>
      <c r="B686" s="41" t="s">
        <v>486</v>
      </c>
      <c r="C686" s="41" t="s">
        <v>2928</v>
      </c>
      <c r="D686" s="41" t="s">
        <v>3733</v>
      </c>
      <c r="E686" s="41" t="s">
        <v>2929</v>
      </c>
      <c r="F686" s="41" t="s">
        <v>2949</v>
      </c>
      <c r="G686" s="41" t="s">
        <v>2950</v>
      </c>
    </row>
    <row r="687" spans="1:7" x14ac:dyDescent="0.25">
      <c r="A687" s="41" t="s">
        <v>3749</v>
      </c>
      <c r="B687" s="41" t="s">
        <v>486</v>
      </c>
      <c r="C687" s="41" t="s">
        <v>2928</v>
      </c>
      <c r="D687" s="41" t="s">
        <v>3733</v>
      </c>
      <c r="E687" s="41" t="s">
        <v>2929</v>
      </c>
      <c r="F687" s="41" t="s">
        <v>2949</v>
      </c>
      <c r="G687" s="41" t="s">
        <v>2950</v>
      </c>
    </row>
    <row r="688" spans="1:7" x14ac:dyDescent="0.25">
      <c r="A688" s="41" t="s">
        <v>3750</v>
      </c>
      <c r="B688" s="41" t="s">
        <v>486</v>
      </c>
      <c r="C688" s="41" t="s">
        <v>2928</v>
      </c>
      <c r="D688" s="41" t="s">
        <v>3733</v>
      </c>
      <c r="E688" s="41" t="s">
        <v>2929</v>
      </c>
      <c r="F688" s="41" t="s">
        <v>2949</v>
      </c>
      <c r="G688" s="41" t="s">
        <v>2950</v>
      </c>
    </row>
    <row r="689" spans="1:7" x14ac:dyDescent="0.25">
      <c r="A689" s="41" t="s">
        <v>3751</v>
      </c>
      <c r="B689" s="41" t="s">
        <v>486</v>
      </c>
      <c r="C689" s="41" t="s">
        <v>2928</v>
      </c>
      <c r="D689" s="41" t="s">
        <v>3733</v>
      </c>
      <c r="E689" s="41" t="s">
        <v>2929</v>
      </c>
      <c r="F689" s="41" t="s">
        <v>2949</v>
      </c>
      <c r="G689" s="41" t="s">
        <v>2950</v>
      </c>
    </row>
    <row r="690" spans="1:7" x14ac:dyDescent="0.25">
      <c r="A690" s="41" t="s">
        <v>3752</v>
      </c>
      <c r="B690" s="41" t="s">
        <v>486</v>
      </c>
      <c r="C690" s="41" t="s">
        <v>2928</v>
      </c>
      <c r="D690" s="41" t="s">
        <v>3733</v>
      </c>
      <c r="E690" s="41" t="s">
        <v>2929</v>
      </c>
      <c r="F690" s="41" t="s">
        <v>2949</v>
      </c>
      <c r="G690" s="41" t="s">
        <v>2950</v>
      </c>
    </row>
    <row r="691" spans="1:7" x14ac:dyDescent="0.25">
      <c r="A691" s="41" t="s">
        <v>3753</v>
      </c>
      <c r="B691" s="41" t="s">
        <v>486</v>
      </c>
      <c r="C691" s="41" t="s">
        <v>2928</v>
      </c>
      <c r="D691" s="41" t="s">
        <v>3733</v>
      </c>
      <c r="E691" s="41" t="s">
        <v>2929</v>
      </c>
      <c r="F691" s="41" t="s">
        <v>2949</v>
      </c>
      <c r="G691" s="41" t="s">
        <v>2950</v>
      </c>
    </row>
    <row r="692" spans="1:7" x14ac:dyDescent="0.25">
      <c r="A692" s="41" t="s">
        <v>3754</v>
      </c>
      <c r="B692" s="41" t="s">
        <v>486</v>
      </c>
      <c r="C692" s="41" t="s">
        <v>2928</v>
      </c>
      <c r="D692" s="41" t="s">
        <v>3733</v>
      </c>
      <c r="E692" s="41" t="s">
        <v>2929</v>
      </c>
      <c r="F692" s="41" t="s">
        <v>2949</v>
      </c>
      <c r="G692" s="41" t="s">
        <v>2950</v>
      </c>
    </row>
    <row r="693" spans="1:7" x14ac:dyDescent="0.25">
      <c r="A693" s="41" t="s">
        <v>3755</v>
      </c>
      <c r="B693" s="41" t="s">
        <v>305</v>
      </c>
      <c r="C693" s="41" t="s">
        <v>2928</v>
      </c>
      <c r="D693" s="41" t="s">
        <v>3755</v>
      </c>
      <c r="E693" s="41" t="s">
        <v>3756</v>
      </c>
      <c r="F693" s="41" t="s">
        <v>2930</v>
      </c>
      <c r="G693" s="41" t="s">
        <v>2931</v>
      </c>
    </row>
    <row r="694" spans="1:7" x14ac:dyDescent="0.25">
      <c r="A694" s="41" t="s">
        <v>3757</v>
      </c>
      <c r="B694" s="41" t="s">
        <v>305</v>
      </c>
      <c r="C694" s="41" t="s">
        <v>2928</v>
      </c>
      <c r="D694" s="41" t="s">
        <v>3755</v>
      </c>
      <c r="E694" s="41" t="s">
        <v>2929</v>
      </c>
      <c r="F694" s="41" t="s">
        <v>2933</v>
      </c>
      <c r="G694" s="41" t="s">
        <v>2934</v>
      </c>
    </row>
    <row r="695" spans="1:7" x14ac:dyDescent="0.25">
      <c r="A695" s="41" t="s">
        <v>3758</v>
      </c>
      <c r="B695" s="41" t="s">
        <v>305</v>
      </c>
      <c r="C695" s="41" t="s">
        <v>2928</v>
      </c>
      <c r="D695" s="41" t="s">
        <v>3755</v>
      </c>
      <c r="E695" s="41" t="s">
        <v>2929</v>
      </c>
      <c r="F695" s="41" t="s">
        <v>2933</v>
      </c>
      <c r="G695" s="41" t="s">
        <v>2934</v>
      </c>
    </row>
    <row r="696" spans="1:7" x14ac:dyDescent="0.25">
      <c r="A696" s="41" t="s">
        <v>3759</v>
      </c>
      <c r="B696" s="41" t="s">
        <v>305</v>
      </c>
      <c r="C696" s="41" t="s">
        <v>2928</v>
      </c>
      <c r="D696" s="41" t="s">
        <v>3755</v>
      </c>
      <c r="E696" s="41" t="s">
        <v>2929</v>
      </c>
      <c r="F696" s="41" t="s">
        <v>2933</v>
      </c>
      <c r="G696" s="41" t="s">
        <v>2934</v>
      </c>
    </row>
    <row r="697" spans="1:7" x14ac:dyDescent="0.25">
      <c r="A697" s="41" t="s">
        <v>3760</v>
      </c>
      <c r="B697" s="41" t="s">
        <v>305</v>
      </c>
      <c r="C697" s="41" t="s">
        <v>2928</v>
      </c>
      <c r="D697" s="41" t="s">
        <v>3755</v>
      </c>
      <c r="E697" s="41" t="s">
        <v>2929</v>
      </c>
      <c r="F697" s="41" t="s">
        <v>2933</v>
      </c>
      <c r="G697" s="41" t="s">
        <v>2934</v>
      </c>
    </row>
    <row r="698" spans="1:7" x14ac:dyDescent="0.25">
      <c r="A698" s="41" t="s">
        <v>3761</v>
      </c>
      <c r="B698" s="41" t="s">
        <v>305</v>
      </c>
      <c r="C698" s="41" t="s">
        <v>2928</v>
      </c>
      <c r="D698" s="41" t="s">
        <v>3755</v>
      </c>
      <c r="E698" s="41" t="s">
        <v>2929</v>
      </c>
      <c r="F698" s="41" t="s">
        <v>2933</v>
      </c>
      <c r="G698" s="41" t="s">
        <v>2934</v>
      </c>
    </row>
    <row r="699" spans="1:7" x14ac:dyDescent="0.25">
      <c r="A699" s="41" t="s">
        <v>3762</v>
      </c>
      <c r="B699" s="41" t="s">
        <v>305</v>
      </c>
      <c r="C699" s="41" t="s">
        <v>2928</v>
      </c>
      <c r="D699" s="41" t="s">
        <v>3755</v>
      </c>
      <c r="E699" s="41" t="s">
        <v>2929</v>
      </c>
      <c r="F699" s="41" t="s">
        <v>2933</v>
      </c>
      <c r="G699" s="41" t="s">
        <v>2934</v>
      </c>
    </row>
    <row r="700" spans="1:7" x14ac:dyDescent="0.25">
      <c r="A700" s="41" t="s">
        <v>3763</v>
      </c>
      <c r="B700" s="41" t="s">
        <v>305</v>
      </c>
      <c r="C700" s="41" t="s">
        <v>2928</v>
      </c>
      <c r="D700" s="41" t="s">
        <v>3755</v>
      </c>
      <c r="E700" s="41" t="s">
        <v>2929</v>
      </c>
      <c r="F700" s="41" t="s">
        <v>2933</v>
      </c>
      <c r="G700" s="41" t="s">
        <v>2934</v>
      </c>
    </row>
    <row r="701" spans="1:7" x14ac:dyDescent="0.25">
      <c r="A701" s="41" t="s">
        <v>3764</v>
      </c>
      <c r="B701" s="41" t="s">
        <v>305</v>
      </c>
      <c r="C701" s="41" t="s">
        <v>2928</v>
      </c>
      <c r="D701" s="41" t="s">
        <v>3755</v>
      </c>
      <c r="E701" s="41" t="s">
        <v>2929</v>
      </c>
      <c r="F701" s="41" t="s">
        <v>2930</v>
      </c>
      <c r="G701" s="41" t="s">
        <v>2931</v>
      </c>
    </row>
    <row r="702" spans="1:7" x14ac:dyDescent="0.25">
      <c r="A702" s="41" t="s">
        <v>3765</v>
      </c>
      <c r="B702" s="41" t="s">
        <v>305</v>
      </c>
      <c r="C702" s="41" t="s">
        <v>2928</v>
      </c>
      <c r="D702" s="41" t="s">
        <v>3755</v>
      </c>
      <c r="E702" s="41" t="s">
        <v>2929</v>
      </c>
      <c r="F702" s="41" t="s">
        <v>2930</v>
      </c>
      <c r="G702" s="41" t="s">
        <v>2931</v>
      </c>
    </row>
    <row r="703" spans="1:7" x14ac:dyDescent="0.25">
      <c r="A703" s="41" t="s">
        <v>3766</v>
      </c>
      <c r="B703" s="41" t="s">
        <v>305</v>
      </c>
      <c r="C703" s="41" t="s">
        <v>2928</v>
      </c>
      <c r="D703" s="41" t="s">
        <v>3755</v>
      </c>
      <c r="E703" s="41" t="s">
        <v>2929</v>
      </c>
      <c r="F703" s="41" t="s">
        <v>2930</v>
      </c>
      <c r="G703" s="41" t="s">
        <v>2931</v>
      </c>
    </row>
    <row r="704" spans="1:7" x14ac:dyDescent="0.25">
      <c r="A704" s="41" t="s">
        <v>3767</v>
      </c>
      <c r="B704" s="41" t="s">
        <v>305</v>
      </c>
      <c r="C704" s="41" t="s">
        <v>2928</v>
      </c>
      <c r="D704" s="41" t="s">
        <v>3755</v>
      </c>
      <c r="E704" s="41" t="s">
        <v>2929</v>
      </c>
      <c r="F704" s="41" t="s">
        <v>2930</v>
      </c>
      <c r="G704" s="41" t="s">
        <v>2931</v>
      </c>
    </row>
    <row r="705" spans="1:7" x14ac:dyDescent="0.25">
      <c r="A705" s="41" t="s">
        <v>3768</v>
      </c>
      <c r="B705" s="41" t="s">
        <v>305</v>
      </c>
      <c r="C705" s="41" t="s">
        <v>2928</v>
      </c>
      <c r="D705" s="41" t="s">
        <v>3755</v>
      </c>
      <c r="E705" s="41" t="s">
        <v>2929</v>
      </c>
      <c r="F705" s="41" t="s">
        <v>2930</v>
      </c>
      <c r="G705" s="41" t="s">
        <v>2931</v>
      </c>
    </row>
    <row r="706" spans="1:7" x14ac:dyDescent="0.25">
      <c r="A706" s="41" t="s">
        <v>3769</v>
      </c>
      <c r="B706" s="41" t="s">
        <v>305</v>
      </c>
      <c r="C706" s="41" t="s">
        <v>2928</v>
      </c>
      <c r="D706" s="41" t="s">
        <v>3755</v>
      </c>
      <c r="E706" s="41" t="s">
        <v>2929</v>
      </c>
      <c r="F706" s="41" t="s">
        <v>2930</v>
      </c>
      <c r="G706" s="41" t="s">
        <v>2931</v>
      </c>
    </row>
    <row r="707" spans="1:7" x14ac:dyDescent="0.25">
      <c r="A707" s="41" t="s">
        <v>3770</v>
      </c>
      <c r="B707" s="41" t="s">
        <v>305</v>
      </c>
      <c r="C707" s="41" t="s">
        <v>2928</v>
      </c>
      <c r="D707" s="41" t="s">
        <v>3755</v>
      </c>
      <c r="E707" s="41" t="s">
        <v>2929</v>
      </c>
      <c r="F707" s="41" t="s">
        <v>2930</v>
      </c>
      <c r="G707" s="41" t="s">
        <v>2931</v>
      </c>
    </row>
    <row r="708" spans="1:7" x14ac:dyDescent="0.25">
      <c r="A708" s="41" t="s">
        <v>3771</v>
      </c>
      <c r="B708" s="41" t="s">
        <v>305</v>
      </c>
      <c r="C708" s="41" t="s">
        <v>2928</v>
      </c>
      <c r="D708" s="41" t="s">
        <v>3755</v>
      </c>
      <c r="E708" s="41" t="s">
        <v>2929</v>
      </c>
      <c r="F708" s="41" t="s">
        <v>2949</v>
      </c>
      <c r="G708" s="41" t="s">
        <v>2950</v>
      </c>
    </row>
    <row r="709" spans="1:7" x14ac:dyDescent="0.25">
      <c r="A709" s="41" t="s">
        <v>3772</v>
      </c>
      <c r="B709" s="41" t="s">
        <v>305</v>
      </c>
      <c r="C709" s="41" t="s">
        <v>2928</v>
      </c>
      <c r="D709" s="41" t="s">
        <v>3755</v>
      </c>
      <c r="E709" s="41" t="s">
        <v>2929</v>
      </c>
      <c r="F709" s="41" t="s">
        <v>2949</v>
      </c>
      <c r="G709" s="41" t="s">
        <v>2950</v>
      </c>
    </row>
    <row r="710" spans="1:7" x14ac:dyDescent="0.25">
      <c r="A710" s="41" t="s">
        <v>3773</v>
      </c>
      <c r="B710" s="41" t="s">
        <v>305</v>
      </c>
      <c r="C710" s="41" t="s">
        <v>2928</v>
      </c>
      <c r="D710" s="41" t="s">
        <v>3755</v>
      </c>
      <c r="E710" s="41" t="s">
        <v>2929</v>
      </c>
      <c r="F710" s="41" t="s">
        <v>2949</v>
      </c>
      <c r="G710" s="41" t="s">
        <v>2950</v>
      </c>
    </row>
    <row r="711" spans="1:7" x14ac:dyDescent="0.25">
      <c r="A711" s="41" t="s">
        <v>3774</v>
      </c>
      <c r="B711" s="41" t="s">
        <v>305</v>
      </c>
      <c r="C711" s="41" t="s">
        <v>2928</v>
      </c>
      <c r="D711" s="41" t="s">
        <v>3755</v>
      </c>
      <c r="E711" s="41" t="s">
        <v>2929</v>
      </c>
      <c r="F711" s="41" t="s">
        <v>2949</v>
      </c>
      <c r="G711" s="41" t="s">
        <v>2950</v>
      </c>
    </row>
    <row r="712" spans="1:7" x14ac:dyDescent="0.25">
      <c r="A712" s="41" t="s">
        <v>3775</v>
      </c>
      <c r="B712" s="41" t="s">
        <v>305</v>
      </c>
      <c r="C712" s="41" t="s">
        <v>2928</v>
      </c>
      <c r="D712" s="41" t="s">
        <v>3755</v>
      </c>
      <c r="E712" s="41" t="s">
        <v>2929</v>
      </c>
      <c r="F712" s="41" t="s">
        <v>2949</v>
      </c>
      <c r="G712" s="41" t="s">
        <v>2950</v>
      </c>
    </row>
    <row r="713" spans="1:7" x14ac:dyDescent="0.25">
      <c r="A713" s="41" t="s">
        <v>3776</v>
      </c>
      <c r="B713" s="41" t="s">
        <v>305</v>
      </c>
      <c r="C713" s="41" t="s">
        <v>2928</v>
      </c>
      <c r="D713" s="41" t="s">
        <v>3755</v>
      </c>
      <c r="E713" s="41" t="s">
        <v>2929</v>
      </c>
      <c r="F713" s="41" t="s">
        <v>2949</v>
      </c>
      <c r="G713" s="41" t="s">
        <v>2950</v>
      </c>
    </row>
    <row r="714" spans="1:7" x14ac:dyDescent="0.25">
      <c r="A714" s="41" t="s">
        <v>3777</v>
      </c>
      <c r="B714" s="41" t="s">
        <v>305</v>
      </c>
      <c r="C714" s="41" t="s">
        <v>2928</v>
      </c>
      <c r="D714" s="41" t="s">
        <v>3755</v>
      </c>
      <c r="E714" s="41" t="s">
        <v>2929</v>
      </c>
      <c r="F714" s="41" t="s">
        <v>2949</v>
      </c>
      <c r="G714" s="41" t="s">
        <v>2950</v>
      </c>
    </row>
    <row r="715" spans="1:7" x14ac:dyDescent="0.25">
      <c r="A715" s="41" t="s">
        <v>3778</v>
      </c>
      <c r="B715" s="41" t="s">
        <v>247</v>
      </c>
      <c r="C715" s="41" t="s">
        <v>2928</v>
      </c>
      <c r="D715" s="41" t="s">
        <v>3778</v>
      </c>
      <c r="E715" s="41" t="s">
        <v>2929</v>
      </c>
      <c r="F715" s="41" t="s">
        <v>2930</v>
      </c>
      <c r="G715" s="41" t="s">
        <v>2931</v>
      </c>
    </row>
    <row r="716" spans="1:7" x14ac:dyDescent="0.25">
      <c r="A716" s="41" t="s">
        <v>3779</v>
      </c>
      <c r="B716" s="41" t="s">
        <v>247</v>
      </c>
      <c r="C716" s="41" t="s">
        <v>2928</v>
      </c>
      <c r="D716" s="41" t="s">
        <v>3778</v>
      </c>
      <c r="E716" s="41" t="s">
        <v>2929</v>
      </c>
      <c r="F716" s="41" t="s">
        <v>2933</v>
      </c>
      <c r="G716" s="41" t="s">
        <v>2934</v>
      </c>
    </row>
    <row r="717" spans="1:7" x14ac:dyDescent="0.25">
      <c r="A717" s="41" t="s">
        <v>3780</v>
      </c>
      <c r="B717" s="41" t="s">
        <v>247</v>
      </c>
      <c r="C717" s="41" t="s">
        <v>2928</v>
      </c>
      <c r="D717" s="41" t="s">
        <v>3778</v>
      </c>
      <c r="E717" s="41" t="s">
        <v>2929</v>
      </c>
      <c r="F717" s="41" t="s">
        <v>2933</v>
      </c>
      <c r="G717" s="41" t="s">
        <v>2934</v>
      </c>
    </row>
    <row r="718" spans="1:7" x14ac:dyDescent="0.25">
      <c r="A718" s="41" t="s">
        <v>3781</v>
      </c>
      <c r="B718" s="41" t="s">
        <v>247</v>
      </c>
      <c r="C718" s="41" t="s">
        <v>2928</v>
      </c>
      <c r="D718" s="41" t="s">
        <v>3778</v>
      </c>
      <c r="E718" s="41" t="s">
        <v>2929</v>
      </c>
      <c r="F718" s="41" t="s">
        <v>2933</v>
      </c>
      <c r="G718" s="41" t="s">
        <v>2934</v>
      </c>
    </row>
    <row r="719" spans="1:7" x14ac:dyDescent="0.25">
      <c r="A719" s="41" t="s">
        <v>3782</v>
      </c>
      <c r="B719" s="41" t="s">
        <v>247</v>
      </c>
      <c r="C719" s="41" t="s">
        <v>2928</v>
      </c>
      <c r="D719" s="41" t="s">
        <v>3778</v>
      </c>
      <c r="E719" s="41" t="s">
        <v>2929</v>
      </c>
      <c r="F719" s="41" t="s">
        <v>2933</v>
      </c>
      <c r="G719" s="41" t="s">
        <v>2934</v>
      </c>
    </row>
    <row r="720" spans="1:7" x14ac:dyDescent="0.25">
      <c r="A720" s="41" t="s">
        <v>3783</v>
      </c>
      <c r="B720" s="41" t="s">
        <v>247</v>
      </c>
      <c r="C720" s="41" t="s">
        <v>2928</v>
      </c>
      <c r="D720" s="41" t="s">
        <v>3778</v>
      </c>
      <c r="E720" s="41" t="s">
        <v>2929</v>
      </c>
      <c r="F720" s="41" t="s">
        <v>2933</v>
      </c>
      <c r="G720" s="41" t="s">
        <v>2934</v>
      </c>
    </row>
    <row r="721" spans="1:7" x14ac:dyDescent="0.25">
      <c r="A721" s="41" t="s">
        <v>3784</v>
      </c>
      <c r="B721" s="41" t="s">
        <v>247</v>
      </c>
      <c r="C721" s="41" t="s">
        <v>2928</v>
      </c>
      <c r="D721" s="41" t="s">
        <v>3778</v>
      </c>
      <c r="E721" s="41" t="s">
        <v>2929</v>
      </c>
      <c r="F721" s="41" t="s">
        <v>2933</v>
      </c>
      <c r="G721" s="41" t="s">
        <v>2934</v>
      </c>
    </row>
    <row r="722" spans="1:7" x14ac:dyDescent="0.25">
      <c r="A722" s="41" t="s">
        <v>3785</v>
      </c>
      <c r="B722" s="41" t="s">
        <v>247</v>
      </c>
      <c r="C722" s="41" t="s">
        <v>2928</v>
      </c>
      <c r="D722" s="41" t="s">
        <v>3778</v>
      </c>
      <c r="E722" s="41" t="s">
        <v>2929</v>
      </c>
      <c r="F722" s="41" t="s">
        <v>2933</v>
      </c>
      <c r="G722" s="41" t="s">
        <v>2934</v>
      </c>
    </row>
    <row r="723" spans="1:7" x14ac:dyDescent="0.25">
      <c r="A723" s="41" t="s">
        <v>3786</v>
      </c>
      <c r="B723" s="41" t="s">
        <v>247</v>
      </c>
      <c r="C723" s="41" t="s">
        <v>2928</v>
      </c>
      <c r="D723" s="41" t="s">
        <v>3778</v>
      </c>
      <c r="E723" s="41" t="s">
        <v>2929</v>
      </c>
      <c r="F723" s="41" t="s">
        <v>2930</v>
      </c>
      <c r="G723" s="41" t="s">
        <v>2931</v>
      </c>
    </row>
    <row r="724" spans="1:7" x14ac:dyDescent="0.25">
      <c r="A724" s="41" t="s">
        <v>3787</v>
      </c>
      <c r="B724" s="41" t="s">
        <v>247</v>
      </c>
      <c r="C724" s="41" t="s">
        <v>2928</v>
      </c>
      <c r="D724" s="41" t="s">
        <v>3778</v>
      </c>
      <c r="E724" s="41" t="s">
        <v>2929</v>
      </c>
      <c r="F724" s="41" t="s">
        <v>2930</v>
      </c>
      <c r="G724" s="41" t="s">
        <v>2931</v>
      </c>
    </row>
    <row r="725" spans="1:7" x14ac:dyDescent="0.25">
      <c r="A725" s="41" t="s">
        <v>3788</v>
      </c>
      <c r="B725" s="41" t="s">
        <v>247</v>
      </c>
      <c r="C725" s="41" t="s">
        <v>2928</v>
      </c>
      <c r="D725" s="41" t="s">
        <v>3778</v>
      </c>
      <c r="E725" s="41" t="s">
        <v>2929</v>
      </c>
      <c r="F725" s="41" t="s">
        <v>2930</v>
      </c>
      <c r="G725" s="41" t="s">
        <v>2931</v>
      </c>
    </row>
    <row r="726" spans="1:7" x14ac:dyDescent="0.25">
      <c r="A726" s="41" t="s">
        <v>3789</v>
      </c>
      <c r="B726" s="41" t="s">
        <v>247</v>
      </c>
      <c r="C726" s="41" t="s">
        <v>2928</v>
      </c>
      <c r="D726" s="41" t="s">
        <v>3778</v>
      </c>
      <c r="E726" s="41" t="s">
        <v>2929</v>
      </c>
      <c r="F726" s="41" t="s">
        <v>2930</v>
      </c>
      <c r="G726" s="41" t="s">
        <v>2931</v>
      </c>
    </row>
    <row r="727" spans="1:7" x14ac:dyDescent="0.25">
      <c r="A727" s="41" t="s">
        <v>3790</v>
      </c>
      <c r="B727" s="41" t="s">
        <v>247</v>
      </c>
      <c r="C727" s="41" t="s">
        <v>2928</v>
      </c>
      <c r="D727" s="41" t="s">
        <v>3778</v>
      </c>
      <c r="E727" s="41" t="s">
        <v>2929</v>
      </c>
      <c r="F727" s="41" t="s">
        <v>2930</v>
      </c>
      <c r="G727" s="41" t="s">
        <v>2931</v>
      </c>
    </row>
    <row r="728" spans="1:7" x14ac:dyDescent="0.25">
      <c r="A728" s="41" t="s">
        <v>3791</v>
      </c>
      <c r="B728" s="41" t="s">
        <v>247</v>
      </c>
      <c r="C728" s="41" t="s">
        <v>2928</v>
      </c>
      <c r="D728" s="41" t="s">
        <v>3778</v>
      </c>
      <c r="E728" s="41" t="s">
        <v>2929</v>
      </c>
      <c r="F728" s="41" t="s">
        <v>2930</v>
      </c>
      <c r="G728" s="41" t="s">
        <v>2931</v>
      </c>
    </row>
    <row r="729" spans="1:7" x14ac:dyDescent="0.25">
      <c r="A729" s="41" t="s">
        <v>3792</v>
      </c>
      <c r="B729" s="41" t="s">
        <v>247</v>
      </c>
      <c r="C729" s="41" t="s">
        <v>2928</v>
      </c>
      <c r="D729" s="41" t="s">
        <v>3778</v>
      </c>
      <c r="E729" s="41" t="s">
        <v>2929</v>
      </c>
      <c r="F729" s="41" t="s">
        <v>2930</v>
      </c>
      <c r="G729" s="41" t="s">
        <v>2931</v>
      </c>
    </row>
    <row r="730" spans="1:7" x14ac:dyDescent="0.25">
      <c r="A730" s="41" t="s">
        <v>3793</v>
      </c>
      <c r="B730" s="41" t="s">
        <v>247</v>
      </c>
      <c r="C730" s="41" t="s">
        <v>2928</v>
      </c>
      <c r="D730" s="41" t="s">
        <v>3778</v>
      </c>
      <c r="E730" s="41" t="s">
        <v>2929</v>
      </c>
      <c r="F730" s="41" t="s">
        <v>2949</v>
      </c>
      <c r="G730" s="41" t="s">
        <v>2950</v>
      </c>
    </row>
    <row r="731" spans="1:7" x14ac:dyDescent="0.25">
      <c r="A731" s="41" t="s">
        <v>3794</v>
      </c>
      <c r="B731" s="41" t="s">
        <v>247</v>
      </c>
      <c r="C731" s="41" t="s">
        <v>2928</v>
      </c>
      <c r="D731" s="41" t="s">
        <v>3778</v>
      </c>
      <c r="E731" s="41" t="s">
        <v>2929</v>
      </c>
      <c r="F731" s="41" t="s">
        <v>2949</v>
      </c>
      <c r="G731" s="41" t="s">
        <v>2950</v>
      </c>
    </row>
    <row r="732" spans="1:7" x14ac:dyDescent="0.25">
      <c r="A732" s="41" t="s">
        <v>3795</v>
      </c>
      <c r="B732" s="41" t="s">
        <v>247</v>
      </c>
      <c r="C732" s="41" t="s">
        <v>2928</v>
      </c>
      <c r="D732" s="41" t="s">
        <v>3778</v>
      </c>
      <c r="E732" s="41" t="s">
        <v>2929</v>
      </c>
      <c r="F732" s="41" t="s">
        <v>2949</v>
      </c>
      <c r="G732" s="41" t="s">
        <v>2950</v>
      </c>
    </row>
    <row r="733" spans="1:7" x14ac:dyDescent="0.25">
      <c r="A733" s="41" t="s">
        <v>3796</v>
      </c>
      <c r="B733" s="41" t="s">
        <v>247</v>
      </c>
      <c r="C733" s="41" t="s">
        <v>2928</v>
      </c>
      <c r="D733" s="41" t="s">
        <v>3778</v>
      </c>
      <c r="E733" s="41" t="s">
        <v>2929</v>
      </c>
      <c r="F733" s="41" t="s">
        <v>2949</v>
      </c>
      <c r="G733" s="41" t="s">
        <v>2950</v>
      </c>
    </row>
    <row r="734" spans="1:7" x14ac:dyDescent="0.25">
      <c r="A734" s="41" t="s">
        <v>3797</v>
      </c>
      <c r="B734" s="41" t="s">
        <v>247</v>
      </c>
      <c r="C734" s="41" t="s">
        <v>2928</v>
      </c>
      <c r="D734" s="41" t="s">
        <v>3778</v>
      </c>
      <c r="E734" s="41" t="s">
        <v>2929</v>
      </c>
      <c r="F734" s="41" t="s">
        <v>2949</v>
      </c>
      <c r="G734" s="41" t="s">
        <v>2950</v>
      </c>
    </row>
    <row r="735" spans="1:7" x14ac:dyDescent="0.25">
      <c r="A735" s="41" t="s">
        <v>3798</v>
      </c>
      <c r="B735" s="41" t="s">
        <v>247</v>
      </c>
      <c r="C735" s="41" t="s">
        <v>2928</v>
      </c>
      <c r="D735" s="41" t="s">
        <v>3778</v>
      </c>
      <c r="E735" s="41" t="s">
        <v>2929</v>
      </c>
      <c r="F735" s="41" t="s">
        <v>2949</v>
      </c>
      <c r="G735" s="41" t="s">
        <v>2950</v>
      </c>
    </row>
    <row r="736" spans="1:7" x14ac:dyDescent="0.25">
      <c r="A736" s="41" t="s">
        <v>3799</v>
      </c>
      <c r="B736" s="41" t="s">
        <v>247</v>
      </c>
      <c r="C736" s="41" t="s">
        <v>2928</v>
      </c>
      <c r="D736" s="41" t="s">
        <v>3778</v>
      </c>
      <c r="E736" s="41" t="s">
        <v>2929</v>
      </c>
      <c r="F736" s="41" t="s">
        <v>2949</v>
      </c>
      <c r="G736" s="41" t="s">
        <v>2950</v>
      </c>
    </row>
    <row r="737" spans="1:7" x14ac:dyDescent="0.25">
      <c r="A737" s="41" t="s">
        <v>3800</v>
      </c>
      <c r="B737" s="41" t="s">
        <v>3801</v>
      </c>
      <c r="C737" s="41" t="s">
        <v>2928</v>
      </c>
      <c r="D737" s="41" t="s">
        <v>3800</v>
      </c>
      <c r="E737" s="41" t="s">
        <v>2929</v>
      </c>
      <c r="F737" s="41" t="s">
        <v>2930</v>
      </c>
      <c r="G737" s="41" t="s">
        <v>2931</v>
      </c>
    </row>
    <row r="738" spans="1:7" x14ac:dyDescent="0.25">
      <c r="A738" s="41" t="s">
        <v>3802</v>
      </c>
      <c r="B738" s="41" t="s">
        <v>3801</v>
      </c>
      <c r="C738" s="41" t="s">
        <v>2928</v>
      </c>
      <c r="D738" s="41" t="s">
        <v>3800</v>
      </c>
      <c r="E738" s="41" t="s">
        <v>2929</v>
      </c>
      <c r="F738" s="41" t="s">
        <v>2933</v>
      </c>
      <c r="G738" s="41" t="s">
        <v>2934</v>
      </c>
    </row>
    <row r="739" spans="1:7" x14ac:dyDescent="0.25">
      <c r="A739" s="41" t="s">
        <v>3803</v>
      </c>
      <c r="B739" s="41" t="s">
        <v>3801</v>
      </c>
      <c r="C739" s="41" t="s">
        <v>2928</v>
      </c>
      <c r="D739" s="41" t="s">
        <v>3800</v>
      </c>
      <c r="E739" s="41" t="s">
        <v>2929</v>
      </c>
      <c r="F739" s="41" t="s">
        <v>2933</v>
      </c>
      <c r="G739" s="41" t="s">
        <v>2934</v>
      </c>
    </row>
    <row r="740" spans="1:7" x14ac:dyDescent="0.25">
      <c r="A740" s="41" t="s">
        <v>3804</v>
      </c>
      <c r="B740" s="41" t="s">
        <v>3801</v>
      </c>
      <c r="C740" s="41" t="s">
        <v>2928</v>
      </c>
      <c r="D740" s="41" t="s">
        <v>3800</v>
      </c>
      <c r="E740" s="41" t="s">
        <v>2929</v>
      </c>
      <c r="F740" s="41" t="s">
        <v>2933</v>
      </c>
      <c r="G740" s="41" t="s">
        <v>2934</v>
      </c>
    </row>
    <row r="741" spans="1:7" x14ac:dyDescent="0.25">
      <c r="A741" s="41" t="s">
        <v>3805</v>
      </c>
      <c r="B741" s="41" t="s">
        <v>3801</v>
      </c>
      <c r="C741" s="41" t="s">
        <v>2928</v>
      </c>
      <c r="D741" s="41" t="s">
        <v>3800</v>
      </c>
      <c r="E741" s="41" t="s">
        <v>2929</v>
      </c>
      <c r="F741" s="41" t="s">
        <v>2933</v>
      </c>
      <c r="G741" s="41" t="s">
        <v>2934</v>
      </c>
    </row>
    <row r="742" spans="1:7" x14ac:dyDescent="0.25">
      <c r="A742" s="41" t="s">
        <v>3806</v>
      </c>
      <c r="B742" s="41" t="s">
        <v>3801</v>
      </c>
      <c r="C742" s="41" t="s">
        <v>2928</v>
      </c>
      <c r="D742" s="41" t="s">
        <v>3800</v>
      </c>
      <c r="E742" s="41" t="s">
        <v>2929</v>
      </c>
      <c r="F742" s="41" t="s">
        <v>2933</v>
      </c>
      <c r="G742" s="41" t="s">
        <v>2934</v>
      </c>
    </row>
    <row r="743" spans="1:7" x14ac:dyDescent="0.25">
      <c r="A743" s="41" t="s">
        <v>3807</v>
      </c>
      <c r="B743" s="41" t="s">
        <v>3801</v>
      </c>
      <c r="C743" s="41" t="s">
        <v>2928</v>
      </c>
      <c r="D743" s="41" t="s">
        <v>3800</v>
      </c>
      <c r="E743" s="41" t="s">
        <v>2929</v>
      </c>
      <c r="F743" s="41" t="s">
        <v>2933</v>
      </c>
      <c r="G743" s="41" t="s">
        <v>2934</v>
      </c>
    </row>
    <row r="744" spans="1:7" x14ac:dyDescent="0.25">
      <c r="A744" s="41" t="s">
        <v>3808</v>
      </c>
      <c r="B744" s="41" t="s">
        <v>3801</v>
      </c>
      <c r="C744" s="41" t="s">
        <v>2928</v>
      </c>
      <c r="D744" s="41" t="s">
        <v>3800</v>
      </c>
      <c r="E744" s="41" t="s">
        <v>2929</v>
      </c>
      <c r="F744" s="41" t="s">
        <v>2933</v>
      </c>
      <c r="G744" s="41" t="s">
        <v>2934</v>
      </c>
    </row>
    <row r="745" spans="1:7" x14ac:dyDescent="0.25">
      <c r="A745" s="41" t="s">
        <v>3809</v>
      </c>
      <c r="B745" s="41" t="s">
        <v>3801</v>
      </c>
      <c r="C745" s="41" t="s">
        <v>2928</v>
      </c>
      <c r="D745" s="41" t="s">
        <v>3800</v>
      </c>
      <c r="E745" s="41" t="s">
        <v>2929</v>
      </c>
      <c r="F745" s="41" t="s">
        <v>2930</v>
      </c>
      <c r="G745" s="41" t="s">
        <v>2931</v>
      </c>
    </row>
    <row r="746" spans="1:7" x14ac:dyDescent="0.25">
      <c r="A746" s="41" t="s">
        <v>3810</v>
      </c>
      <c r="B746" s="41" t="s">
        <v>3801</v>
      </c>
      <c r="C746" s="41" t="s">
        <v>2928</v>
      </c>
      <c r="D746" s="41" t="s">
        <v>3800</v>
      </c>
      <c r="E746" s="41" t="s">
        <v>2929</v>
      </c>
      <c r="F746" s="41" t="s">
        <v>2930</v>
      </c>
      <c r="G746" s="41" t="s">
        <v>2931</v>
      </c>
    </row>
    <row r="747" spans="1:7" x14ac:dyDescent="0.25">
      <c r="A747" s="41" t="s">
        <v>3811</v>
      </c>
      <c r="B747" s="41" t="s">
        <v>3801</v>
      </c>
      <c r="C747" s="41" t="s">
        <v>2928</v>
      </c>
      <c r="D747" s="41" t="s">
        <v>3800</v>
      </c>
      <c r="E747" s="41" t="s">
        <v>2929</v>
      </c>
      <c r="F747" s="41" t="s">
        <v>2930</v>
      </c>
      <c r="G747" s="41" t="s">
        <v>2931</v>
      </c>
    </row>
    <row r="748" spans="1:7" x14ac:dyDescent="0.25">
      <c r="A748" s="41" t="s">
        <v>3812</v>
      </c>
      <c r="B748" s="41" t="s">
        <v>3801</v>
      </c>
      <c r="C748" s="41" t="s">
        <v>2928</v>
      </c>
      <c r="D748" s="41" t="s">
        <v>3800</v>
      </c>
      <c r="E748" s="41" t="s">
        <v>2929</v>
      </c>
      <c r="F748" s="41" t="s">
        <v>2930</v>
      </c>
      <c r="G748" s="41" t="s">
        <v>2931</v>
      </c>
    </row>
    <row r="749" spans="1:7" x14ac:dyDescent="0.25">
      <c r="A749" s="41" t="s">
        <v>3813</v>
      </c>
      <c r="B749" s="41" t="s">
        <v>3801</v>
      </c>
      <c r="C749" s="41" t="s">
        <v>2928</v>
      </c>
      <c r="D749" s="41" t="s">
        <v>3800</v>
      </c>
      <c r="E749" s="41" t="s">
        <v>2929</v>
      </c>
      <c r="F749" s="41" t="s">
        <v>2930</v>
      </c>
      <c r="G749" s="41" t="s">
        <v>2931</v>
      </c>
    </row>
    <row r="750" spans="1:7" x14ac:dyDescent="0.25">
      <c r="A750" s="41" t="s">
        <v>3814</v>
      </c>
      <c r="B750" s="41" t="s">
        <v>3801</v>
      </c>
      <c r="C750" s="41" t="s">
        <v>2928</v>
      </c>
      <c r="D750" s="41" t="s">
        <v>3800</v>
      </c>
      <c r="E750" s="41" t="s">
        <v>2929</v>
      </c>
      <c r="F750" s="41" t="s">
        <v>2930</v>
      </c>
      <c r="G750" s="41" t="s">
        <v>2931</v>
      </c>
    </row>
    <row r="751" spans="1:7" x14ac:dyDescent="0.25">
      <c r="A751" s="41" t="s">
        <v>3815</v>
      </c>
      <c r="B751" s="41" t="s">
        <v>3801</v>
      </c>
      <c r="C751" s="41" t="s">
        <v>2928</v>
      </c>
      <c r="D751" s="41" t="s">
        <v>3800</v>
      </c>
      <c r="E751" s="41" t="s">
        <v>2929</v>
      </c>
      <c r="F751" s="41" t="s">
        <v>2930</v>
      </c>
      <c r="G751" s="41" t="s">
        <v>2931</v>
      </c>
    </row>
    <row r="752" spans="1:7" x14ac:dyDescent="0.25">
      <c r="A752" s="41" t="s">
        <v>3816</v>
      </c>
      <c r="B752" s="41" t="s">
        <v>3801</v>
      </c>
      <c r="C752" s="41" t="s">
        <v>2928</v>
      </c>
      <c r="D752" s="41" t="s">
        <v>3800</v>
      </c>
      <c r="E752" s="41" t="s">
        <v>2929</v>
      </c>
      <c r="F752" s="41" t="s">
        <v>2949</v>
      </c>
      <c r="G752" s="41" t="s">
        <v>2950</v>
      </c>
    </row>
    <row r="753" spans="1:7" x14ac:dyDescent="0.25">
      <c r="A753" s="41" t="s">
        <v>3817</v>
      </c>
      <c r="B753" s="41" t="s">
        <v>3801</v>
      </c>
      <c r="C753" s="41" t="s">
        <v>2928</v>
      </c>
      <c r="D753" s="41" t="s">
        <v>3800</v>
      </c>
      <c r="E753" s="41" t="s">
        <v>2929</v>
      </c>
      <c r="F753" s="41" t="s">
        <v>2949</v>
      </c>
      <c r="G753" s="41" t="s">
        <v>2950</v>
      </c>
    </row>
    <row r="754" spans="1:7" x14ac:dyDescent="0.25">
      <c r="A754" s="41" t="s">
        <v>3818</v>
      </c>
      <c r="B754" s="41" t="s">
        <v>3801</v>
      </c>
      <c r="C754" s="41" t="s">
        <v>2928</v>
      </c>
      <c r="D754" s="41" t="s">
        <v>3800</v>
      </c>
      <c r="E754" s="41" t="s">
        <v>2929</v>
      </c>
      <c r="F754" s="41" t="s">
        <v>2949</v>
      </c>
      <c r="G754" s="41" t="s">
        <v>2950</v>
      </c>
    </row>
    <row r="755" spans="1:7" x14ac:dyDescent="0.25">
      <c r="A755" s="41" t="s">
        <v>3819</v>
      </c>
      <c r="B755" s="41" t="s">
        <v>3801</v>
      </c>
      <c r="C755" s="41" t="s">
        <v>2928</v>
      </c>
      <c r="D755" s="41" t="s">
        <v>3800</v>
      </c>
      <c r="E755" s="41" t="s">
        <v>2929</v>
      </c>
      <c r="F755" s="41" t="s">
        <v>2949</v>
      </c>
      <c r="G755" s="41" t="s">
        <v>2950</v>
      </c>
    </row>
    <row r="756" spans="1:7" x14ac:dyDescent="0.25">
      <c r="A756" s="41" t="s">
        <v>3820</v>
      </c>
      <c r="B756" s="41" t="s">
        <v>3801</v>
      </c>
      <c r="C756" s="41" t="s">
        <v>2928</v>
      </c>
      <c r="D756" s="41" t="s">
        <v>3800</v>
      </c>
      <c r="E756" s="41" t="s">
        <v>2929</v>
      </c>
      <c r="F756" s="41" t="s">
        <v>2949</v>
      </c>
      <c r="G756" s="41" t="s">
        <v>2950</v>
      </c>
    </row>
    <row r="757" spans="1:7" x14ac:dyDescent="0.25">
      <c r="A757" s="41" t="s">
        <v>3821</v>
      </c>
      <c r="B757" s="41" t="s">
        <v>3801</v>
      </c>
      <c r="C757" s="41" t="s">
        <v>2928</v>
      </c>
      <c r="D757" s="41" t="s">
        <v>3800</v>
      </c>
      <c r="E757" s="41" t="s">
        <v>2929</v>
      </c>
      <c r="F757" s="41" t="s">
        <v>2949</v>
      </c>
      <c r="G757" s="41" t="s">
        <v>2950</v>
      </c>
    </row>
    <row r="758" spans="1:7" x14ac:dyDescent="0.25">
      <c r="A758" s="41" t="s">
        <v>3822</v>
      </c>
      <c r="B758" s="41" t="s">
        <v>3801</v>
      </c>
      <c r="C758" s="41" t="s">
        <v>2928</v>
      </c>
      <c r="D758" s="41" t="s">
        <v>3800</v>
      </c>
      <c r="E758" s="41" t="s">
        <v>2929</v>
      </c>
      <c r="F758" s="41" t="s">
        <v>2949</v>
      </c>
      <c r="G758" s="41" t="s">
        <v>2950</v>
      </c>
    </row>
    <row r="759" spans="1:7" x14ac:dyDescent="0.25">
      <c r="A759" s="41" t="s">
        <v>3823</v>
      </c>
      <c r="B759" s="41" t="s">
        <v>3824</v>
      </c>
      <c r="C759" s="41" t="s">
        <v>2928</v>
      </c>
      <c r="D759" s="41" t="s">
        <v>3823</v>
      </c>
      <c r="E759" s="41" t="s">
        <v>2929</v>
      </c>
      <c r="F759" s="41" t="s">
        <v>2930</v>
      </c>
      <c r="G759" s="41" t="s">
        <v>2931</v>
      </c>
    </row>
    <row r="760" spans="1:7" x14ac:dyDescent="0.25">
      <c r="A760" s="41" t="s">
        <v>3825</v>
      </c>
      <c r="B760" s="41" t="s">
        <v>3824</v>
      </c>
      <c r="C760" s="41" t="s">
        <v>2928</v>
      </c>
      <c r="D760" s="41" t="s">
        <v>3823</v>
      </c>
      <c r="E760" s="41" t="s">
        <v>2929</v>
      </c>
      <c r="F760" s="41" t="s">
        <v>2933</v>
      </c>
      <c r="G760" s="41" t="s">
        <v>2934</v>
      </c>
    </row>
    <row r="761" spans="1:7" x14ac:dyDescent="0.25">
      <c r="A761" s="41" t="s">
        <v>3826</v>
      </c>
      <c r="B761" s="41" t="s">
        <v>3824</v>
      </c>
      <c r="C761" s="41" t="s">
        <v>2928</v>
      </c>
      <c r="D761" s="41" t="s">
        <v>3823</v>
      </c>
      <c r="E761" s="41" t="s">
        <v>2929</v>
      </c>
      <c r="F761" s="41" t="s">
        <v>2933</v>
      </c>
      <c r="G761" s="41" t="s">
        <v>2934</v>
      </c>
    </row>
    <row r="762" spans="1:7" x14ac:dyDescent="0.25">
      <c r="A762" s="41" t="s">
        <v>3827</v>
      </c>
      <c r="B762" s="41" t="s">
        <v>3824</v>
      </c>
      <c r="C762" s="41" t="s">
        <v>2928</v>
      </c>
      <c r="D762" s="41" t="s">
        <v>3823</v>
      </c>
      <c r="E762" s="41" t="s">
        <v>2929</v>
      </c>
      <c r="F762" s="41" t="s">
        <v>2933</v>
      </c>
      <c r="G762" s="41" t="s">
        <v>2934</v>
      </c>
    </row>
    <row r="763" spans="1:7" x14ac:dyDescent="0.25">
      <c r="A763" s="41" t="s">
        <v>3828</v>
      </c>
      <c r="B763" s="41" t="s">
        <v>3824</v>
      </c>
      <c r="C763" s="41" t="s">
        <v>2928</v>
      </c>
      <c r="D763" s="41" t="s">
        <v>3823</v>
      </c>
      <c r="E763" s="41" t="s">
        <v>2929</v>
      </c>
      <c r="F763" s="41" t="s">
        <v>2933</v>
      </c>
      <c r="G763" s="41" t="s">
        <v>2934</v>
      </c>
    </row>
    <row r="764" spans="1:7" x14ac:dyDescent="0.25">
      <c r="A764" s="41" t="s">
        <v>3829</v>
      </c>
      <c r="B764" s="41" t="s">
        <v>3824</v>
      </c>
      <c r="C764" s="41" t="s">
        <v>2928</v>
      </c>
      <c r="D764" s="41" t="s">
        <v>3823</v>
      </c>
      <c r="E764" s="41" t="s">
        <v>2929</v>
      </c>
      <c r="F764" s="41" t="s">
        <v>2933</v>
      </c>
      <c r="G764" s="41" t="s">
        <v>2934</v>
      </c>
    </row>
    <row r="765" spans="1:7" x14ac:dyDescent="0.25">
      <c r="A765" s="41" t="s">
        <v>3830</v>
      </c>
      <c r="B765" s="41" t="s">
        <v>3824</v>
      </c>
      <c r="C765" s="41" t="s">
        <v>2928</v>
      </c>
      <c r="D765" s="41" t="s">
        <v>3823</v>
      </c>
      <c r="E765" s="41" t="s">
        <v>2929</v>
      </c>
      <c r="F765" s="41" t="s">
        <v>2933</v>
      </c>
      <c r="G765" s="41" t="s">
        <v>2934</v>
      </c>
    </row>
    <row r="766" spans="1:7" x14ac:dyDescent="0.25">
      <c r="A766" s="41" t="s">
        <v>3831</v>
      </c>
      <c r="B766" s="41" t="s">
        <v>3824</v>
      </c>
      <c r="C766" s="41" t="s">
        <v>2928</v>
      </c>
      <c r="D766" s="41" t="s">
        <v>3823</v>
      </c>
      <c r="E766" s="41" t="s">
        <v>2929</v>
      </c>
      <c r="F766" s="41" t="s">
        <v>2933</v>
      </c>
      <c r="G766" s="41" t="s">
        <v>2934</v>
      </c>
    </row>
    <row r="767" spans="1:7" x14ac:dyDescent="0.25">
      <c r="A767" s="41" t="s">
        <v>3832</v>
      </c>
      <c r="B767" s="41" t="s">
        <v>3824</v>
      </c>
      <c r="C767" s="41" t="s">
        <v>2928</v>
      </c>
      <c r="D767" s="41" t="s">
        <v>3823</v>
      </c>
      <c r="E767" s="41" t="s">
        <v>2929</v>
      </c>
      <c r="F767" s="41" t="s">
        <v>2930</v>
      </c>
      <c r="G767" s="41" t="s">
        <v>2931</v>
      </c>
    </row>
    <row r="768" spans="1:7" x14ac:dyDescent="0.25">
      <c r="A768" s="41" t="s">
        <v>3833</v>
      </c>
      <c r="B768" s="41" t="s">
        <v>3824</v>
      </c>
      <c r="C768" s="41" t="s">
        <v>2928</v>
      </c>
      <c r="D768" s="41" t="s">
        <v>3823</v>
      </c>
      <c r="E768" s="41" t="s">
        <v>2929</v>
      </c>
      <c r="F768" s="41" t="s">
        <v>2930</v>
      </c>
      <c r="G768" s="41" t="s">
        <v>2931</v>
      </c>
    </row>
    <row r="769" spans="1:7" x14ac:dyDescent="0.25">
      <c r="A769" s="41" t="s">
        <v>3834</v>
      </c>
      <c r="B769" s="41" t="s">
        <v>3824</v>
      </c>
      <c r="C769" s="41" t="s">
        <v>2928</v>
      </c>
      <c r="D769" s="41" t="s">
        <v>3823</v>
      </c>
      <c r="E769" s="41" t="s">
        <v>2929</v>
      </c>
      <c r="F769" s="41" t="s">
        <v>2930</v>
      </c>
      <c r="G769" s="41" t="s">
        <v>2931</v>
      </c>
    </row>
    <row r="770" spans="1:7" x14ac:dyDescent="0.25">
      <c r="A770" s="41" t="s">
        <v>3835</v>
      </c>
      <c r="B770" s="41" t="s">
        <v>3824</v>
      </c>
      <c r="C770" s="41" t="s">
        <v>2928</v>
      </c>
      <c r="D770" s="41" t="s">
        <v>3823</v>
      </c>
      <c r="E770" s="41" t="s">
        <v>2929</v>
      </c>
      <c r="F770" s="41" t="s">
        <v>2930</v>
      </c>
      <c r="G770" s="41" t="s">
        <v>2931</v>
      </c>
    </row>
    <row r="771" spans="1:7" x14ac:dyDescent="0.25">
      <c r="A771" s="41" t="s">
        <v>3836</v>
      </c>
      <c r="B771" s="41" t="s">
        <v>3824</v>
      </c>
      <c r="C771" s="41" t="s">
        <v>2928</v>
      </c>
      <c r="D771" s="41" t="s">
        <v>3823</v>
      </c>
      <c r="E771" s="41" t="s">
        <v>2929</v>
      </c>
      <c r="F771" s="41" t="s">
        <v>2930</v>
      </c>
      <c r="G771" s="41" t="s">
        <v>2931</v>
      </c>
    </row>
    <row r="772" spans="1:7" x14ac:dyDescent="0.25">
      <c r="A772" s="41" t="s">
        <v>3837</v>
      </c>
      <c r="B772" s="41" t="s">
        <v>3824</v>
      </c>
      <c r="C772" s="41" t="s">
        <v>2928</v>
      </c>
      <c r="D772" s="41" t="s">
        <v>3823</v>
      </c>
      <c r="E772" s="41" t="s">
        <v>2929</v>
      </c>
      <c r="F772" s="41" t="s">
        <v>2930</v>
      </c>
      <c r="G772" s="41" t="s">
        <v>2931</v>
      </c>
    </row>
    <row r="773" spans="1:7" x14ac:dyDescent="0.25">
      <c r="A773" s="41" t="s">
        <v>3838</v>
      </c>
      <c r="B773" s="41" t="s">
        <v>3824</v>
      </c>
      <c r="C773" s="41" t="s">
        <v>2928</v>
      </c>
      <c r="D773" s="41" t="s">
        <v>3823</v>
      </c>
      <c r="E773" s="41" t="s">
        <v>2929</v>
      </c>
      <c r="F773" s="41" t="s">
        <v>2930</v>
      </c>
      <c r="G773" s="41" t="s">
        <v>2931</v>
      </c>
    </row>
    <row r="774" spans="1:7" x14ac:dyDescent="0.25">
      <c r="A774" s="41" t="s">
        <v>3839</v>
      </c>
      <c r="B774" s="41" t="s">
        <v>3824</v>
      </c>
      <c r="C774" s="41" t="s">
        <v>2928</v>
      </c>
      <c r="D774" s="41" t="s">
        <v>3823</v>
      </c>
      <c r="E774" s="41" t="s">
        <v>2929</v>
      </c>
      <c r="F774" s="41" t="s">
        <v>2949</v>
      </c>
      <c r="G774" s="41" t="s">
        <v>2950</v>
      </c>
    </row>
    <row r="775" spans="1:7" x14ac:dyDescent="0.25">
      <c r="A775" s="41" t="s">
        <v>3840</v>
      </c>
      <c r="B775" s="41" t="s">
        <v>3824</v>
      </c>
      <c r="C775" s="41" t="s">
        <v>2928</v>
      </c>
      <c r="D775" s="41" t="s">
        <v>3823</v>
      </c>
      <c r="E775" s="41" t="s">
        <v>2929</v>
      </c>
      <c r="F775" s="41" t="s">
        <v>2949</v>
      </c>
      <c r="G775" s="41" t="s">
        <v>2950</v>
      </c>
    </row>
    <row r="776" spans="1:7" x14ac:dyDescent="0.25">
      <c r="A776" s="41" t="s">
        <v>3841</v>
      </c>
      <c r="B776" s="41" t="s">
        <v>3824</v>
      </c>
      <c r="C776" s="41" t="s">
        <v>2928</v>
      </c>
      <c r="D776" s="41" t="s">
        <v>3823</v>
      </c>
      <c r="E776" s="41" t="s">
        <v>2929</v>
      </c>
      <c r="F776" s="41" t="s">
        <v>2949</v>
      </c>
      <c r="G776" s="41" t="s">
        <v>2950</v>
      </c>
    </row>
    <row r="777" spans="1:7" x14ac:dyDescent="0.25">
      <c r="A777" s="41" t="s">
        <v>3842</v>
      </c>
      <c r="B777" s="41" t="s">
        <v>3824</v>
      </c>
      <c r="C777" s="41" t="s">
        <v>2928</v>
      </c>
      <c r="D777" s="41" t="s">
        <v>3823</v>
      </c>
      <c r="E777" s="41" t="s">
        <v>2929</v>
      </c>
      <c r="F777" s="41" t="s">
        <v>2949</v>
      </c>
      <c r="G777" s="41" t="s">
        <v>2950</v>
      </c>
    </row>
    <row r="778" spans="1:7" x14ac:dyDescent="0.25">
      <c r="A778" s="41" t="s">
        <v>3843</v>
      </c>
      <c r="B778" s="41" t="s">
        <v>3824</v>
      </c>
      <c r="C778" s="41" t="s">
        <v>2928</v>
      </c>
      <c r="D778" s="41" t="s">
        <v>3823</v>
      </c>
      <c r="E778" s="41" t="s">
        <v>2929</v>
      </c>
      <c r="F778" s="41" t="s">
        <v>2949</v>
      </c>
      <c r="G778" s="41" t="s">
        <v>2950</v>
      </c>
    </row>
    <row r="779" spans="1:7" x14ac:dyDescent="0.25">
      <c r="A779" s="41" t="s">
        <v>3844</v>
      </c>
      <c r="B779" s="41" t="s">
        <v>3824</v>
      </c>
      <c r="C779" s="41" t="s">
        <v>2928</v>
      </c>
      <c r="D779" s="41" t="s">
        <v>3823</v>
      </c>
      <c r="E779" s="41" t="s">
        <v>2929</v>
      </c>
      <c r="F779" s="41" t="s">
        <v>2949</v>
      </c>
      <c r="G779" s="41" t="s">
        <v>2950</v>
      </c>
    </row>
    <row r="780" spans="1:7" x14ac:dyDescent="0.25">
      <c r="A780" s="41" t="s">
        <v>3845</v>
      </c>
      <c r="B780" s="41" t="s">
        <v>3824</v>
      </c>
      <c r="C780" s="41" t="s">
        <v>2928</v>
      </c>
      <c r="D780" s="41" t="s">
        <v>3823</v>
      </c>
      <c r="E780" s="41" t="s">
        <v>2929</v>
      </c>
      <c r="F780" s="41" t="s">
        <v>2949</v>
      </c>
      <c r="G780" s="41" t="s">
        <v>2950</v>
      </c>
    </row>
    <row r="781" spans="1:7" x14ac:dyDescent="0.25">
      <c r="A781" s="41" t="s">
        <v>3846</v>
      </c>
      <c r="B781" s="41" t="s">
        <v>3847</v>
      </c>
      <c r="C781" s="41" t="s">
        <v>3097</v>
      </c>
      <c r="D781" s="41" t="s">
        <v>3848</v>
      </c>
      <c r="E781" s="41" t="s">
        <v>2929</v>
      </c>
      <c r="F781" s="41" t="s">
        <v>2933</v>
      </c>
      <c r="G781" s="41" t="s">
        <v>2934</v>
      </c>
    </row>
    <row r="782" spans="1:7" x14ac:dyDescent="0.25">
      <c r="A782" s="41" t="s">
        <v>3849</v>
      </c>
      <c r="B782" s="41" t="s">
        <v>3850</v>
      </c>
      <c r="C782" s="41" t="s">
        <v>2928</v>
      </c>
      <c r="D782" s="41" t="s">
        <v>3849</v>
      </c>
      <c r="E782" s="41" t="s">
        <v>2929</v>
      </c>
      <c r="F782" s="41" t="s">
        <v>2930</v>
      </c>
      <c r="G782" s="41" t="s">
        <v>2931</v>
      </c>
    </row>
    <row r="783" spans="1:7" x14ac:dyDescent="0.25">
      <c r="A783" s="41" t="s">
        <v>3851</v>
      </c>
      <c r="B783" s="41" t="s">
        <v>3850</v>
      </c>
      <c r="C783" s="41" t="s">
        <v>2928</v>
      </c>
      <c r="D783" s="41" t="s">
        <v>3849</v>
      </c>
      <c r="E783" s="41" t="s">
        <v>2929</v>
      </c>
      <c r="F783" s="41" t="s">
        <v>2933</v>
      </c>
      <c r="G783" s="41" t="s">
        <v>2934</v>
      </c>
    </row>
    <row r="784" spans="1:7" x14ac:dyDescent="0.25">
      <c r="A784" s="41" t="s">
        <v>3852</v>
      </c>
      <c r="B784" s="41" t="s">
        <v>3850</v>
      </c>
      <c r="C784" s="41" t="s">
        <v>2928</v>
      </c>
      <c r="D784" s="41" t="s">
        <v>3849</v>
      </c>
      <c r="E784" s="41" t="s">
        <v>2929</v>
      </c>
      <c r="F784" s="41" t="s">
        <v>2933</v>
      </c>
      <c r="G784" s="41" t="s">
        <v>2934</v>
      </c>
    </row>
    <row r="785" spans="1:7" x14ac:dyDescent="0.25">
      <c r="A785" s="41" t="s">
        <v>3853</v>
      </c>
      <c r="B785" s="41" t="s">
        <v>3850</v>
      </c>
      <c r="C785" s="41" t="s">
        <v>2928</v>
      </c>
      <c r="D785" s="41" t="s">
        <v>3849</v>
      </c>
      <c r="E785" s="41" t="s">
        <v>2929</v>
      </c>
      <c r="F785" s="41" t="s">
        <v>2949</v>
      </c>
      <c r="G785" s="41" t="s">
        <v>2950</v>
      </c>
    </row>
    <row r="786" spans="1:7" x14ac:dyDescent="0.25">
      <c r="A786" s="41" t="s">
        <v>3854</v>
      </c>
      <c r="B786" s="41" t="s">
        <v>3855</v>
      </c>
      <c r="C786" s="41" t="s">
        <v>2928</v>
      </c>
      <c r="D786" s="41" t="s">
        <v>3854</v>
      </c>
      <c r="E786" s="41" t="s">
        <v>2929</v>
      </c>
      <c r="F786" s="41" t="s">
        <v>2930</v>
      </c>
      <c r="G786" s="41" t="s">
        <v>2931</v>
      </c>
    </row>
    <row r="787" spans="1:7" x14ac:dyDescent="0.25">
      <c r="A787" s="41" t="s">
        <v>3856</v>
      </c>
      <c r="B787" s="41" t="s">
        <v>3855</v>
      </c>
      <c r="C787" s="41" t="s">
        <v>2928</v>
      </c>
      <c r="D787" s="41" t="s">
        <v>3854</v>
      </c>
      <c r="E787" s="41" t="s">
        <v>2929</v>
      </c>
      <c r="F787" s="41" t="s">
        <v>2933</v>
      </c>
      <c r="G787" s="41" t="s">
        <v>2934</v>
      </c>
    </row>
    <row r="788" spans="1:7" x14ac:dyDescent="0.25">
      <c r="A788" s="41" t="s">
        <v>3857</v>
      </c>
      <c r="B788" s="41" t="s">
        <v>3855</v>
      </c>
      <c r="C788" s="41" t="s">
        <v>2928</v>
      </c>
      <c r="D788" s="41" t="s">
        <v>3854</v>
      </c>
      <c r="E788" s="41" t="s">
        <v>2929</v>
      </c>
      <c r="F788" s="41" t="s">
        <v>2933</v>
      </c>
      <c r="G788" s="41" t="s">
        <v>2934</v>
      </c>
    </row>
    <row r="789" spans="1:7" x14ac:dyDescent="0.25">
      <c r="A789" s="41" t="s">
        <v>3858</v>
      </c>
      <c r="B789" s="41" t="s">
        <v>3855</v>
      </c>
      <c r="C789" s="41" t="s">
        <v>2928</v>
      </c>
      <c r="D789" s="41" t="s">
        <v>3854</v>
      </c>
      <c r="E789" s="41" t="s">
        <v>2929</v>
      </c>
      <c r="F789" s="41" t="s">
        <v>2933</v>
      </c>
      <c r="G789" s="41" t="s">
        <v>2934</v>
      </c>
    </row>
    <row r="790" spans="1:7" x14ac:dyDescent="0.25">
      <c r="A790" s="41" t="s">
        <v>3859</v>
      </c>
      <c r="B790" s="41" t="s">
        <v>3855</v>
      </c>
      <c r="C790" s="41" t="s">
        <v>2928</v>
      </c>
      <c r="D790" s="41" t="s">
        <v>3854</v>
      </c>
      <c r="E790" s="41" t="s">
        <v>2929</v>
      </c>
      <c r="F790" s="41" t="s">
        <v>2933</v>
      </c>
      <c r="G790" s="41" t="s">
        <v>2934</v>
      </c>
    </row>
    <row r="791" spans="1:7" x14ac:dyDescent="0.25">
      <c r="A791" s="41" t="s">
        <v>3860</v>
      </c>
      <c r="B791" s="41" t="s">
        <v>3855</v>
      </c>
      <c r="C791" s="41" t="s">
        <v>2928</v>
      </c>
      <c r="D791" s="41" t="s">
        <v>3854</v>
      </c>
      <c r="E791" s="41" t="s">
        <v>2929</v>
      </c>
      <c r="F791" s="41" t="s">
        <v>2933</v>
      </c>
      <c r="G791" s="41" t="s">
        <v>2934</v>
      </c>
    </row>
    <row r="792" spans="1:7" x14ac:dyDescent="0.25">
      <c r="A792" s="41" t="s">
        <v>3861</v>
      </c>
      <c r="B792" s="41" t="s">
        <v>3855</v>
      </c>
      <c r="C792" s="41" t="s">
        <v>2928</v>
      </c>
      <c r="D792" s="41" t="s">
        <v>3854</v>
      </c>
      <c r="E792" s="41" t="s">
        <v>2929</v>
      </c>
      <c r="F792" s="41" t="s">
        <v>2933</v>
      </c>
      <c r="G792" s="41" t="s">
        <v>2934</v>
      </c>
    </row>
    <row r="793" spans="1:7" x14ac:dyDescent="0.25">
      <c r="A793" s="41" t="s">
        <v>3862</v>
      </c>
      <c r="B793" s="41" t="s">
        <v>3855</v>
      </c>
      <c r="C793" s="41" t="s">
        <v>2928</v>
      </c>
      <c r="D793" s="41" t="s">
        <v>3854</v>
      </c>
      <c r="E793" s="41" t="s">
        <v>2929</v>
      </c>
      <c r="F793" s="41" t="s">
        <v>2933</v>
      </c>
      <c r="G793" s="41" t="s">
        <v>2934</v>
      </c>
    </row>
    <row r="794" spans="1:7" x14ac:dyDescent="0.25">
      <c r="A794" s="41" t="s">
        <v>3863</v>
      </c>
      <c r="B794" s="41" t="s">
        <v>3855</v>
      </c>
      <c r="C794" s="41" t="s">
        <v>2928</v>
      </c>
      <c r="D794" s="41" t="s">
        <v>3854</v>
      </c>
      <c r="E794" s="41" t="s">
        <v>2929</v>
      </c>
      <c r="F794" s="41" t="s">
        <v>2930</v>
      </c>
      <c r="G794" s="41" t="s">
        <v>2931</v>
      </c>
    </row>
    <row r="795" spans="1:7" x14ac:dyDescent="0.25">
      <c r="A795" s="41" t="s">
        <v>3864</v>
      </c>
      <c r="B795" s="41" t="s">
        <v>3855</v>
      </c>
      <c r="C795" s="41" t="s">
        <v>2928</v>
      </c>
      <c r="D795" s="41" t="s">
        <v>3854</v>
      </c>
      <c r="E795" s="41" t="s">
        <v>2929</v>
      </c>
      <c r="F795" s="41" t="s">
        <v>2930</v>
      </c>
      <c r="G795" s="41" t="s">
        <v>2931</v>
      </c>
    </row>
    <row r="796" spans="1:7" x14ac:dyDescent="0.25">
      <c r="A796" s="41" t="s">
        <v>3865</v>
      </c>
      <c r="B796" s="41" t="s">
        <v>3855</v>
      </c>
      <c r="C796" s="41" t="s">
        <v>2928</v>
      </c>
      <c r="D796" s="41" t="s">
        <v>3854</v>
      </c>
      <c r="E796" s="41" t="s">
        <v>2929</v>
      </c>
      <c r="F796" s="41" t="s">
        <v>2930</v>
      </c>
      <c r="G796" s="41" t="s">
        <v>2931</v>
      </c>
    </row>
    <row r="797" spans="1:7" x14ac:dyDescent="0.25">
      <c r="A797" s="41" t="s">
        <v>3866</v>
      </c>
      <c r="B797" s="41" t="s">
        <v>3855</v>
      </c>
      <c r="C797" s="41" t="s">
        <v>2928</v>
      </c>
      <c r="D797" s="41" t="s">
        <v>3854</v>
      </c>
      <c r="E797" s="41" t="s">
        <v>2929</v>
      </c>
      <c r="F797" s="41" t="s">
        <v>2930</v>
      </c>
      <c r="G797" s="41" t="s">
        <v>2931</v>
      </c>
    </row>
    <row r="798" spans="1:7" x14ac:dyDescent="0.25">
      <c r="A798" s="41" t="s">
        <v>3867</v>
      </c>
      <c r="B798" s="41" t="s">
        <v>3855</v>
      </c>
      <c r="C798" s="41" t="s">
        <v>2928</v>
      </c>
      <c r="D798" s="41" t="s">
        <v>3854</v>
      </c>
      <c r="E798" s="41" t="s">
        <v>2929</v>
      </c>
      <c r="F798" s="41" t="s">
        <v>2930</v>
      </c>
      <c r="G798" s="41" t="s">
        <v>2931</v>
      </c>
    </row>
    <row r="799" spans="1:7" x14ac:dyDescent="0.25">
      <c r="A799" s="41" t="s">
        <v>3868</v>
      </c>
      <c r="B799" s="41" t="s">
        <v>3855</v>
      </c>
      <c r="C799" s="41" t="s">
        <v>2928</v>
      </c>
      <c r="D799" s="41" t="s">
        <v>3854</v>
      </c>
      <c r="E799" s="41" t="s">
        <v>2929</v>
      </c>
      <c r="F799" s="41" t="s">
        <v>2930</v>
      </c>
      <c r="G799" s="41" t="s">
        <v>2931</v>
      </c>
    </row>
    <row r="800" spans="1:7" x14ac:dyDescent="0.25">
      <c r="A800" s="41" t="s">
        <v>3869</v>
      </c>
      <c r="B800" s="41" t="s">
        <v>3855</v>
      </c>
      <c r="C800" s="41" t="s">
        <v>2928</v>
      </c>
      <c r="D800" s="41" t="s">
        <v>3854</v>
      </c>
      <c r="E800" s="41" t="s">
        <v>2929</v>
      </c>
      <c r="F800" s="41" t="s">
        <v>2930</v>
      </c>
      <c r="G800" s="41" t="s">
        <v>2931</v>
      </c>
    </row>
    <row r="801" spans="1:7" x14ac:dyDescent="0.25">
      <c r="A801" s="41" t="s">
        <v>3870</v>
      </c>
      <c r="B801" s="41" t="s">
        <v>3855</v>
      </c>
      <c r="C801" s="41" t="s">
        <v>2928</v>
      </c>
      <c r="D801" s="41" t="s">
        <v>3854</v>
      </c>
      <c r="E801" s="41" t="s">
        <v>2929</v>
      </c>
      <c r="F801" s="41" t="s">
        <v>2949</v>
      </c>
      <c r="G801" s="41" t="s">
        <v>2950</v>
      </c>
    </row>
    <row r="802" spans="1:7" x14ac:dyDescent="0.25">
      <c r="A802" s="41" t="s">
        <v>3871</v>
      </c>
      <c r="B802" s="41" t="s">
        <v>3855</v>
      </c>
      <c r="C802" s="41" t="s">
        <v>2928</v>
      </c>
      <c r="D802" s="41" t="s">
        <v>3854</v>
      </c>
      <c r="E802" s="41" t="s">
        <v>2929</v>
      </c>
      <c r="F802" s="41" t="s">
        <v>2949</v>
      </c>
      <c r="G802" s="41" t="s">
        <v>2950</v>
      </c>
    </row>
    <row r="803" spans="1:7" x14ac:dyDescent="0.25">
      <c r="A803" s="41" t="s">
        <v>3872</v>
      </c>
      <c r="B803" s="41" t="s">
        <v>3855</v>
      </c>
      <c r="C803" s="41" t="s">
        <v>2928</v>
      </c>
      <c r="D803" s="41" t="s">
        <v>3854</v>
      </c>
      <c r="E803" s="41" t="s">
        <v>2929</v>
      </c>
      <c r="F803" s="41" t="s">
        <v>2949</v>
      </c>
      <c r="G803" s="41" t="s">
        <v>2950</v>
      </c>
    </row>
    <row r="804" spans="1:7" x14ac:dyDescent="0.25">
      <c r="A804" s="41" t="s">
        <v>3873</v>
      </c>
      <c r="B804" s="41" t="s">
        <v>3855</v>
      </c>
      <c r="C804" s="41" t="s">
        <v>2928</v>
      </c>
      <c r="D804" s="41" t="s">
        <v>3854</v>
      </c>
      <c r="E804" s="41" t="s">
        <v>2929</v>
      </c>
      <c r="F804" s="41" t="s">
        <v>2949</v>
      </c>
      <c r="G804" s="41" t="s">
        <v>2950</v>
      </c>
    </row>
    <row r="805" spans="1:7" x14ac:dyDescent="0.25">
      <c r="A805" s="41" t="s">
        <v>3874</v>
      </c>
      <c r="B805" s="41" t="s">
        <v>3855</v>
      </c>
      <c r="C805" s="41" t="s">
        <v>2928</v>
      </c>
      <c r="D805" s="41" t="s">
        <v>3854</v>
      </c>
      <c r="E805" s="41" t="s">
        <v>2929</v>
      </c>
      <c r="F805" s="41" t="s">
        <v>2949</v>
      </c>
      <c r="G805" s="41" t="s">
        <v>2950</v>
      </c>
    </row>
    <row r="806" spans="1:7" x14ac:dyDescent="0.25">
      <c r="A806" s="41" t="s">
        <v>3875</v>
      </c>
      <c r="B806" s="41" t="s">
        <v>3855</v>
      </c>
      <c r="C806" s="41" t="s">
        <v>2928</v>
      </c>
      <c r="D806" s="41" t="s">
        <v>3854</v>
      </c>
      <c r="E806" s="41" t="s">
        <v>2929</v>
      </c>
      <c r="F806" s="41" t="s">
        <v>2949</v>
      </c>
      <c r="G806" s="41" t="s">
        <v>2950</v>
      </c>
    </row>
    <row r="807" spans="1:7" x14ac:dyDescent="0.25">
      <c r="A807" s="41" t="s">
        <v>3876</v>
      </c>
      <c r="B807" s="41" t="s">
        <v>3855</v>
      </c>
      <c r="C807" s="41" t="s">
        <v>2928</v>
      </c>
      <c r="D807" s="41" t="s">
        <v>3854</v>
      </c>
      <c r="E807" s="41" t="s">
        <v>2929</v>
      </c>
      <c r="F807" s="41" t="s">
        <v>2949</v>
      </c>
      <c r="G807" s="41" t="s">
        <v>2950</v>
      </c>
    </row>
    <row r="808" spans="1:7" x14ac:dyDescent="0.25">
      <c r="A808" s="41" t="s">
        <v>3877</v>
      </c>
      <c r="B808" s="41" t="s">
        <v>3878</v>
      </c>
      <c r="C808" s="41" t="s">
        <v>2928</v>
      </c>
      <c r="D808" s="41" t="s">
        <v>3877</v>
      </c>
      <c r="E808" s="41" t="s">
        <v>2929</v>
      </c>
      <c r="F808" s="41" t="s">
        <v>2930</v>
      </c>
      <c r="G808" s="41" t="s">
        <v>2931</v>
      </c>
    </row>
    <row r="809" spans="1:7" x14ac:dyDescent="0.25">
      <c r="A809" s="41" t="s">
        <v>3879</v>
      </c>
      <c r="B809" s="41" t="s">
        <v>3878</v>
      </c>
      <c r="C809" s="41" t="s">
        <v>2928</v>
      </c>
      <c r="D809" s="41" t="s">
        <v>3877</v>
      </c>
      <c r="E809" s="41" t="s">
        <v>2929</v>
      </c>
      <c r="F809" s="41" t="s">
        <v>2933</v>
      </c>
      <c r="G809" s="41" t="s">
        <v>2934</v>
      </c>
    </row>
    <row r="810" spans="1:7" x14ac:dyDescent="0.25">
      <c r="A810" s="41" t="s">
        <v>3880</v>
      </c>
      <c r="B810" s="41" t="s">
        <v>3878</v>
      </c>
      <c r="C810" s="41" t="s">
        <v>2928</v>
      </c>
      <c r="D810" s="41" t="s">
        <v>3877</v>
      </c>
      <c r="E810" s="41" t="s">
        <v>2929</v>
      </c>
      <c r="F810" s="41" t="s">
        <v>2933</v>
      </c>
      <c r="G810" s="41" t="s">
        <v>2934</v>
      </c>
    </row>
    <row r="811" spans="1:7" x14ac:dyDescent="0.25">
      <c r="A811" s="41" t="s">
        <v>3881</v>
      </c>
      <c r="B811" s="41" t="s">
        <v>3878</v>
      </c>
      <c r="C811" s="41" t="s">
        <v>2928</v>
      </c>
      <c r="D811" s="41" t="s">
        <v>3877</v>
      </c>
      <c r="E811" s="41" t="s">
        <v>2929</v>
      </c>
      <c r="F811" s="41" t="s">
        <v>2933</v>
      </c>
      <c r="G811" s="41" t="s">
        <v>2934</v>
      </c>
    </row>
    <row r="812" spans="1:7" x14ac:dyDescent="0.25">
      <c r="A812" s="41" t="s">
        <v>3882</v>
      </c>
      <c r="B812" s="41" t="s">
        <v>3878</v>
      </c>
      <c r="C812" s="41" t="s">
        <v>2928</v>
      </c>
      <c r="D812" s="41" t="s">
        <v>3877</v>
      </c>
      <c r="E812" s="41" t="s">
        <v>2929</v>
      </c>
      <c r="F812" s="41" t="s">
        <v>2933</v>
      </c>
      <c r="G812" s="41" t="s">
        <v>2934</v>
      </c>
    </row>
    <row r="813" spans="1:7" x14ac:dyDescent="0.25">
      <c r="A813" s="41" t="s">
        <v>3883</v>
      </c>
      <c r="B813" s="41" t="s">
        <v>3878</v>
      </c>
      <c r="C813" s="41" t="s">
        <v>2928</v>
      </c>
      <c r="D813" s="41" t="s">
        <v>3877</v>
      </c>
      <c r="E813" s="41" t="s">
        <v>2929</v>
      </c>
      <c r="F813" s="41" t="s">
        <v>2933</v>
      </c>
      <c r="G813" s="41" t="s">
        <v>2934</v>
      </c>
    </row>
    <row r="814" spans="1:7" x14ac:dyDescent="0.25">
      <c r="A814" s="41" t="s">
        <v>3884</v>
      </c>
      <c r="B814" s="41" t="s">
        <v>3878</v>
      </c>
      <c r="C814" s="41" t="s">
        <v>2928</v>
      </c>
      <c r="D814" s="41" t="s">
        <v>3877</v>
      </c>
      <c r="E814" s="41" t="s">
        <v>2929</v>
      </c>
      <c r="F814" s="41" t="s">
        <v>2933</v>
      </c>
      <c r="G814" s="41" t="s">
        <v>2934</v>
      </c>
    </row>
    <row r="815" spans="1:7" x14ac:dyDescent="0.25">
      <c r="A815" s="41" t="s">
        <v>3885</v>
      </c>
      <c r="B815" s="41" t="s">
        <v>3878</v>
      </c>
      <c r="C815" s="41" t="s">
        <v>2928</v>
      </c>
      <c r="D815" s="41" t="s">
        <v>3877</v>
      </c>
      <c r="E815" s="41" t="s">
        <v>2929</v>
      </c>
      <c r="F815" s="41" t="s">
        <v>2933</v>
      </c>
      <c r="G815" s="41" t="s">
        <v>2934</v>
      </c>
    </row>
    <row r="816" spans="1:7" x14ac:dyDescent="0.25">
      <c r="A816" s="41" t="s">
        <v>3886</v>
      </c>
      <c r="B816" s="41" t="s">
        <v>3878</v>
      </c>
      <c r="C816" s="41" t="s">
        <v>2928</v>
      </c>
      <c r="D816" s="41" t="s">
        <v>3877</v>
      </c>
      <c r="E816" s="41" t="s">
        <v>2929</v>
      </c>
      <c r="F816" s="41" t="s">
        <v>2930</v>
      </c>
      <c r="G816" s="41" t="s">
        <v>2931</v>
      </c>
    </row>
    <row r="817" spans="1:7" x14ac:dyDescent="0.25">
      <c r="A817" s="41" t="s">
        <v>3887</v>
      </c>
      <c r="B817" s="41" t="s">
        <v>3878</v>
      </c>
      <c r="C817" s="41" t="s">
        <v>2928</v>
      </c>
      <c r="D817" s="41" t="s">
        <v>3877</v>
      </c>
      <c r="E817" s="41" t="s">
        <v>2929</v>
      </c>
      <c r="F817" s="41" t="s">
        <v>2930</v>
      </c>
      <c r="G817" s="41" t="s">
        <v>2931</v>
      </c>
    </row>
    <row r="818" spans="1:7" x14ac:dyDescent="0.25">
      <c r="A818" s="41" t="s">
        <v>3888</v>
      </c>
      <c r="B818" s="41" t="s">
        <v>3878</v>
      </c>
      <c r="C818" s="41" t="s">
        <v>2928</v>
      </c>
      <c r="D818" s="41" t="s">
        <v>3877</v>
      </c>
      <c r="E818" s="41" t="s">
        <v>2929</v>
      </c>
      <c r="F818" s="41" t="s">
        <v>2930</v>
      </c>
      <c r="G818" s="41" t="s">
        <v>2931</v>
      </c>
    </row>
    <row r="819" spans="1:7" x14ac:dyDescent="0.25">
      <c r="A819" s="41" t="s">
        <v>3889</v>
      </c>
      <c r="B819" s="41" t="s">
        <v>3878</v>
      </c>
      <c r="C819" s="41" t="s">
        <v>2928</v>
      </c>
      <c r="D819" s="41" t="s">
        <v>3877</v>
      </c>
      <c r="E819" s="41" t="s">
        <v>2929</v>
      </c>
      <c r="F819" s="41" t="s">
        <v>2930</v>
      </c>
      <c r="G819" s="41" t="s">
        <v>2931</v>
      </c>
    </row>
    <row r="820" spans="1:7" x14ac:dyDescent="0.25">
      <c r="A820" s="41" t="s">
        <v>3890</v>
      </c>
      <c r="B820" s="41" t="s">
        <v>3878</v>
      </c>
      <c r="C820" s="41" t="s">
        <v>2928</v>
      </c>
      <c r="D820" s="41" t="s">
        <v>3877</v>
      </c>
      <c r="E820" s="41" t="s">
        <v>2929</v>
      </c>
      <c r="F820" s="41" t="s">
        <v>2930</v>
      </c>
      <c r="G820" s="41" t="s">
        <v>2931</v>
      </c>
    </row>
    <row r="821" spans="1:7" x14ac:dyDescent="0.25">
      <c r="A821" s="41" t="s">
        <v>3891</v>
      </c>
      <c r="B821" s="41" t="s">
        <v>3878</v>
      </c>
      <c r="C821" s="41" t="s">
        <v>2928</v>
      </c>
      <c r="D821" s="41" t="s">
        <v>3877</v>
      </c>
      <c r="E821" s="41" t="s">
        <v>2929</v>
      </c>
      <c r="F821" s="41" t="s">
        <v>2930</v>
      </c>
      <c r="G821" s="41" t="s">
        <v>2931</v>
      </c>
    </row>
    <row r="822" spans="1:7" x14ac:dyDescent="0.25">
      <c r="A822" s="41" t="s">
        <v>3892</v>
      </c>
      <c r="B822" s="41" t="s">
        <v>3878</v>
      </c>
      <c r="C822" s="41" t="s">
        <v>2928</v>
      </c>
      <c r="D822" s="41" t="s">
        <v>3877</v>
      </c>
      <c r="E822" s="41" t="s">
        <v>2929</v>
      </c>
      <c r="F822" s="41" t="s">
        <v>2930</v>
      </c>
      <c r="G822" s="41" t="s">
        <v>2931</v>
      </c>
    </row>
    <row r="823" spans="1:7" x14ac:dyDescent="0.25">
      <c r="A823" s="41" t="s">
        <v>3893</v>
      </c>
      <c r="B823" s="41" t="s">
        <v>3878</v>
      </c>
      <c r="C823" s="41" t="s">
        <v>2928</v>
      </c>
      <c r="D823" s="41" t="s">
        <v>3877</v>
      </c>
      <c r="E823" s="41" t="s">
        <v>2929</v>
      </c>
      <c r="F823" s="41" t="s">
        <v>2949</v>
      </c>
      <c r="G823" s="41" t="s">
        <v>2950</v>
      </c>
    </row>
    <row r="824" spans="1:7" x14ac:dyDescent="0.25">
      <c r="A824" s="41" t="s">
        <v>3894</v>
      </c>
      <c r="B824" s="41" t="s">
        <v>3878</v>
      </c>
      <c r="C824" s="41" t="s">
        <v>2928</v>
      </c>
      <c r="D824" s="41" t="s">
        <v>3877</v>
      </c>
      <c r="E824" s="41" t="s">
        <v>2929</v>
      </c>
      <c r="F824" s="41" t="s">
        <v>2949</v>
      </c>
      <c r="G824" s="41" t="s">
        <v>2950</v>
      </c>
    </row>
    <row r="825" spans="1:7" x14ac:dyDescent="0.25">
      <c r="A825" s="41" t="s">
        <v>3895</v>
      </c>
      <c r="B825" s="41" t="s">
        <v>3878</v>
      </c>
      <c r="C825" s="41" t="s">
        <v>2928</v>
      </c>
      <c r="D825" s="41" t="s">
        <v>3877</v>
      </c>
      <c r="E825" s="41" t="s">
        <v>2929</v>
      </c>
      <c r="F825" s="41" t="s">
        <v>2949</v>
      </c>
      <c r="G825" s="41" t="s">
        <v>2950</v>
      </c>
    </row>
    <row r="826" spans="1:7" x14ac:dyDescent="0.25">
      <c r="A826" s="41" t="s">
        <v>3896</v>
      </c>
      <c r="B826" s="41" t="s">
        <v>3878</v>
      </c>
      <c r="C826" s="41" t="s">
        <v>2928</v>
      </c>
      <c r="D826" s="41" t="s">
        <v>3877</v>
      </c>
      <c r="E826" s="41" t="s">
        <v>2929</v>
      </c>
      <c r="F826" s="41" t="s">
        <v>2949</v>
      </c>
      <c r="G826" s="41" t="s">
        <v>2950</v>
      </c>
    </row>
    <row r="827" spans="1:7" x14ac:dyDescent="0.25">
      <c r="A827" s="41" t="s">
        <v>3897</v>
      </c>
      <c r="B827" s="41" t="s">
        <v>3878</v>
      </c>
      <c r="C827" s="41" t="s">
        <v>2928</v>
      </c>
      <c r="D827" s="41" t="s">
        <v>3877</v>
      </c>
      <c r="E827" s="41" t="s">
        <v>2929</v>
      </c>
      <c r="F827" s="41" t="s">
        <v>2949</v>
      </c>
      <c r="G827" s="41" t="s">
        <v>2950</v>
      </c>
    </row>
    <row r="828" spans="1:7" x14ac:dyDescent="0.25">
      <c r="A828" s="41" t="s">
        <v>3898</v>
      </c>
      <c r="B828" s="41" t="s">
        <v>3878</v>
      </c>
      <c r="C828" s="41" t="s">
        <v>2928</v>
      </c>
      <c r="D828" s="41" t="s">
        <v>3877</v>
      </c>
      <c r="E828" s="41" t="s">
        <v>2929</v>
      </c>
      <c r="F828" s="41" t="s">
        <v>2949</v>
      </c>
      <c r="G828" s="41" t="s">
        <v>2950</v>
      </c>
    </row>
    <row r="829" spans="1:7" x14ac:dyDescent="0.25">
      <c r="A829" s="41" t="s">
        <v>3899</v>
      </c>
      <c r="B829" s="41" t="s">
        <v>3878</v>
      </c>
      <c r="C829" s="41" t="s">
        <v>2928</v>
      </c>
      <c r="D829" s="41" t="s">
        <v>3877</v>
      </c>
      <c r="E829" s="41" t="s">
        <v>2929</v>
      </c>
      <c r="F829" s="41" t="s">
        <v>2949</v>
      </c>
      <c r="G829" s="41" t="s">
        <v>2950</v>
      </c>
    </row>
    <row r="830" spans="1:7" x14ac:dyDescent="0.25">
      <c r="A830" s="41" t="s">
        <v>3900</v>
      </c>
      <c r="B830" s="41" t="s">
        <v>782</v>
      </c>
      <c r="C830" s="41" t="s">
        <v>2928</v>
      </c>
      <c r="D830" s="41" t="s">
        <v>3900</v>
      </c>
      <c r="E830" s="41" t="s">
        <v>2929</v>
      </c>
      <c r="F830" s="41" t="s">
        <v>2930</v>
      </c>
      <c r="G830" s="41" t="s">
        <v>2931</v>
      </c>
    </row>
    <row r="831" spans="1:7" x14ac:dyDescent="0.25">
      <c r="A831" s="41" t="s">
        <v>3901</v>
      </c>
      <c r="B831" s="41" t="s">
        <v>782</v>
      </c>
      <c r="C831" s="41" t="s">
        <v>2928</v>
      </c>
      <c r="D831" s="41" t="s">
        <v>3900</v>
      </c>
      <c r="E831" s="41" t="s">
        <v>2929</v>
      </c>
      <c r="F831" s="41" t="s">
        <v>2933</v>
      </c>
      <c r="G831" s="41" t="s">
        <v>2934</v>
      </c>
    </row>
    <row r="832" spans="1:7" x14ac:dyDescent="0.25">
      <c r="A832" s="41" t="s">
        <v>3902</v>
      </c>
      <c r="B832" s="41" t="s">
        <v>782</v>
      </c>
      <c r="C832" s="41" t="s">
        <v>2928</v>
      </c>
      <c r="D832" s="41" t="s">
        <v>3900</v>
      </c>
      <c r="E832" s="41" t="s">
        <v>2929</v>
      </c>
      <c r="F832" s="41" t="s">
        <v>2933</v>
      </c>
      <c r="G832" s="41" t="s">
        <v>2934</v>
      </c>
    </row>
    <row r="833" spans="1:7" x14ac:dyDescent="0.25">
      <c r="A833" s="41" t="s">
        <v>3903</v>
      </c>
      <c r="B833" s="41" t="s">
        <v>782</v>
      </c>
      <c r="C833" s="41" t="s">
        <v>2928</v>
      </c>
      <c r="D833" s="41" t="s">
        <v>3900</v>
      </c>
      <c r="E833" s="41" t="s">
        <v>2929</v>
      </c>
      <c r="F833" s="41" t="s">
        <v>2933</v>
      </c>
      <c r="G833" s="41" t="s">
        <v>2934</v>
      </c>
    </row>
    <row r="834" spans="1:7" x14ac:dyDescent="0.25">
      <c r="A834" s="41" t="s">
        <v>3904</v>
      </c>
      <c r="B834" s="41" t="s">
        <v>782</v>
      </c>
      <c r="C834" s="41" t="s">
        <v>2928</v>
      </c>
      <c r="D834" s="41" t="s">
        <v>3900</v>
      </c>
      <c r="E834" s="41" t="s">
        <v>2929</v>
      </c>
      <c r="F834" s="41" t="s">
        <v>2933</v>
      </c>
      <c r="G834" s="41" t="s">
        <v>2934</v>
      </c>
    </row>
    <row r="835" spans="1:7" x14ac:dyDescent="0.25">
      <c r="A835" s="41" t="s">
        <v>3905</v>
      </c>
      <c r="B835" s="41" t="s">
        <v>782</v>
      </c>
      <c r="C835" s="41" t="s">
        <v>2928</v>
      </c>
      <c r="D835" s="41" t="s">
        <v>3900</v>
      </c>
      <c r="E835" s="41" t="s">
        <v>2929</v>
      </c>
      <c r="F835" s="41" t="s">
        <v>2933</v>
      </c>
      <c r="G835" s="41" t="s">
        <v>2934</v>
      </c>
    </row>
    <row r="836" spans="1:7" x14ac:dyDescent="0.25">
      <c r="A836" s="41" t="s">
        <v>3906</v>
      </c>
      <c r="B836" s="41" t="s">
        <v>782</v>
      </c>
      <c r="C836" s="41" t="s">
        <v>2928</v>
      </c>
      <c r="D836" s="41" t="s">
        <v>3900</v>
      </c>
      <c r="E836" s="41" t="s">
        <v>2929</v>
      </c>
      <c r="F836" s="41" t="s">
        <v>2933</v>
      </c>
      <c r="G836" s="41" t="s">
        <v>2934</v>
      </c>
    </row>
    <row r="837" spans="1:7" x14ac:dyDescent="0.25">
      <c r="A837" s="41" t="s">
        <v>3907</v>
      </c>
      <c r="B837" s="41" t="s">
        <v>782</v>
      </c>
      <c r="C837" s="41" t="s">
        <v>2928</v>
      </c>
      <c r="D837" s="41" t="s">
        <v>3900</v>
      </c>
      <c r="E837" s="41" t="s">
        <v>2929</v>
      </c>
      <c r="F837" s="41" t="s">
        <v>2933</v>
      </c>
      <c r="G837" s="41" t="s">
        <v>2934</v>
      </c>
    </row>
    <row r="838" spans="1:7" x14ac:dyDescent="0.25">
      <c r="A838" s="41" t="s">
        <v>3908</v>
      </c>
      <c r="B838" s="41" t="s">
        <v>782</v>
      </c>
      <c r="C838" s="41" t="s">
        <v>2928</v>
      </c>
      <c r="D838" s="41" t="s">
        <v>3900</v>
      </c>
      <c r="E838" s="41" t="s">
        <v>2929</v>
      </c>
      <c r="F838" s="41" t="s">
        <v>2930</v>
      </c>
      <c r="G838" s="41" t="s">
        <v>2931</v>
      </c>
    </row>
    <row r="839" spans="1:7" x14ac:dyDescent="0.25">
      <c r="A839" s="41" t="s">
        <v>3909</v>
      </c>
      <c r="B839" s="41" t="s">
        <v>782</v>
      </c>
      <c r="C839" s="41" t="s">
        <v>2928</v>
      </c>
      <c r="D839" s="41" t="s">
        <v>3900</v>
      </c>
      <c r="E839" s="41" t="s">
        <v>2929</v>
      </c>
      <c r="F839" s="41" t="s">
        <v>2930</v>
      </c>
      <c r="G839" s="41" t="s">
        <v>2931</v>
      </c>
    </row>
    <row r="840" spans="1:7" x14ac:dyDescent="0.25">
      <c r="A840" s="41" t="s">
        <v>3910</v>
      </c>
      <c r="B840" s="41" t="s">
        <v>782</v>
      </c>
      <c r="C840" s="41" t="s">
        <v>2928</v>
      </c>
      <c r="D840" s="41" t="s">
        <v>3900</v>
      </c>
      <c r="E840" s="41" t="s">
        <v>2929</v>
      </c>
      <c r="F840" s="41" t="s">
        <v>2930</v>
      </c>
      <c r="G840" s="41" t="s">
        <v>2931</v>
      </c>
    </row>
    <row r="841" spans="1:7" x14ac:dyDescent="0.25">
      <c r="A841" s="41" t="s">
        <v>3911</v>
      </c>
      <c r="B841" s="41" t="s">
        <v>782</v>
      </c>
      <c r="C841" s="41" t="s">
        <v>2928</v>
      </c>
      <c r="D841" s="41" t="s">
        <v>3900</v>
      </c>
      <c r="E841" s="41" t="s">
        <v>2929</v>
      </c>
      <c r="F841" s="41" t="s">
        <v>2930</v>
      </c>
      <c r="G841" s="41" t="s">
        <v>2931</v>
      </c>
    </row>
    <row r="842" spans="1:7" x14ac:dyDescent="0.25">
      <c r="A842" s="41" t="s">
        <v>3912</v>
      </c>
      <c r="B842" s="41" t="s">
        <v>782</v>
      </c>
      <c r="C842" s="41" t="s">
        <v>2928</v>
      </c>
      <c r="D842" s="41" t="s">
        <v>3900</v>
      </c>
      <c r="E842" s="41" t="s">
        <v>2929</v>
      </c>
      <c r="F842" s="41" t="s">
        <v>2930</v>
      </c>
      <c r="G842" s="41" t="s">
        <v>2931</v>
      </c>
    </row>
    <row r="843" spans="1:7" x14ac:dyDescent="0.25">
      <c r="A843" s="41" t="s">
        <v>3913</v>
      </c>
      <c r="B843" s="41" t="s">
        <v>782</v>
      </c>
      <c r="C843" s="41" t="s">
        <v>2928</v>
      </c>
      <c r="D843" s="41" t="s">
        <v>3900</v>
      </c>
      <c r="E843" s="41" t="s">
        <v>2929</v>
      </c>
      <c r="F843" s="41" t="s">
        <v>2930</v>
      </c>
      <c r="G843" s="41" t="s">
        <v>2931</v>
      </c>
    </row>
    <row r="844" spans="1:7" x14ac:dyDescent="0.25">
      <c r="A844" s="41" t="s">
        <v>3914</v>
      </c>
      <c r="B844" s="41" t="s">
        <v>782</v>
      </c>
      <c r="C844" s="41" t="s">
        <v>2928</v>
      </c>
      <c r="D844" s="41" t="s">
        <v>3900</v>
      </c>
      <c r="E844" s="41" t="s">
        <v>2929</v>
      </c>
      <c r="F844" s="41" t="s">
        <v>2930</v>
      </c>
      <c r="G844" s="41" t="s">
        <v>2931</v>
      </c>
    </row>
    <row r="845" spans="1:7" x14ac:dyDescent="0.25">
      <c r="A845" s="41" t="s">
        <v>3915</v>
      </c>
      <c r="B845" s="41" t="s">
        <v>782</v>
      </c>
      <c r="C845" s="41" t="s">
        <v>2928</v>
      </c>
      <c r="D845" s="41" t="s">
        <v>3900</v>
      </c>
      <c r="E845" s="41" t="s">
        <v>2929</v>
      </c>
      <c r="F845" s="41" t="s">
        <v>2949</v>
      </c>
      <c r="G845" s="41" t="s">
        <v>2950</v>
      </c>
    </row>
    <row r="846" spans="1:7" x14ac:dyDescent="0.25">
      <c r="A846" s="41" t="s">
        <v>3916</v>
      </c>
      <c r="B846" s="41" t="s">
        <v>782</v>
      </c>
      <c r="C846" s="41" t="s">
        <v>2928</v>
      </c>
      <c r="D846" s="41" t="s">
        <v>3900</v>
      </c>
      <c r="E846" s="41" t="s">
        <v>2929</v>
      </c>
      <c r="F846" s="41" t="s">
        <v>2949</v>
      </c>
      <c r="G846" s="41" t="s">
        <v>2950</v>
      </c>
    </row>
    <row r="847" spans="1:7" x14ac:dyDescent="0.25">
      <c r="A847" s="41" t="s">
        <v>3917</v>
      </c>
      <c r="B847" s="41" t="s">
        <v>782</v>
      </c>
      <c r="C847" s="41" t="s">
        <v>2928</v>
      </c>
      <c r="D847" s="41" t="s">
        <v>3900</v>
      </c>
      <c r="E847" s="41" t="s">
        <v>2929</v>
      </c>
      <c r="F847" s="41" t="s">
        <v>2949</v>
      </c>
      <c r="G847" s="41" t="s">
        <v>2950</v>
      </c>
    </row>
    <row r="848" spans="1:7" x14ac:dyDescent="0.25">
      <c r="A848" s="41" t="s">
        <v>3918</v>
      </c>
      <c r="B848" s="41" t="s">
        <v>782</v>
      </c>
      <c r="C848" s="41" t="s">
        <v>2928</v>
      </c>
      <c r="D848" s="41" t="s">
        <v>3900</v>
      </c>
      <c r="E848" s="41" t="s">
        <v>2929</v>
      </c>
      <c r="F848" s="41" t="s">
        <v>2949</v>
      </c>
      <c r="G848" s="41" t="s">
        <v>2950</v>
      </c>
    </row>
    <row r="849" spans="1:7" x14ac:dyDescent="0.25">
      <c r="A849" s="41" t="s">
        <v>3919</v>
      </c>
      <c r="B849" s="41" t="s">
        <v>782</v>
      </c>
      <c r="C849" s="41" t="s">
        <v>2928</v>
      </c>
      <c r="D849" s="41" t="s">
        <v>3900</v>
      </c>
      <c r="E849" s="41" t="s">
        <v>2929</v>
      </c>
      <c r="F849" s="41" t="s">
        <v>2949</v>
      </c>
      <c r="G849" s="41" t="s">
        <v>2950</v>
      </c>
    </row>
    <row r="850" spans="1:7" x14ac:dyDescent="0.25">
      <c r="A850" s="41" t="s">
        <v>3920</v>
      </c>
      <c r="B850" s="41" t="s">
        <v>782</v>
      </c>
      <c r="C850" s="41" t="s">
        <v>2928</v>
      </c>
      <c r="D850" s="41" t="s">
        <v>3900</v>
      </c>
      <c r="E850" s="41" t="s">
        <v>2929</v>
      </c>
      <c r="F850" s="41" t="s">
        <v>2949</v>
      </c>
      <c r="G850" s="41" t="s">
        <v>2950</v>
      </c>
    </row>
    <row r="851" spans="1:7" x14ac:dyDescent="0.25">
      <c r="A851" s="41" t="s">
        <v>3921</v>
      </c>
      <c r="B851" s="41" t="s">
        <v>782</v>
      </c>
      <c r="C851" s="41" t="s">
        <v>2928</v>
      </c>
      <c r="D851" s="41" t="s">
        <v>3900</v>
      </c>
      <c r="E851" s="41" t="s">
        <v>2929</v>
      </c>
      <c r="F851" s="41" t="s">
        <v>2949</v>
      </c>
      <c r="G851" s="41" t="s">
        <v>2950</v>
      </c>
    </row>
    <row r="852" spans="1:7" x14ac:dyDescent="0.25">
      <c r="A852" s="41" t="s">
        <v>3922</v>
      </c>
      <c r="B852" s="41" t="s">
        <v>3923</v>
      </c>
      <c r="C852" s="41" t="s">
        <v>2928</v>
      </c>
      <c r="D852" s="41" t="s">
        <v>3922</v>
      </c>
      <c r="E852" s="41" t="s">
        <v>2929</v>
      </c>
      <c r="F852" s="41" t="s">
        <v>2930</v>
      </c>
      <c r="G852" s="41" t="s">
        <v>2931</v>
      </c>
    </row>
    <row r="853" spans="1:7" x14ac:dyDescent="0.25">
      <c r="A853" s="41" t="s">
        <v>3924</v>
      </c>
      <c r="B853" s="41" t="s">
        <v>3923</v>
      </c>
      <c r="C853" s="41" t="s">
        <v>2928</v>
      </c>
      <c r="D853" s="41" t="s">
        <v>3922</v>
      </c>
      <c r="E853" s="41" t="s">
        <v>2929</v>
      </c>
      <c r="F853" s="41" t="s">
        <v>2933</v>
      </c>
      <c r="G853" s="41" t="s">
        <v>2934</v>
      </c>
    </row>
    <row r="854" spans="1:7" x14ac:dyDescent="0.25">
      <c r="A854" s="41" t="s">
        <v>3925</v>
      </c>
      <c r="B854" s="41" t="s">
        <v>3923</v>
      </c>
      <c r="C854" s="41" t="s">
        <v>2928</v>
      </c>
      <c r="D854" s="41" t="s">
        <v>3922</v>
      </c>
      <c r="E854" s="41" t="s">
        <v>2929</v>
      </c>
      <c r="F854" s="41" t="s">
        <v>2933</v>
      </c>
      <c r="G854" s="41" t="s">
        <v>2934</v>
      </c>
    </row>
    <row r="855" spans="1:7" x14ac:dyDescent="0.25">
      <c r="A855" s="41" t="s">
        <v>3926</v>
      </c>
      <c r="B855" s="41" t="s">
        <v>3923</v>
      </c>
      <c r="C855" s="41" t="s">
        <v>2928</v>
      </c>
      <c r="D855" s="41" t="s">
        <v>3922</v>
      </c>
      <c r="E855" s="41" t="s">
        <v>2929</v>
      </c>
      <c r="F855" s="41" t="s">
        <v>2933</v>
      </c>
      <c r="G855" s="41" t="s">
        <v>2934</v>
      </c>
    </row>
    <row r="856" spans="1:7" x14ac:dyDescent="0.25">
      <c r="A856" s="41" t="s">
        <v>3927</v>
      </c>
      <c r="B856" s="41" t="s">
        <v>3923</v>
      </c>
      <c r="C856" s="41" t="s">
        <v>2928</v>
      </c>
      <c r="D856" s="41" t="s">
        <v>3922</v>
      </c>
      <c r="E856" s="41" t="s">
        <v>2929</v>
      </c>
      <c r="F856" s="41" t="s">
        <v>2933</v>
      </c>
      <c r="G856" s="41" t="s">
        <v>2934</v>
      </c>
    </row>
    <row r="857" spans="1:7" x14ac:dyDescent="0.25">
      <c r="A857" s="41" t="s">
        <v>3928</v>
      </c>
      <c r="B857" s="41" t="s">
        <v>3923</v>
      </c>
      <c r="C857" s="41" t="s">
        <v>2928</v>
      </c>
      <c r="D857" s="41" t="s">
        <v>3922</v>
      </c>
      <c r="E857" s="41" t="s">
        <v>2929</v>
      </c>
      <c r="F857" s="41" t="s">
        <v>2933</v>
      </c>
      <c r="G857" s="41" t="s">
        <v>2934</v>
      </c>
    </row>
    <row r="858" spans="1:7" x14ac:dyDescent="0.25">
      <c r="A858" s="41" t="s">
        <v>3929</v>
      </c>
      <c r="B858" s="41" t="s">
        <v>3923</v>
      </c>
      <c r="C858" s="41" t="s">
        <v>2928</v>
      </c>
      <c r="D858" s="41" t="s">
        <v>3922</v>
      </c>
      <c r="E858" s="41" t="s">
        <v>2929</v>
      </c>
      <c r="F858" s="41" t="s">
        <v>2933</v>
      </c>
      <c r="G858" s="41" t="s">
        <v>2934</v>
      </c>
    </row>
    <row r="859" spans="1:7" x14ac:dyDescent="0.25">
      <c r="A859" s="41" t="s">
        <v>3930</v>
      </c>
      <c r="B859" s="41" t="s">
        <v>3923</v>
      </c>
      <c r="C859" s="41" t="s">
        <v>2928</v>
      </c>
      <c r="D859" s="41" t="s">
        <v>3922</v>
      </c>
      <c r="E859" s="41" t="s">
        <v>2929</v>
      </c>
      <c r="F859" s="41" t="s">
        <v>2933</v>
      </c>
      <c r="G859" s="41" t="s">
        <v>2934</v>
      </c>
    </row>
    <row r="860" spans="1:7" x14ac:dyDescent="0.25">
      <c r="A860" s="41" t="s">
        <v>3931</v>
      </c>
      <c r="B860" s="41" t="s">
        <v>3923</v>
      </c>
      <c r="C860" s="41" t="s">
        <v>2928</v>
      </c>
      <c r="D860" s="41" t="s">
        <v>3922</v>
      </c>
      <c r="E860" s="41" t="s">
        <v>2929</v>
      </c>
      <c r="F860" s="41" t="s">
        <v>2930</v>
      </c>
      <c r="G860" s="41" t="s">
        <v>2931</v>
      </c>
    </row>
    <row r="861" spans="1:7" x14ac:dyDescent="0.25">
      <c r="A861" s="41" t="s">
        <v>3932</v>
      </c>
      <c r="B861" s="41" t="s">
        <v>3923</v>
      </c>
      <c r="C861" s="41" t="s">
        <v>2928</v>
      </c>
      <c r="D861" s="41" t="s">
        <v>3922</v>
      </c>
      <c r="E861" s="41" t="s">
        <v>2929</v>
      </c>
      <c r="F861" s="41" t="s">
        <v>2930</v>
      </c>
      <c r="G861" s="41" t="s">
        <v>2931</v>
      </c>
    </row>
    <row r="862" spans="1:7" x14ac:dyDescent="0.25">
      <c r="A862" s="41" t="s">
        <v>3933</v>
      </c>
      <c r="B862" s="41" t="s">
        <v>3923</v>
      </c>
      <c r="C862" s="41" t="s">
        <v>2928</v>
      </c>
      <c r="D862" s="41" t="s">
        <v>3922</v>
      </c>
      <c r="E862" s="41" t="s">
        <v>2929</v>
      </c>
      <c r="F862" s="41" t="s">
        <v>2930</v>
      </c>
      <c r="G862" s="41" t="s">
        <v>2931</v>
      </c>
    </row>
    <row r="863" spans="1:7" x14ac:dyDescent="0.25">
      <c r="A863" s="41" t="s">
        <v>3934</v>
      </c>
      <c r="B863" s="41" t="s">
        <v>3923</v>
      </c>
      <c r="C863" s="41" t="s">
        <v>2928</v>
      </c>
      <c r="D863" s="41" t="s">
        <v>3922</v>
      </c>
      <c r="E863" s="41" t="s">
        <v>2929</v>
      </c>
      <c r="F863" s="41" t="s">
        <v>2930</v>
      </c>
      <c r="G863" s="41" t="s">
        <v>2931</v>
      </c>
    </row>
    <row r="864" spans="1:7" x14ac:dyDescent="0.25">
      <c r="A864" s="41" t="s">
        <v>3935</v>
      </c>
      <c r="B864" s="41" t="s">
        <v>3923</v>
      </c>
      <c r="C864" s="41" t="s">
        <v>2928</v>
      </c>
      <c r="D864" s="41" t="s">
        <v>3922</v>
      </c>
      <c r="E864" s="41" t="s">
        <v>2929</v>
      </c>
      <c r="F864" s="41" t="s">
        <v>2930</v>
      </c>
      <c r="G864" s="41" t="s">
        <v>2931</v>
      </c>
    </row>
    <row r="865" spans="1:7" x14ac:dyDescent="0.25">
      <c r="A865" s="41" t="s">
        <v>3936</v>
      </c>
      <c r="B865" s="41" t="s">
        <v>3923</v>
      </c>
      <c r="C865" s="41" t="s">
        <v>2928</v>
      </c>
      <c r="D865" s="41" t="s">
        <v>3922</v>
      </c>
      <c r="E865" s="41" t="s">
        <v>2929</v>
      </c>
      <c r="F865" s="41" t="s">
        <v>2930</v>
      </c>
      <c r="G865" s="41" t="s">
        <v>2931</v>
      </c>
    </row>
    <row r="866" spans="1:7" x14ac:dyDescent="0.25">
      <c r="A866" s="41" t="s">
        <v>3937</v>
      </c>
      <c r="B866" s="41" t="s">
        <v>3923</v>
      </c>
      <c r="C866" s="41" t="s">
        <v>2928</v>
      </c>
      <c r="D866" s="41" t="s">
        <v>3922</v>
      </c>
      <c r="E866" s="41" t="s">
        <v>2929</v>
      </c>
      <c r="F866" s="41" t="s">
        <v>2930</v>
      </c>
      <c r="G866" s="41" t="s">
        <v>2931</v>
      </c>
    </row>
    <row r="867" spans="1:7" x14ac:dyDescent="0.25">
      <c r="A867" s="41" t="s">
        <v>3938</v>
      </c>
      <c r="B867" s="41" t="s">
        <v>3923</v>
      </c>
      <c r="C867" s="41" t="s">
        <v>2928</v>
      </c>
      <c r="D867" s="41" t="s">
        <v>3922</v>
      </c>
      <c r="E867" s="41" t="s">
        <v>2929</v>
      </c>
      <c r="F867" s="41" t="s">
        <v>2949</v>
      </c>
      <c r="G867" s="41" t="s">
        <v>2950</v>
      </c>
    </row>
    <row r="868" spans="1:7" x14ac:dyDescent="0.25">
      <c r="A868" s="41" t="s">
        <v>3939</v>
      </c>
      <c r="B868" s="41" t="s">
        <v>3923</v>
      </c>
      <c r="C868" s="41" t="s">
        <v>2928</v>
      </c>
      <c r="D868" s="41" t="s">
        <v>3922</v>
      </c>
      <c r="E868" s="41" t="s">
        <v>2929</v>
      </c>
      <c r="F868" s="41" t="s">
        <v>2949</v>
      </c>
      <c r="G868" s="41" t="s">
        <v>2950</v>
      </c>
    </row>
    <row r="869" spans="1:7" x14ac:dyDescent="0.25">
      <c r="A869" s="41" t="s">
        <v>3940</v>
      </c>
      <c r="B869" s="41" t="s">
        <v>3923</v>
      </c>
      <c r="C869" s="41" t="s">
        <v>2928</v>
      </c>
      <c r="D869" s="41" t="s">
        <v>3922</v>
      </c>
      <c r="E869" s="41" t="s">
        <v>2929</v>
      </c>
      <c r="F869" s="41" t="s">
        <v>2949</v>
      </c>
      <c r="G869" s="41" t="s">
        <v>2950</v>
      </c>
    </row>
    <row r="870" spans="1:7" x14ac:dyDescent="0.25">
      <c r="A870" s="41" t="s">
        <v>3941</v>
      </c>
      <c r="B870" s="41" t="s">
        <v>3923</v>
      </c>
      <c r="C870" s="41" t="s">
        <v>2928</v>
      </c>
      <c r="D870" s="41" t="s">
        <v>3922</v>
      </c>
      <c r="E870" s="41" t="s">
        <v>2929</v>
      </c>
      <c r="F870" s="41" t="s">
        <v>2949</v>
      </c>
      <c r="G870" s="41" t="s">
        <v>2950</v>
      </c>
    </row>
    <row r="871" spans="1:7" x14ac:dyDescent="0.25">
      <c r="A871" s="41" t="s">
        <v>3942</v>
      </c>
      <c r="B871" s="41" t="s">
        <v>3923</v>
      </c>
      <c r="C871" s="41" t="s">
        <v>2928</v>
      </c>
      <c r="D871" s="41" t="s">
        <v>3922</v>
      </c>
      <c r="E871" s="41" t="s">
        <v>2929</v>
      </c>
      <c r="F871" s="41" t="s">
        <v>2949</v>
      </c>
      <c r="G871" s="41" t="s">
        <v>2950</v>
      </c>
    </row>
    <row r="872" spans="1:7" x14ac:dyDescent="0.25">
      <c r="A872" s="41" t="s">
        <v>3943</v>
      </c>
      <c r="B872" s="41" t="s">
        <v>3923</v>
      </c>
      <c r="C872" s="41" t="s">
        <v>2928</v>
      </c>
      <c r="D872" s="41" t="s">
        <v>3922</v>
      </c>
      <c r="E872" s="41" t="s">
        <v>2929</v>
      </c>
      <c r="F872" s="41" t="s">
        <v>2949</v>
      </c>
      <c r="G872" s="41" t="s">
        <v>2950</v>
      </c>
    </row>
    <row r="873" spans="1:7" x14ac:dyDescent="0.25">
      <c r="A873" s="41" t="s">
        <v>3944</v>
      </c>
      <c r="B873" s="41" t="s">
        <v>3923</v>
      </c>
      <c r="C873" s="41" t="s">
        <v>2928</v>
      </c>
      <c r="D873" s="41" t="s">
        <v>3922</v>
      </c>
      <c r="E873" s="41" t="s">
        <v>2929</v>
      </c>
      <c r="F873" s="41" t="s">
        <v>2949</v>
      </c>
      <c r="G873" s="41" t="s">
        <v>2950</v>
      </c>
    </row>
    <row r="874" spans="1:7" x14ac:dyDescent="0.25">
      <c r="A874" s="41" t="s">
        <v>3945</v>
      </c>
      <c r="B874" s="41" t="s">
        <v>3946</v>
      </c>
      <c r="C874" s="41" t="s">
        <v>2928</v>
      </c>
      <c r="D874" s="41" t="s">
        <v>3945</v>
      </c>
      <c r="E874" s="41" t="s">
        <v>2929</v>
      </c>
      <c r="F874" s="41" t="s">
        <v>2930</v>
      </c>
      <c r="G874" s="41" t="s">
        <v>2931</v>
      </c>
    </row>
    <row r="875" spans="1:7" x14ac:dyDescent="0.25">
      <c r="A875" s="41" t="s">
        <v>3947</v>
      </c>
      <c r="B875" s="41" t="s">
        <v>3946</v>
      </c>
      <c r="C875" s="41" t="s">
        <v>2928</v>
      </c>
      <c r="D875" s="41" t="s">
        <v>3945</v>
      </c>
      <c r="E875" s="41" t="s">
        <v>2929</v>
      </c>
      <c r="F875" s="41" t="s">
        <v>2933</v>
      </c>
      <c r="G875" s="41" t="s">
        <v>2934</v>
      </c>
    </row>
    <row r="876" spans="1:7" x14ac:dyDescent="0.25">
      <c r="A876" s="41" t="s">
        <v>3948</v>
      </c>
      <c r="B876" s="41" t="s">
        <v>3946</v>
      </c>
      <c r="C876" s="41" t="s">
        <v>2928</v>
      </c>
      <c r="D876" s="41" t="s">
        <v>3945</v>
      </c>
      <c r="E876" s="41" t="s">
        <v>2929</v>
      </c>
      <c r="F876" s="41" t="s">
        <v>2933</v>
      </c>
      <c r="G876" s="41" t="s">
        <v>2934</v>
      </c>
    </row>
    <row r="877" spans="1:7" x14ac:dyDescent="0.25">
      <c r="A877" s="41" t="s">
        <v>3949</v>
      </c>
      <c r="B877" s="41" t="s">
        <v>3946</v>
      </c>
      <c r="C877" s="41" t="s">
        <v>2928</v>
      </c>
      <c r="D877" s="41" t="s">
        <v>3945</v>
      </c>
      <c r="E877" s="41" t="s">
        <v>2929</v>
      </c>
      <c r="F877" s="41" t="s">
        <v>2933</v>
      </c>
      <c r="G877" s="41" t="s">
        <v>2934</v>
      </c>
    </row>
    <row r="878" spans="1:7" x14ac:dyDescent="0.25">
      <c r="A878" s="41" t="s">
        <v>3950</v>
      </c>
      <c r="B878" s="41" t="s">
        <v>3946</v>
      </c>
      <c r="C878" s="41" t="s">
        <v>2928</v>
      </c>
      <c r="D878" s="41" t="s">
        <v>3945</v>
      </c>
      <c r="E878" s="41" t="s">
        <v>2929</v>
      </c>
      <c r="F878" s="41" t="s">
        <v>2933</v>
      </c>
      <c r="G878" s="41" t="s">
        <v>2934</v>
      </c>
    </row>
    <row r="879" spans="1:7" x14ac:dyDescent="0.25">
      <c r="A879" s="41" t="s">
        <v>3951</v>
      </c>
      <c r="B879" s="41" t="s">
        <v>3946</v>
      </c>
      <c r="C879" s="41" t="s">
        <v>2928</v>
      </c>
      <c r="D879" s="41" t="s">
        <v>3945</v>
      </c>
      <c r="E879" s="41" t="s">
        <v>2929</v>
      </c>
      <c r="F879" s="41" t="s">
        <v>2933</v>
      </c>
      <c r="G879" s="41" t="s">
        <v>2934</v>
      </c>
    </row>
    <row r="880" spans="1:7" x14ac:dyDescent="0.25">
      <c r="A880" s="41" t="s">
        <v>3952</v>
      </c>
      <c r="B880" s="41" t="s">
        <v>3946</v>
      </c>
      <c r="C880" s="41" t="s">
        <v>2928</v>
      </c>
      <c r="D880" s="41" t="s">
        <v>3945</v>
      </c>
      <c r="E880" s="41" t="s">
        <v>2929</v>
      </c>
      <c r="F880" s="41" t="s">
        <v>2933</v>
      </c>
      <c r="G880" s="41" t="s">
        <v>2934</v>
      </c>
    </row>
    <row r="881" spans="1:7" x14ac:dyDescent="0.25">
      <c r="A881" s="41" t="s">
        <v>3953</v>
      </c>
      <c r="B881" s="41" t="s">
        <v>3946</v>
      </c>
      <c r="C881" s="41" t="s">
        <v>2928</v>
      </c>
      <c r="D881" s="41" t="s">
        <v>3945</v>
      </c>
      <c r="E881" s="41" t="s">
        <v>2929</v>
      </c>
      <c r="F881" s="41" t="s">
        <v>2933</v>
      </c>
      <c r="G881" s="41" t="s">
        <v>2934</v>
      </c>
    </row>
    <row r="882" spans="1:7" x14ac:dyDescent="0.25">
      <c r="A882" s="41" t="s">
        <v>3954</v>
      </c>
      <c r="B882" s="41" t="s">
        <v>3946</v>
      </c>
      <c r="C882" s="41" t="s">
        <v>2928</v>
      </c>
      <c r="D882" s="41" t="s">
        <v>3945</v>
      </c>
      <c r="E882" s="41" t="s">
        <v>2929</v>
      </c>
      <c r="F882" s="41" t="s">
        <v>2930</v>
      </c>
      <c r="G882" s="41" t="s">
        <v>2931</v>
      </c>
    </row>
    <row r="883" spans="1:7" x14ac:dyDescent="0.25">
      <c r="A883" s="41" t="s">
        <v>3955</v>
      </c>
      <c r="B883" s="41" t="s">
        <v>3946</v>
      </c>
      <c r="C883" s="41" t="s">
        <v>2928</v>
      </c>
      <c r="D883" s="41" t="s">
        <v>3945</v>
      </c>
      <c r="E883" s="41" t="s">
        <v>2929</v>
      </c>
      <c r="F883" s="41" t="s">
        <v>2930</v>
      </c>
      <c r="G883" s="41" t="s">
        <v>2931</v>
      </c>
    </row>
    <row r="884" spans="1:7" x14ac:dyDescent="0.25">
      <c r="A884" s="41" t="s">
        <v>3956</v>
      </c>
      <c r="B884" s="41" t="s">
        <v>3946</v>
      </c>
      <c r="C884" s="41" t="s">
        <v>2928</v>
      </c>
      <c r="D884" s="41" t="s">
        <v>3945</v>
      </c>
      <c r="E884" s="41" t="s">
        <v>2929</v>
      </c>
      <c r="F884" s="41" t="s">
        <v>2930</v>
      </c>
      <c r="G884" s="41" t="s">
        <v>2931</v>
      </c>
    </row>
    <row r="885" spans="1:7" x14ac:dyDescent="0.25">
      <c r="A885" s="41" t="s">
        <v>3957</v>
      </c>
      <c r="B885" s="41" t="s">
        <v>3946</v>
      </c>
      <c r="C885" s="41" t="s">
        <v>2928</v>
      </c>
      <c r="D885" s="41" t="s">
        <v>3945</v>
      </c>
      <c r="E885" s="41" t="s">
        <v>2929</v>
      </c>
      <c r="F885" s="41" t="s">
        <v>2930</v>
      </c>
      <c r="G885" s="41" t="s">
        <v>2931</v>
      </c>
    </row>
    <row r="886" spans="1:7" x14ac:dyDescent="0.25">
      <c r="A886" s="41" t="s">
        <v>3958</v>
      </c>
      <c r="B886" s="41" t="s">
        <v>3946</v>
      </c>
      <c r="C886" s="41" t="s">
        <v>2928</v>
      </c>
      <c r="D886" s="41" t="s">
        <v>3945</v>
      </c>
      <c r="E886" s="41" t="s">
        <v>2929</v>
      </c>
      <c r="F886" s="41" t="s">
        <v>2930</v>
      </c>
      <c r="G886" s="41" t="s">
        <v>2931</v>
      </c>
    </row>
    <row r="887" spans="1:7" x14ac:dyDescent="0.25">
      <c r="A887" s="41" t="s">
        <v>3959</v>
      </c>
      <c r="B887" s="41" t="s">
        <v>3946</v>
      </c>
      <c r="C887" s="41" t="s">
        <v>2928</v>
      </c>
      <c r="D887" s="41" t="s">
        <v>3945</v>
      </c>
      <c r="E887" s="41" t="s">
        <v>2929</v>
      </c>
      <c r="F887" s="41" t="s">
        <v>2930</v>
      </c>
      <c r="G887" s="41" t="s">
        <v>2931</v>
      </c>
    </row>
    <row r="888" spans="1:7" x14ac:dyDescent="0.25">
      <c r="A888" s="41" t="s">
        <v>3960</v>
      </c>
      <c r="B888" s="41" t="s">
        <v>3946</v>
      </c>
      <c r="C888" s="41" t="s">
        <v>2928</v>
      </c>
      <c r="D888" s="41" t="s">
        <v>3945</v>
      </c>
      <c r="E888" s="41" t="s">
        <v>2929</v>
      </c>
      <c r="F888" s="41" t="s">
        <v>2930</v>
      </c>
      <c r="G888" s="41" t="s">
        <v>2931</v>
      </c>
    </row>
    <row r="889" spans="1:7" x14ac:dyDescent="0.25">
      <c r="A889" s="41" t="s">
        <v>3961</v>
      </c>
      <c r="B889" s="41" t="s">
        <v>3946</v>
      </c>
      <c r="C889" s="41" t="s">
        <v>2928</v>
      </c>
      <c r="D889" s="41" t="s">
        <v>3945</v>
      </c>
      <c r="E889" s="41" t="s">
        <v>2929</v>
      </c>
      <c r="F889" s="41" t="s">
        <v>2949</v>
      </c>
      <c r="G889" s="41" t="s">
        <v>2950</v>
      </c>
    </row>
    <row r="890" spans="1:7" x14ac:dyDescent="0.25">
      <c r="A890" s="41" t="s">
        <v>3962</v>
      </c>
      <c r="B890" s="41" t="s">
        <v>3946</v>
      </c>
      <c r="C890" s="41" t="s">
        <v>2928</v>
      </c>
      <c r="D890" s="41" t="s">
        <v>3945</v>
      </c>
      <c r="E890" s="41" t="s">
        <v>2929</v>
      </c>
      <c r="F890" s="41" t="s">
        <v>2949</v>
      </c>
      <c r="G890" s="41" t="s">
        <v>2950</v>
      </c>
    </row>
    <row r="891" spans="1:7" x14ac:dyDescent="0.25">
      <c r="A891" s="41" t="s">
        <v>3963</v>
      </c>
      <c r="B891" s="41" t="s">
        <v>3946</v>
      </c>
      <c r="C891" s="41" t="s">
        <v>2928</v>
      </c>
      <c r="D891" s="41" t="s">
        <v>3945</v>
      </c>
      <c r="E891" s="41" t="s">
        <v>2929</v>
      </c>
      <c r="F891" s="41" t="s">
        <v>2949</v>
      </c>
      <c r="G891" s="41" t="s">
        <v>2950</v>
      </c>
    </row>
    <row r="892" spans="1:7" x14ac:dyDescent="0.25">
      <c r="A892" s="41" t="s">
        <v>3964</v>
      </c>
      <c r="B892" s="41" t="s">
        <v>3946</v>
      </c>
      <c r="C892" s="41" t="s">
        <v>2928</v>
      </c>
      <c r="D892" s="41" t="s">
        <v>3945</v>
      </c>
      <c r="E892" s="41" t="s">
        <v>2929</v>
      </c>
      <c r="F892" s="41" t="s">
        <v>2949</v>
      </c>
      <c r="G892" s="41" t="s">
        <v>2950</v>
      </c>
    </row>
    <row r="893" spans="1:7" x14ac:dyDescent="0.25">
      <c r="A893" s="41" t="s">
        <v>3965</v>
      </c>
      <c r="B893" s="41" t="s">
        <v>3946</v>
      </c>
      <c r="C893" s="41" t="s">
        <v>2928</v>
      </c>
      <c r="D893" s="41" t="s">
        <v>3945</v>
      </c>
      <c r="E893" s="41" t="s">
        <v>2929</v>
      </c>
      <c r="F893" s="41" t="s">
        <v>2949</v>
      </c>
      <c r="G893" s="41" t="s">
        <v>2950</v>
      </c>
    </row>
    <row r="894" spans="1:7" x14ac:dyDescent="0.25">
      <c r="A894" s="41" t="s">
        <v>3966</v>
      </c>
      <c r="B894" s="41" t="s">
        <v>3946</v>
      </c>
      <c r="C894" s="41" t="s">
        <v>2928</v>
      </c>
      <c r="D894" s="41" t="s">
        <v>3945</v>
      </c>
      <c r="E894" s="41" t="s">
        <v>2929</v>
      </c>
      <c r="F894" s="41" t="s">
        <v>2949</v>
      </c>
      <c r="G894" s="41" t="s">
        <v>2950</v>
      </c>
    </row>
    <row r="895" spans="1:7" x14ac:dyDescent="0.25">
      <c r="A895" s="41" t="s">
        <v>3967</v>
      </c>
      <c r="B895" s="41" t="s">
        <v>3946</v>
      </c>
      <c r="C895" s="41" t="s">
        <v>2928</v>
      </c>
      <c r="D895" s="41" t="s">
        <v>3945</v>
      </c>
      <c r="E895" s="41" t="s">
        <v>2929</v>
      </c>
      <c r="F895" s="41" t="s">
        <v>2949</v>
      </c>
      <c r="G895" s="41" t="s">
        <v>2950</v>
      </c>
    </row>
    <row r="896" spans="1:7" x14ac:dyDescent="0.25">
      <c r="A896" s="41" t="s">
        <v>3968</v>
      </c>
      <c r="B896" s="41" t="s">
        <v>3969</v>
      </c>
      <c r="C896" s="41" t="s">
        <v>2928</v>
      </c>
      <c r="D896" s="41" t="s">
        <v>3968</v>
      </c>
      <c r="E896" s="41" t="s">
        <v>2929</v>
      </c>
      <c r="F896" s="41" t="s">
        <v>2930</v>
      </c>
      <c r="G896" s="41" t="s">
        <v>2931</v>
      </c>
    </row>
    <row r="897" spans="1:7" x14ac:dyDescent="0.25">
      <c r="A897" s="41" t="s">
        <v>3970</v>
      </c>
      <c r="B897" s="41" t="s">
        <v>3971</v>
      </c>
      <c r="C897" s="41" t="s">
        <v>2928</v>
      </c>
      <c r="D897" s="41" t="s">
        <v>3968</v>
      </c>
      <c r="E897" s="41" t="s">
        <v>2929</v>
      </c>
      <c r="F897" s="41" t="s">
        <v>2933</v>
      </c>
      <c r="G897" s="41" t="s">
        <v>2934</v>
      </c>
    </row>
    <row r="898" spans="1:7" x14ac:dyDescent="0.25">
      <c r="A898" s="41" t="s">
        <v>3972</v>
      </c>
      <c r="B898" s="41" t="s">
        <v>3971</v>
      </c>
      <c r="C898" s="41" t="s">
        <v>2928</v>
      </c>
      <c r="D898" s="41" t="s">
        <v>3968</v>
      </c>
      <c r="E898" s="41" t="s">
        <v>2929</v>
      </c>
      <c r="F898" s="41" t="s">
        <v>2933</v>
      </c>
      <c r="G898" s="41" t="s">
        <v>2934</v>
      </c>
    </row>
    <row r="899" spans="1:7" x14ac:dyDescent="0.25">
      <c r="A899" s="41" t="s">
        <v>3973</v>
      </c>
      <c r="B899" s="41" t="s">
        <v>3971</v>
      </c>
      <c r="C899" s="41" t="s">
        <v>2928</v>
      </c>
      <c r="D899" s="41" t="s">
        <v>3968</v>
      </c>
      <c r="E899" s="41" t="s">
        <v>2929</v>
      </c>
      <c r="F899" s="41" t="s">
        <v>2933</v>
      </c>
      <c r="G899" s="41" t="s">
        <v>2934</v>
      </c>
    </row>
    <row r="900" spans="1:7" x14ac:dyDescent="0.25">
      <c r="A900" s="41" t="s">
        <v>3974</v>
      </c>
      <c r="B900" s="41" t="s">
        <v>3971</v>
      </c>
      <c r="C900" s="41" t="s">
        <v>2928</v>
      </c>
      <c r="D900" s="41" t="s">
        <v>3968</v>
      </c>
      <c r="E900" s="41" t="s">
        <v>2929</v>
      </c>
      <c r="F900" s="41" t="s">
        <v>2933</v>
      </c>
      <c r="G900" s="41" t="s">
        <v>2934</v>
      </c>
    </row>
    <row r="901" spans="1:7" x14ac:dyDescent="0.25">
      <c r="A901" s="41" t="s">
        <v>3975</v>
      </c>
      <c r="B901" s="41" t="s">
        <v>3971</v>
      </c>
      <c r="C901" s="41" t="s">
        <v>2928</v>
      </c>
      <c r="D901" s="41" t="s">
        <v>3968</v>
      </c>
      <c r="E901" s="41" t="s">
        <v>2929</v>
      </c>
      <c r="F901" s="41" t="s">
        <v>2933</v>
      </c>
      <c r="G901" s="41" t="s">
        <v>2934</v>
      </c>
    </row>
    <row r="902" spans="1:7" x14ac:dyDescent="0.25">
      <c r="A902" s="41" t="s">
        <v>3976</v>
      </c>
      <c r="B902" s="41" t="s">
        <v>3971</v>
      </c>
      <c r="C902" s="41" t="s">
        <v>2928</v>
      </c>
      <c r="D902" s="41" t="s">
        <v>3968</v>
      </c>
      <c r="E902" s="41" t="s">
        <v>2929</v>
      </c>
      <c r="F902" s="41" t="s">
        <v>2933</v>
      </c>
      <c r="G902" s="41" t="s">
        <v>2934</v>
      </c>
    </row>
    <row r="903" spans="1:7" x14ac:dyDescent="0.25">
      <c r="A903" s="41" t="s">
        <v>3977</v>
      </c>
      <c r="B903" s="41" t="s">
        <v>3971</v>
      </c>
      <c r="C903" s="41" t="s">
        <v>2928</v>
      </c>
      <c r="D903" s="41" t="s">
        <v>3968</v>
      </c>
      <c r="E903" s="41" t="s">
        <v>2929</v>
      </c>
      <c r="F903" s="41" t="s">
        <v>2933</v>
      </c>
      <c r="G903" s="41" t="s">
        <v>2934</v>
      </c>
    </row>
    <row r="904" spans="1:7" x14ac:dyDescent="0.25">
      <c r="A904" s="41" t="s">
        <v>3978</v>
      </c>
      <c r="B904" s="41" t="s">
        <v>3971</v>
      </c>
      <c r="C904" s="41" t="s">
        <v>2928</v>
      </c>
      <c r="D904" s="41" t="s">
        <v>3968</v>
      </c>
      <c r="E904" s="41" t="s">
        <v>2929</v>
      </c>
      <c r="F904" s="41" t="s">
        <v>2930</v>
      </c>
      <c r="G904" s="41" t="s">
        <v>2931</v>
      </c>
    </row>
    <row r="905" spans="1:7" x14ac:dyDescent="0.25">
      <c r="A905" s="41" t="s">
        <v>3979</v>
      </c>
      <c r="B905" s="41" t="s">
        <v>3971</v>
      </c>
      <c r="C905" s="41" t="s">
        <v>2928</v>
      </c>
      <c r="D905" s="41" t="s">
        <v>3968</v>
      </c>
      <c r="E905" s="41" t="s">
        <v>2929</v>
      </c>
      <c r="F905" s="41" t="s">
        <v>2930</v>
      </c>
      <c r="G905" s="41" t="s">
        <v>2931</v>
      </c>
    </row>
    <row r="906" spans="1:7" x14ac:dyDescent="0.25">
      <c r="A906" s="41" t="s">
        <v>3980</v>
      </c>
      <c r="B906" s="41" t="s">
        <v>3971</v>
      </c>
      <c r="C906" s="41" t="s">
        <v>2928</v>
      </c>
      <c r="D906" s="41" t="s">
        <v>3968</v>
      </c>
      <c r="E906" s="41" t="s">
        <v>2929</v>
      </c>
      <c r="F906" s="41" t="s">
        <v>2930</v>
      </c>
      <c r="G906" s="41" t="s">
        <v>2931</v>
      </c>
    </row>
    <row r="907" spans="1:7" x14ac:dyDescent="0.25">
      <c r="A907" s="41" t="s">
        <v>3981</v>
      </c>
      <c r="B907" s="41" t="s">
        <v>3971</v>
      </c>
      <c r="C907" s="41" t="s">
        <v>2928</v>
      </c>
      <c r="D907" s="41" t="s">
        <v>3968</v>
      </c>
      <c r="E907" s="41" t="s">
        <v>2929</v>
      </c>
      <c r="F907" s="41" t="s">
        <v>2930</v>
      </c>
      <c r="G907" s="41" t="s">
        <v>2931</v>
      </c>
    </row>
    <row r="908" spans="1:7" x14ac:dyDescent="0.25">
      <c r="A908" s="41" t="s">
        <v>3982</v>
      </c>
      <c r="B908" s="41" t="s">
        <v>3971</v>
      </c>
      <c r="C908" s="41" t="s">
        <v>2928</v>
      </c>
      <c r="D908" s="41" t="s">
        <v>3968</v>
      </c>
      <c r="E908" s="41" t="s">
        <v>2929</v>
      </c>
      <c r="F908" s="41" t="s">
        <v>2930</v>
      </c>
      <c r="G908" s="41" t="s">
        <v>2931</v>
      </c>
    </row>
    <row r="909" spans="1:7" x14ac:dyDescent="0.25">
      <c r="A909" s="41" t="s">
        <v>3983</v>
      </c>
      <c r="B909" s="41" t="s">
        <v>3971</v>
      </c>
      <c r="C909" s="41" t="s">
        <v>2928</v>
      </c>
      <c r="D909" s="41" t="s">
        <v>3968</v>
      </c>
      <c r="E909" s="41" t="s">
        <v>2929</v>
      </c>
      <c r="F909" s="41" t="s">
        <v>2930</v>
      </c>
      <c r="G909" s="41" t="s">
        <v>2931</v>
      </c>
    </row>
    <row r="910" spans="1:7" x14ac:dyDescent="0.25">
      <c r="A910" s="41" t="s">
        <v>3984</v>
      </c>
      <c r="B910" s="41" t="s">
        <v>3971</v>
      </c>
      <c r="C910" s="41" t="s">
        <v>2928</v>
      </c>
      <c r="D910" s="41" t="s">
        <v>3968</v>
      </c>
      <c r="E910" s="41" t="s">
        <v>2929</v>
      </c>
      <c r="F910" s="41" t="s">
        <v>2930</v>
      </c>
      <c r="G910" s="41" t="s">
        <v>2931</v>
      </c>
    </row>
    <row r="911" spans="1:7" x14ac:dyDescent="0.25">
      <c r="A911" s="41" t="s">
        <v>3985</v>
      </c>
      <c r="B911" s="41" t="s">
        <v>3971</v>
      </c>
      <c r="C911" s="41" t="s">
        <v>2928</v>
      </c>
      <c r="D911" s="41" t="s">
        <v>3968</v>
      </c>
      <c r="E911" s="41" t="s">
        <v>2929</v>
      </c>
      <c r="F911" s="41" t="s">
        <v>2949</v>
      </c>
      <c r="G911" s="41" t="s">
        <v>2950</v>
      </c>
    </row>
    <row r="912" spans="1:7" x14ac:dyDescent="0.25">
      <c r="A912" s="41" t="s">
        <v>3986</v>
      </c>
      <c r="B912" s="41" t="s">
        <v>3971</v>
      </c>
      <c r="C912" s="41" t="s">
        <v>2928</v>
      </c>
      <c r="D912" s="41" t="s">
        <v>3968</v>
      </c>
      <c r="E912" s="41" t="s">
        <v>2929</v>
      </c>
      <c r="F912" s="41" t="s">
        <v>2949</v>
      </c>
      <c r="G912" s="41" t="s">
        <v>2950</v>
      </c>
    </row>
    <row r="913" spans="1:7" x14ac:dyDescent="0.25">
      <c r="A913" s="41" t="s">
        <v>3987</v>
      </c>
      <c r="B913" s="41" t="s">
        <v>3971</v>
      </c>
      <c r="C913" s="41" t="s">
        <v>2928</v>
      </c>
      <c r="D913" s="41" t="s">
        <v>3968</v>
      </c>
      <c r="E913" s="41" t="s">
        <v>2929</v>
      </c>
      <c r="F913" s="41" t="s">
        <v>2949</v>
      </c>
      <c r="G913" s="41" t="s">
        <v>2950</v>
      </c>
    </row>
    <row r="914" spans="1:7" x14ac:dyDescent="0.25">
      <c r="A914" s="41" t="s">
        <v>3988</v>
      </c>
      <c r="B914" s="41" t="s">
        <v>3971</v>
      </c>
      <c r="C914" s="41" t="s">
        <v>2928</v>
      </c>
      <c r="D914" s="41" t="s">
        <v>3968</v>
      </c>
      <c r="E914" s="41" t="s">
        <v>2929</v>
      </c>
      <c r="F914" s="41" t="s">
        <v>2949</v>
      </c>
      <c r="G914" s="41" t="s">
        <v>2950</v>
      </c>
    </row>
    <row r="915" spans="1:7" x14ac:dyDescent="0.25">
      <c r="A915" s="41" t="s">
        <v>3989</v>
      </c>
      <c r="B915" s="41" t="s">
        <v>3971</v>
      </c>
      <c r="C915" s="41" t="s">
        <v>2928</v>
      </c>
      <c r="D915" s="41" t="s">
        <v>3968</v>
      </c>
      <c r="E915" s="41" t="s">
        <v>2929</v>
      </c>
      <c r="F915" s="41" t="s">
        <v>2949</v>
      </c>
      <c r="G915" s="41" t="s">
        <v>2950</v>
      </c>
    </row>
    <row r="916" spans="1:7" x14ac:dyDescent="0.25">
      <c r="A916" s="41" t="s">
        <v>3990</v>
      </c>
      <c r="B916" s="41" t="s">
        <v>3971</v>
      </c>
      <c r="C916" s="41" t="s">
        <v>2928</v>
      </c>
      <c r="D916" s="41" t="s">
        <v>3968</v>
      </c>
      <c r="E916" s="41" t="s">
        <v>2929</v>
      </c>
      <c r="F916" s="41" t="s">
        <v>2949</v>
      </c>
      <c r="G916" s="41" t="s">
        <v>2950</v>
      </c>
    </row>
    <row r="917" spans="1:7" x14ac:dyDescent="0.25">
      <c r="A917" s="41" t="s">
        <v>3991</v>
      </c>
      <c r="B917" s="41" t="s">
        <v>3971</v>
      </c>
      <c r="C917" s="41" t="s">
        <v>2928</v>
      </c>
      <c r="D917" s="41" t="s">
        <v>3968</v>
      </c>
      <c r="E917" s="41" t="s">
        <v>2929</v>
      </c>
      <c r="F917" s="41" t="s">
        <v>2949</v>
      </c>
      <c r="G917" s="41" t="s">
        <v>2950</v>
      </c>
    </row>
    <row r="918" spans="1:7" x14ac:dyDescent="0.25">
      <c r="A918" s="41" t="s">
        <v>3992</v>
      </c>
      <c r="B918" s="41" t="s">
        <v>614</v>
      </c>
      <c r="C918" s="41" t="s">
        <v>2928</v>
      </c>
      <c r="D918" s="41" t="s">
        <v>3992</v>
      </c>
      <c r="E918" s="41" t="s">
        <v>2929</v>
      </c>
      <c r="F918" s="41" t="s">
        <v>2930</v>
      </c>
      <c r="G918" s="41" t="s">
        <v>2931</v>
      </c>
    </row>
    <row r="919" spans="1:7" x14ac:dyDescent="0.25">
      <c r="A919" s="41" t="s">
        <v>3993</v>
      </c>
      <c r="B919" s="41" t="s">
        <v>614</v>
      </c>
      <c r="C919" s="41" t="s">
        <v>2928</v>
      </c>
      <c r="D919" s="41" t="s">
        <v>3992</v>
      </c>
      <c r="E919" s="41" t="s">
        <v>2929</v>
      </c>
      <c r="F919" s="41" t="s">
        <v>2933</v>
      </c>
      <c r="G919" s="41" t="s">
        <v>2934</v>
      </c>
    </row>
    <row r="920" spans="1:7" x14ac:dyDescent="0.25">
      <c r="A920" s="41" t="s">
        <v>3994</v>
      </c>
      <c r="B920" s="41" t="s">
        <v>614</v>
      </c>
      <c r="C920" s="41" t="s">
        <v>2928</v>
      </c>
      <c r="D920" s="41" t="s">
        <v>3992</v>
      </c>
      <c r="E920" s="41" t="s">
        <v>2929</v>
      </c>
      <c r="F920" s="41" t="s">
        <v>2930</v>
      </c>
      <c r="G920" s="41" t="s">
        <v>2931</v>
      </c>
    </row>
    <row r="921" spans="1:7" x14ac:dyDescent="0.25">
      <c r="A921" s="41" t="s">
        <v>3995</v>
      </c>
      <c r="B921" s="41" t="s">
        <v>614</v>
      </c>
      <c r="C921" s="41" t="s">
        <v>2928</v>
      </c>
      <c r="D921" s="41" t="s">
        <v>3992</v>
      </c>
      <c r="E921" s="41" t="s">
        <v>2929</v>
      </c>
      <c r="F921" s="41" t="s">
        <v>2949</v>
      </c>
      <c r="G921" s="41" t="s">
        <v>2950</v>
      </c>
    </row>
    <row r="922" spans="1:7" x14ac:dyDescent="0.25">
      <c r="A922" s="41" t="s">
        <v>3996</v>
      </c>
      <c r="B922" s="41" t="s">
        <v>759</v>
      </c>
      <c r="C922" s="41" t="s">
        <v>2928</v>
      </c>
      <c r="D922" s="41" t="s">
        <v>3996</v>
      </c>
      <c r="E922" s="41" t="s">
        <v>2929</v>
      </c>
      <c r="F922" s="41" t="s">
        <v>2930</v>
      </c>
      <c r="G922" s="41" t="s">
        <v>2931</v>
      </c>
    </row>
    <row r="923" spans="1:7" x14ac:dyDescent="0.25">
      <c r="A923" s="41" t="s">
        <v>3997</v>
      </c>
      <c r="B923" s="41" t="s">
        <v>759</v>
      </c>
      <c r="C923" s="41" t="s">
        <v>2928</v>
      </c>
      <c r="D923" s="41" t="s">
        <v>3996</v>
      </c>
      <c r="E923" s="41" t="s">
        <v>2929</v>
      </c>
      <c r="F923" s="41" t="s">
        <v>2933</v>
      </c>
      <c r="G923" s="41" t="s">
        <v>2934</v>
      </c>
    </row>
    <row r="924" spans="1:7" x14ac:dyDescent="0.25">
      <c r="A924" s="41" t="s">
        <v>3998</v>
      </c>
      <c r="B924" s="41" t="s">
        <v>759</v>
      </c>
      <c r="C924" s="41" t="s">
        <v>2928</v>
      </c>
      <c r="D924" s="41" t="s">
        <v>3996</v>
      </c>
      <c r="E924" s="41" t="s">
        <v>2929</v>
      </c>
      <c r="F924" s="41" t="s">
        <v>2930</v>
      </c>
      <c r="G924" s="41" t="s">
        <v>2931</v>
      </c>
    </row>
    <row r="925" spans="1:7" x14ac:dyDescent="0.25">
      <c r="A925" s="41" t="s">
        <v>3999</v>
      </c>
      <c r="B925" s="41" t="s">
        <v>759</v>
      </c>
      <c r="C925" s="41" t="s">
        <v>2928</v>
      </c>
      <c r="D925" s="41" t="s">
        <v>3996</v>
      </c>
      <c r="E925" s="41" t="s">
        <v>2929</v>
      </c>
      <c r="F925" s="41" t="s">
        <v>2949</v>
      </c>
      <c r="G925" s="41" t="s">
        <v>2950</v>
      </c>
    </row>
    <row r="926" spans="1:7" x14ac:dyDescent="0.25">
      <c r="A926" s="41" t="s">
        <v>4000</v>
      </c>
      <c r="B926" s="41" t="s">
        <v>4001</v>
      </c>
      <c r="C926" s="41" t="s">
        <v>3097</v>
      </c>
      <c r="D926" s="41" t="s">
        <v>4002</v>
      </c>
      <c r="E926" s="41" t="s">
        <v>2929</v>
      </c>
      <c r="F926" s="41" t="s">
        <v>2949</v>
      </c>
      <c r="G926" s="41" t="s">
        <v>2950</v>
      </c>
    </row>
    <row r="927" spans="1:7" x14ac:dyDescent="0.25">
      <c r="A927" s="41" t="s">
        <v>4003</v>
      </c>
      <c r="B927" s="41" t="s">
        <v>4001</v>
      </c>
      <c r="C927" s="41" t="s">
        <v>3097</v>
      </c>
      <c r="D927" s="41" t="s">
        <v>4002</v>
      </c>
      <c r="E927" s="41" t="s">
        <v>2984</v>
      </c>
      <c r="F927" s="41" t="s">
        <v>3355</v>
      </c>
      <c r="G927" s="41" t="s">
        <v>2934</v>
      </c>
    </row>
    <row r="928" spans="1:7" x14ac:dyDescent="0.25">
      <c r="A928" s="41" t="s">
        <v>4004</v>
      </c>
      <c r="B928" s="41" t="s">
        <v>722</v>
      </c>
      <c r="C928" s="41" t="s">
        <v>2928</v>
      </c>
      <c r="D928" s="41" t="s">
        <v>4004</v>
      </c>
      <c r="E928" s="41" t="s">
        <v>2929</v>
      </c>
      <c r="F928" s="41" t="s">
        <v>2930</v>
      </c>
      <c r="G928" s="41" t="s">
        <v>2931</v>
      </c>
    </row>
    <row r="929" spans="1:7" x14ac:dyDescent="0.25">
      <c r="A929" s="41" t="s">
        <v>4005</v>
      </c>
      <c r="B929" s="41" t="s">
        <v>722</v>
      </c>
      <c r="C929" s="41" t="s">
        <v>2928</v>
      </c>
      <c r="D929" s="41" t="s">
        <v>4004</v>
      </c>
      <c r="E929" s="41" t="s">
        <v>2929</v>
      </c>
      <c r="F929" s="41" t="s">
        <v>2933</v>
      </c>
      <c r="G929" s="41" t="s">
        <v>2934</v>
      </c>
    </row>
    <row r="930" spans="1:7" x14ac:dyDescent="0.25">
      <c r="A930" s="41" t="s">
        <v>4006</v>
      </c>
      <c r="B930" s="41" t="s">
        <v>722</v>
      </c>
      <c r="C930" s="41" t="s">
        <v>2928</v>
      </c>
      <c r="D930" s="41" t="s">
        <v>4004</v>
      </c>
      <c r="E930" s="41" t="s">
        <v>2929</v>
      </c>
      <c r="F930" s="41" t="s">
        <v>2933</v>
      </c>
      <c r="G930" s="41" t="s">
        <v>2934</v>
      </c>
    </row>
    <row r="931" spans="1:7" x14ac:dyDescent="0.25">
      <c r="A931" s="41" t="s">
        <v>4007</v>
      </c>
      <c r="B931" s="41" t="s">
        <v>722</v>
      </c>
      <c r="C931" s="41" t="s">
        <v>2928</v>
      </c>
      <c r="D931" s="41" t="s">
        <v>4004</v>
      </c>
      <c r="E931" s="41" t="s">
        <v>2929</v>
      </c>
      <c r="F931" s="41" t="s">
        <v>2930</v>
      </c>
      <c r="G931" s="41" t="s">
        <v>2931</v>
      </c>
    </row>
    <row r="932" spans="1:7" x14ac:dyDescent="0.25">
      <c r="A932" s="41" t="s">
        <v>4008</v>
      </c>
      <c r="B932" s="41" t="s">
        <v>722</v>
      </c>
      <c r="C932" s="41" t="s">
        <v>2928</v>
      </c>
      <c r="D932" s="41" t="s">
        <v>4004</v>
      </c>
      <c r="E932" s="41" t="s">
        <v>2929</v>
      </c>
      <c r="F932" s="41" t="s">
        <v>2949</v>
      </c>
      <c r="G932" s="41" t="s">
        <v>2950</v>
      </c>
    </row>
    <row r="933" spans="1:7" x14ac:dyDescent="0.25">
      <c r="A933" s="41" t="s">
        <v>4009</v>
      </c>
      <c r="B933" s="41" t="s">
        <v>722</v>
      </c>
      <c r="C933" s="41" t="s">
        <v>2928</v>
      </c>
      <c r="D933" s="41" t="s">
        <v>4004</v>
      </c>
      <c r="E933" s="41" t="s">
        <v>2929</v>
      </c>
      <c r="F933" s="41" t="s">
        <v>2949</v>
      </c>
      <c r="G933" s="41" t="s">
        <v>2950</v>
      </c>
    </row>
    <row r="934" spans="1:7" x14ac:dyDescent="0.25">
      <c r="A934" s="41" t="s">
        <v>4010</v>
      </c>
      <c r="B934" s="41" t="s">
        <v>722</v>
      </c>
      <c r="C934" s="41" t="s">
        <v>2928</v>
      </c>
      <c r="D934" s="41" t="s">
        <v>4004</v>
      </c>
      <c r="E934" s="41" t="s">
        <v>2929</v>
      </c>
      <c r="F934" s="41" t="s">
        <v>2949</v>
      </c>
      <c r="G934" s="41" t="s">
        <v>2950</v>
      </c>
    </row>
    <row r="935" spans="1:7" x14ac:dyDescent="0.25">
      <c r="A935" s="41" t="s">
        <v>4011</v>
      </c>
      <c r="B935" s="41" t="s">
        <v>4012</v>
      </c>
      <c r="C935" s="41" t="s">
        <v>2928</v>
      </c>
      <c r="D935" s="41" t="s">
        <v>4011</v>
      </c>
      <c r="E935" s="41" t="s">
        <v>2929</v>
      </c>
      <c r="F935" s="41" t="s">
        <v>2930</v>
      </c>
      <c r="G935" s="41" t="s">
        <v>2931</v>
      </c>
    </row>
    <row r="936" spans="1:7" x14ac:dyDescent="0.25">
      <c r="A936" s="41" t="s">
        <v>4013</v>
      </c>
      <c r="B936" s="41" t="s">
        <v>4012</v>
      </c>
      <c r="C936" s="41" t="s">
        <v>2928</v>
      </c>
      <c r="D936" s="41" t="s">
        <v>4011</v>
      </c>
      <c r="E936" s="41" t="s">
        <v>2929</v>
      </c>
      <c r="F936" s="41" t="s">
        <v>2933</v>
      </c>
      <c r="G936" s="41" t="s">
        <v>2934</v>
      </c>
    </row>
    <row r="937" spans="1:7" x14ac:dyDescent="0.25">
      <c r="A937" s="41" t="s">
        <v>4014</v>
      </c>
      <c r="B937" s="41" t="s">
        <v>4012</v>
      </c>
      <c r="C937" s="41" t="s">
        <v>2928</v>
      </c>
      <c r="D937" s="41" t="s">
        <v>4011</v>
      </c>
      <c r="E937" s="41" t="s">
        <v>2929</v>
      </c>
      <c r="F937" s="41" t="s">
        <v>2933</v>
      </c>
      <c r="G937" s="41" t="s">
        <v>2934</v>
      </c>
    </row>
    <row r="938" spans="1:7" x14ac:dyDescent="0.25">
      <c r="A938" s="41" t="s">
        <v>4015</v>
      </c>
      <c r="B938" s="41" t="s">
        <v>4012</v>
      </c>
      <c r="C938" s="41" t="s">
        <v>2928</v>
      </c>
      <c r="D938" s="41" t="s">
        <v>4011</v>
      </c>
      <c r="E938" s="41" t="s">
        <v>2929</v>
      </c>
      <c r="F938" s="41" t="s">
        <v>2930</v>
      </c>
      <c r="G938" s="41" t="s">
        <v>2931</v>
      </c>
    </row>
    <row r="939" spans="1:7" x14ac:dyDescent="0.25">
      <c r="A939" s="41" t="s">
        <v>4016</v>
      </c>
      <c r="B939" s="41" t="s">
        <v>4012</v>
      </c>
      <c r="C939" s="41" t="s">
        <v>2928</v>
      </c>
      <c r="D939" s="41" t="s">
        <v>4011</v>
      </c>
      <c r="E939" s="41" t="s">
        <v>2929</v>
      </c>
      <c r="F939" s="41" t="s">
        <v>2949</v>
      </c>
      <c r="G939" s="41" t="s">
        <v>2950</v>
      </c>
    </row>
    <row r="940" spans="1:7" x14ac:dyDescent="0.25">
      <c r="A940" s="41" t="s">
        <v>4017</v>
      </c>
      <c r="B940" s="41" t="s">
        <v>4012</v>
      </c>
      <c r="C940" s="41" t="s">
        <v>2928</v>
      </c>
      <c r="D940" s="41" t="s">
        <v>4011</v>
      </c>
      <c r="E940" s="41" t="s">
        <v>2929</v>
      </c>
      <c r="F940" s="41" t="s">
        <v>2949</v>
      </c>
      <c r="G940" s="41" t="s">
        <v>2950</v>
      </c>
    </row>
    <row r="941" spans="1:7" x14ac:dyDescent="0.25">
      <c r="A941" s="41" t="s">
        <v>4018</v>
      </c>
      <c r="B941" s="41" t="s">
        <v>4012</v>
      </c>
      <c r="C941" s="41" t="s">
        <v>2928</v>
      </c>
      <c r="D941" s="41" t="s">
        <v>4011</v>
      </c>
      <c r="E941" s="41" t="s">
        <v>2929</v>
      </c>
      <c r="F941" s="41" t="s">
        <v>2949</v>
      </c>
      <c r="G941" s="41" t="s">
        <v>2950</v>
      </c>
    </row>
    <row r="942" spans="1:7" x14ac:dyDescent="0.25">
      <c r="A942" s="41" t="s">
        <v>4019</v>
      </c>
      <c r="B942" s="41" t="s">
        <v>4020</v>
      </c>
      <c r="C942" s="41" t="s">
        <v>2928</v>
      </c>
      <c r="D942" s="41" t="s">
        <v>4019</v>
      </c>
      <c r="E942" s="41" t="s">
        <v>2929</v>
      </c>
      <c r="F942" s="41" t="s">
        <v>2930</v>
      </c>
      <c r="G942" s="41" t="s">
        <v>2931</v>
      </c>
    </row>
    <row r="943" spans="1:7" x14ac:dyDescent="0.25">
      <c r="A943" s="41" t="s">
        <v>4021</v>
      </c>
      <c r="B943" s="41" t="s">
        <v>4020</v>
      </c>
      <c r="C943" s="41" t="s">
        <v>2928</v>
      </c>
      <c r="D943" s="41" t="s">
        <v>4019</v>
      </c>
      <c r="E943" s="41" t="s">
        <v>2929</v>
      </c>
      <c r="F943" s="41" t="s">
        <v>2933</v>
      </c>
      <c r="G943" s="41" t="s">
        <v>2934</v>
      </c>
    </row>
    <row r="944" spans="1:7" x14ac:dyDescent="0.25">
      <c r="A944" s="41" t="s">
        <v>4022</v>
      </c>
      <c r="B944" s="41" t="s">
        <v>4020</v>
      </c>
      <c r="C944" s="41" t="s">
        <v>2928</v>
      </c>
      <c r="D944" s="41" t="s">
        <v>4019</v>
      </c>
      <c r="E944" s="41" t="s">
        <v>2929</v>
      </c>
      <c r="F944" s="41" t="s">
        <v>2933</v>
      </c>
      <c r="G944" s="41" t="s">
        <v>2934</v>
      </c>
    </row>
    <row r="945" spans="1:7" x14ac:dyDescent="0.25">
      <c r="A945" s="41" t="s">
        <v>4023</v>
      </c>
      <c r="B945" s="41" t="s">
        <v>4020</v>
      </c>
      <c r="C945" s="41" t="s">
        <v>2928</v>
      </c>
      <c r="D945" s="41" t="s">
        <v>4019</v>
      </c>
      <c r="E945" s="41" t="s">
        <v>2929</v>
      </c>
      <c r="F945" s="41" t="s">
        <v>2930</v>
      </c>
      <c r="G945" s="41" t="s">
        <v>2931</v>
      </c>
    </row>
    <row r="946" spans="1:7" x14ac:dyDescent="0.25">
      <c r="A946" s="41" t="s">
        <v>4024</v>
      </c>
      <c r="B946" s="41" t="s">
        <v>4020</v>
      </c>
      <c r="C946" s="41" t="s">
        <v>2928</v>
      </c>
      <c r="D946" s="41" t="s">
        <v>4019</v>
      </c>
      <c r="E946" s="41" t="s">
        <v>2929</v>
      </c>
      <c r="F946" s="41" t="s">
        <v>2949</v>
      </c>
      <c r="G946" s="41" t="s">
        <v>2950</v>
      </c>
    </row>
    <row r="947" spans="1:7" x14ac:dyDescent="0.25">
      <c r="A947" s="41" t="s">
        <v>4025</v>
      </c>
      <c r="B947" s="41" t="s">
        <v>4020</v>
      </c>
      <c r="C947" s="41" t="s">
        <v>2928</v>
      </c>
      <c r="D947" s="41" t="s">
        <v>4019</v>
      </c>
      <c r="E947" s="41" t="s">
        <v>2929</v>
      </c>
      <c r="F947" s="41" t="s">
        <v>2949</v>
      </c>
      <c r="G947" s="41" t="s">
        <v>2950</v>
      </c>
    </row>
    <row r="948" spans="1:7" x14ac:dyDescent="0.25">
      <c r="A948" s="41" t="s">
        <v>4026</v>
      </c>
      <c r="B948" s="41" t="s">
        <v>4020</v>
      </c>
      <c r="C948" s="41" t="s">
        <v>2928</v>
      </c>
      <c r="D948" s="41" t="s">
        <v>4019</v>
      </c>
      <c r="E948" s="41" t="s">
        <v>2929</v>
      </c>
      <c r="F948" s="41" t="s">
        <v>2949</v>
      </c>
      <c r="G948" s="41" t="s">
        <v>2950</v>
      </c>
    </row>
    <row r="949" spans="1:7" x14ac:dyDescent="0.25">
      <c r="A949" s="41" t="s">
        <v>4027</v>
      </c>
      <c r="B949" s="41" t="s">
        <v>4028</v>
      </c>
      <c r="C949" s="41" t="s">
        <v>77</v>
      </c>
      <c r="D949" s="41" t="s">
        <v>4029</v>
      </c>
      <c r="E949" s="41" t="s">
        <v>2929</v>
      </c>
      <c r="F949" s="41" t="s">
        <v>2930</v>
      </c>
      <c r="G949" s="41" t="s">
        <v>2931</v>
      </c>
    </row>
    <row r="950" spans="1:7" x14ac:dyDescent="0.25">
      <c r="A950" s="41" t="s">
        <v>4030</v>
      </c>
      <c r="B950" s="41" t="s">
        <v>4031</v>
      </c>
      <c r="C950" s="41" t="s">
        <v>3097</v>
      </c>
      <c r="D950" s="41" t="s">
        <v>4032</v>
      </c>
      <c r="E950" s="41" t="s">
        <v>2929</v>
      </c>
      <c r="F950" s="41" t="s">
        <v>2949</v>
      </c>
      <c r="G950" s="41" t="s">
        <v>2950</v>
      </c>
    </row>
    <row r="951" spans="1:7" x14ac:dyDescent="0.25">
      <c r="A951" s="41" t="s">
        <v>4033</v>
      </c>
      <c r="B951" s="41" t="s">
        <v>691</v>
      </c>
      <c r="C951" s="41" t="s">
        <v>2928</v>
      </c>
      <c r="D951" s="41" t="s">
        <v>4033</v>
      </c>
      <c r="E951" s="41" t="s">
        <v>3756</v>
      </c>
      <c r="F951" s="41" t="s">
        <v>2930</v>
      </c>
      <c r="G951" s="41" t="s">
        <v>2931</v>
      </c>
    </row>
    <row r="952" spans="1:7" x14ac:dyDescent="0.25">
      <c r="A952" s="41" t="s">
        <v>4034</v>
      </c>
      <c r="B952" s="41" t="s">
        <v>691</v>
      </c>
      <c r="C952" s="41" t="s">
        <v>2928</v>
      </c>
      <c r="D952" s="41" t="s">
        <v>4033</v>
      </c>
      <c r="E952" s="41" t="s">
        <v>2929</v>
      </c>
      <c r="F952" s="41" t="s">
        <v>2933</v>
      </c>
      <c r="G952" s="41" t="s">
        <v>2934</v>
      </c>
    </row>
    <row r="953" spans="1:7" x14ac:dyDescent="0.25">
      <c r="A953" s="41" t="s">
        <v>4035</v>
      </c>
      <c r="B953" s="41" t="s">
        <v>691</v>
      </c>
      <c r="C953" s="41" t="s">
        <v>2928</v>
      </c>
      <c r="D953" s="41" t="s">
        <v>4033</v>
      </c>
      <c r="E953" s="41" t="s">
        <v>2929</v>
      </c>
      <c r="F953" s="41" t="s">
        <v>2933</v>
      </c>
      <c r="G953" s="41" t="s">
        <v>2934</v>
      </c>
    </row>
    <row r="954" spans="1:7" x14ac:dyDescent="0.25">
      <c r="A954" s="41" t="s">
        <v>4036</v>
      </c>
      <c r="B954" s="41" t="s">
        <v>691</v>
      </c>
      <c r="C954" s="41" t="s">
        <v>2928</v>
      </c>
      <c r="D954" s="41" t="s">
        <v>4033</v>
      </c>
      <c r="E954" s="41" t="s">
        <v>2929</v>
      </c>
      <c r="F954" s="41" t="s">
        <v>2933</v>
      </c>
      <c r="G954" s="41" t="s">
        <v>2934</v>
      </c>
    </row>
    <row r="955" spans="1:7" x14ac:dyDescent="0.25">
      <c r="A955" s="41" t="s">
        <v>4037</v>
      </c>
      <c r="B955" s="41" t="s">
        <v>691</v>
      </c>
      <c r="C955" s="41" t="s">
        <v>2928</v>
      </c>
      <c r="D955" s="41" t="s">
        <v>4033</v>
      </c>
      <c r="E955" s="41" t="s">
        <v>2929</v>
      </c>
      <c r="F955" s="41" t="s">
        <v>2933</v>
      </c>
      <c r="G955" s="41" t="s">
        <v>2934</v>
      </c>
    </row>
    <row r="956" spans="1:7" x14ac:dyDescent="0.25">
      <c r="A956" s="41" t="s">
        <v>4038</v>
      </c>
      <c r="B956" s="41" t="s">
        <v>691</v>
      </c>
      <c r="C956" s="41" t="s">
        <v>2928</v>
      </c>
      <c r="D956" s="41" t="s">
        <v>4033</v>
      </c>
      <c r="E956" s="41" t="s">
        <v>2929</v>
      </c>
      <c r="F956" s="41" t="s">
        <v>2933</v>
      </c>
      <c r="G956" s="41" t="s">
        <v>2934</v>
      </c>
    </row>
    <row r="957" spans="1:7" x14ac:dyDescent="0.25">
      <c r="A957" s="41" t="s">
        <v>4039</v>
      </c>
      <c r="B957" s="41" t="s">
        <v>691</v>
      </c>
      <c r="C957" s="41" t="s">
        <v>2928</v>
      </c>
      <c r="D957" s="41" t="s">
        <v>4033</v>
      </c>
      <c r="E957" s="41" t="s">
        <v>2929</v>
      </c>
      <c r="F957" s="41" t="s">
        <v>2933</v>
      </c>
      <c r="G957" s="41" t="s">
        <v>2934</v>
      </c>
    </row>
    <row r="958" spans="1:7" x14ac:dyDescent="0.25">
      <c r="A958" s="41" t="s">
        <v>4040</v>
      </c>
      <c r="B958" s="41" t="s">
        <v>691</v>
      </c>
      <c r="C958" s="41" t="s">
        <v>2928</v>
      </c>
      <c r="D958" s="41" t="s">
        <v>4033</v>
      </c>
      <c r="E958" s="41" t="s">
        <v>2929</v>
      </c>
      <c r="F958" s="41" t="s">
        <v>2933</v>
      </c>
      <c r="G958" s="41" t="s">
        <v>2934</v>
      </c>
    </row>
    <row r="959" spans="1:7" x14ac:dyDescent="0.25">
      <c r="A959" s="41" t="s">
        <v>4041</v>
      </c>
      <c r="B959" s="41" t="s">
        <v>691</v>
      </c>
      <c r="C959" s="41" t="s">
        <v>2928</v>
      </c>
      <c r="D959" s="41" t="s">
        <v>4033</v>
      </c>
      <c r="E959" s="41" t="s">
        <v>2929</v>
      </c>
      <c r="F959" s="41" t="s">
        <v>2930</v>
      </c>
      <c r="G959" s="41" t="s">
        <v>2931</v>
      </c>
    </row>
    <row r="960" spans="1:7" x14ac:dyDescent="0.25">
      <c r="A960" s="41" t="s">
        <v>4042</v>
      </c>
      <c r="B960" s="41" t="s">
        <v>691</v>
      </c>
      <c r="C960" s="41" t="s">
        <v>2928</v>
      </c>
      <c r="D960" s="41" t="s">
        <v>4033</v>
      </c>
      <c r="E960" s="41" t="s">
        <v>2929</v>
      </c>
      <c r="F960" s="41" t="s">
        <v>2930</v>
      </c>
      <c r="G960" s="41" t="s">
        <v>2931</v>
      </c>
    </row>
    <row r="961" spans="1:7" x14ac:dyDescent="0.25">
      <c r="A961" s="41" t="s">
        <v>4043</v>
      </c>
      <c r="B961" s="41" t="s">
        <v>691</v>
      </c>
      <c r="C961" s="41" t="s">
        <v>2928</v>
      </c>
      <c r="D961" s="41" t="s">
        <v>4033</v>
      </c>
      <c r="E961" s="41" t="s">
        <v>2929</v>
      </c>
      <c r="F961" s="41" t="s">
        <v>2930</v>
      </c>
      <c r="G961" s="41" t="s">
        <v>2931</v>
      </c>
    </row>
    <row r="962" spans="1:7" x14ac:dyDescent="0.25">
      <c r="A962" s="41" t="s">
        <v>4044</v>
      </c>
      <c r="B962" s="41" t="s">
        <v>691</v>
      </c>
      <c r="C962" s="41" t="s">
        <v>2928</v>
      </c>
      <c r="D962" s="41" t="s">
        <v>4033</v>
      </c>
      <c r="E962" s="41" t="s">
        <v>2929</v>
      </c>
      <c r="F962" s="41" t="s">
        <v>2930</v>
      </c>
      <c r="G962" s="41" t="s">
        <v>2931</v>
      </c>
    </row>
    <row r="963" spans="1:7" x14ac:dyDescent="0.25">
      <c r="A963" s="41" t="s">
        <v>4045</v>
      </c>
      <c r="B963" s="41" t="s">
        <v>691</v>
      </c>
      <c r="C963" s="41" t="s">
        <v>2928</v>
      </c>
      <c r="D963" s="41" t="s">
        <v>4033</v>
      </c>
      <c r="E963" s="41" t="s">
        <v>2929</v>
      </c>
      <c r="F963" s="41" t="s">
        <v>2930</v>
      </c>
      <c r="G963" s="41" t="s">
        <v>2931</v>
      </c>
    </row>
    <row r="964" spans="1:7" x14ac:dyDescent="0.25">
      <c r="A964" s="41" t="s">
        <v>4046</v>
      </c>
      <c r="B964" s="41" t="s">
        <v>691</v>
      </c>
      <c r="C964" s="41" t="s">
        <v>2928</v>
      </c>
      <c r="D964" s="41" t="s">
        <v>4033</v>
      </c>
      <c r="E964" s="41" t="s">
        <v>2929</v>
      </c>
      <c r="F964" s="41" t="s">
        <v>2930</v>
      </c>
      <c r="G964" s="41" t="s">
        <v>2931</v>
      </c>
    </row>
    <row r="965" spans="1:7" x14ac:dyDescent="0.25">
      <c r="A965" s="41" t="s">
        <v>4047</v>
      </c>
      <c r="B965" s="41" t="s">
        <v>691</v>
      </c>
      <c r="C965" s="41" t="s">
        <v>2928</v>
      </c>
      <c r="D965" s="41" t="s">
        <v>4033</v>
      </c>
      <c r="E965" s="41" t="s">
        <v>2929</v>
      </c>
      <c r="F965" s="41" t="s">
        <v>2930</v>
      </c>
      <c r="G965" s="41" t="s">
        <v>2931</v>
      </c>
    </row>
    <row r="966" spans="1:7" x14ac:dyDescent="0.25">
      <c r="A966" s="41" t="s">
        <v>4048</v>
      </c>
      <c r="B966" s="41" t="s">
        <v>691</v>
      </c>
      <c r="C966" s="41" t="s">
        <v>2928</v>
      </c>
      <c r="D966" s="41" t="s">
        <v>4033</v>
      </c>
      <c r="E966" s="41" t="s">
        <v>2929</v>
      </c>
      <c r="F966" s="41" t="s">
        <v>2949</v>
      </c>
      <c r="G966" s="41" t="s">
        <v>2950</v>
      </c>
    </row>
    <row r="967" spans="1:7" x14ac:dyDescent="0.25">
      <c r="A967" s="41" t="s">
        <v>4049</v>
      </c>
      <c r="B967" s="41" t="s">
        <v>691</v>
      </c>
      <c r="C967" s="41" t="s">
        <v>2928</v>
      </c>
      <c r="D967" s="41" t="s">
        <v>4033</v>
      </c>
      <c r="E967" s="41" t="s">
        <v>2929</v>
      </c>
      <c r="F967" s="41" t="s">
        <v>2949</v>
      </c>
      <c r="G967" s="41" t="s">
        <v>2950</v>
      </c>
    </row>
    <row r="968" spans="1:7" x14ac:dyDescent="0.25">
      <c r="A968" s="41" t="s">
        <v>4050</v>
      </c>
      <c r="B968" s="41" t="s">
        <v>691</v>
      </c>
      <c r="C968" s="41" t="s">
        <v>2928</v>
      </c>
      <c r="D968" s="41" t="s">
        <v>4033</v>
      </c>
      <c r="E968" s="41" t="s">
        <v>2929</v>
      </c>
      <c r="F968" s="41" t="s">
        <v>2949</v>
      </c>
      <c r="G968" s="41" t="s">
        <v>2950</v>
      </c>
    </row>
    <row r="969" spans="1:7" x14ac:dyDescent="0.25">
      <c r="A969" s="41" t="s">
        <v>4051</v>
      </c>
      <c r="B969" s="41" t="s">
        <v>691</v>
      </c>
      <c r="C969" s="41" t="s">
        <v>2928</v>
      </c>
      <c r="D969" s="41" t="s">
        <v>4033</v>
      </c>
      <c r="E969" s="41" t="s">
        <v>2929</v>
      </c>
      <c r="F969" s="41" t="s">
        <v>2949</v>
      </c>
      <c r="G969" s="41" t="s">
        <v>2950</v>
      </c>
    </row>
    <row r="970" spans="1:7" x14ac:dyDescent="0.25">
      <c r="A970" s="41" t="s">
        <v>4052</v>
      </c>
      <c r="B970" s="41" t="s">
        <v>691</v>
      </c>
      <c r="C970" s="41" t="s">
        <v>2928</v>
      </c>
      <c r="D970" s="41" t="s">
        <v>4033</v>
      </c>
      <c r="E970" s="41" t="s">
        <v>2929</v>
      </c>
      <c r="F970" s="41" t="s">
        <v>2949</v>
      </c>
      <c r="G970" s="41" t="s">
        <v>2950</v>
      </c>
    </row>
    <row r="971" spans="1:7" x14ac:dyDescent="0.25">
      <c r="A971" s="41" t="s">
        <v>4053</v>
      </c>
      <c r="B971" s="41" t="s">
        <v>691</v>
      </c>
      <c r="C971" s="41" t="s">
        <v>2928</v>
      </c>
      <c r="D971" s="41" t="s">
        <v>4033</v>
      </c>
      <c r="E971" s="41" t="s">
        <v>2929</v>
      </c>
      <c r="F971" s="41" t="s">
        <v>2949</v>
      </c>
      <c r="G971" s="41" t="s">
        <v>2950</v>
      </c>
    </row>
    <row r="972" spans="1:7" x14ac:dyDescent="0.25">
      <c r="A972" s="41" t="s">
        <v>4054</v>
      </c>
      <c r="B972" s="41" t="s">
        <v>691</v>
      </c>
      <c r="C972" s="41" t="s">
        <v>2928</v>
      </c>
      <c r="D972" s="41" t="s">
        <v>4033</v>
      </c>
      <c r="E972" s="41" t="s">
        <v>2929</v>
      </c>
      <c r="F972" s="41" t="s">
        <v>2949</v>
      </c>
      <c r="G972" s="41" t="s">
        <v>2950</v>
      </c>
    </row>
    <row r="973" spans="1:7" x14ac:dyDescent="0.25">
      <c r="A973" s="41" t="s">
        <v>4055</v>
      </c>
      <c r="B973" s="41" t="s">
        <v>4056</v>
      </c>
      <c r="C973" s="41" t="s">
        <v>77</v>
      </c>
      <c r="D973" s="41" t="s">
        <v>4057</v>
      </c>
      <c r="E973" s="41" t="s">
        <v>2984</v>
      </c>
      <c r="F973" s="41" t="s">
        <v>2933</v>
      </c>
      <c r="G973" s="41" t="s">
        <v>2934</v>
      </c>
    </row>
    <row r="974" spans="1:7" x14ac:dyDescent="0.25">
      <c r="A974" s="41" t="s">
        <v>4058</v>
      </c>
      <c r="B974" s="41" t="s">
        <v>895</v>
      </c>
      <c r="C974" s="41" t="s">
        <v>2928</v>
      </c>
      <c r="D974" s="41" t="s">
        <v>4058</v>
      </c>
      <c r="E974" s="41" t="s">
        <v>2929</v>
      </c>
      <c r="F974" s="41" t="s">
        <v>2930</v>
      </c>
      <c r="G974" s="41" t="s">
        <v>2931</v>
      </c>
    </row>
    <row r="975" spans="1:7" x14ac:dyDescent="0.25">
      <c r="A975" s="41" t="s">
        <v>4059</v>
      </c>
      <c r="B975" s="41" t="s">
        <v>895</v>
      </c>
      <c r="C975" s="41" t="s">
        <v>2928</v>
      </c>
      <c r="D975" s="41" t="s">
        <v>4058</v>
      </c>
      <c r="E975" s="41" t="s">
        <v>2929</v>
      </c>
      <c r="F975" s="41" t="s">
        <v>2933</v>
      </c>
      <c r="G975" s="41" t="s">
        <v>2934</v>
      </c>
    </row>
    <row r="976" spans="1:7" x14ac:dyDescent="0.25">
      <c r="A976" s="41" t="s">
        <v>4060</v>
      </c>
      <c r="B976" s="41" t="s">
        <v>895</v>
      </c>
      <c r="C976" s="41" t="s">
        <v>2928</v>
      </c>
      <c r="D976" s="41" t="s">
        <v>4058</v>
      </c>
      <c r="E976" s="41" t="s">
        <v>2929</v>
      </c>
      <c r="F976" s="41" t="s">
        <v>2930</v>
      </c>
      <c r="G976" s="41" t="s">
        <v>2931</v>
      </c>
    </row>
    <row r="977" spans="1:7" x14ac:dyDescent="0.25">
      <c r="A977" s="41" t="s">
        <v>4061</v>
      </c>
      <c r="B977" s="41" t="s">
        <v>895</v>
      </c>
      <c r="C977" s="41" t="s">
        <v>2928</v>
      </c>
      <c r="D977" s="41" t="s">
        <v>4058</v>
      </c>
      <c r="E977" s="41" t="s">
        <v>2929</v>
      </c>
      <c r="F977" s="41" t="s">
        <v>2949</v>
      </c>
      <c r="G977" s="41" t="s">
        <v>2950</v>
      </c>
    </row>
    <row r="978" spans="1:7" x14ac:dyDescent="0.25">
      <c r="A978" s="41" t="s">
        <v>4062</v>
      </c>
      <c r="B978" s="41" t="s">
        <v>4063</v>
      </c>
      <c r="C978" s="41" t="s">
        <v>2928</v>
      </c>
      <c r="D978" s="41" t="s">
        <v>4062</v>
      </c>
      <c r="E978" s="41" t="s">
        <v>2929</v>
      </c>
      <c r="F978" s="41" t="s">
        <v>2930</v>
      </c>
      <c r="G978" s="41" t="s">
        <v>2931</v>
      </c>
    </row>
    <row r="979" spans="1:7" x14ac:dyDescent="0.25">
      <c r="A979" s="41" t="s">
        <v>4064</v>
      </c>
      <c r="B979" s="41" t="s">
        <v>4063</v>
      </c>
      <c r="C979" s="41" t="s">
        <v>2928</v>
      </c>
      <c r="D979" s="41" t="s">
        <v>4062</v>
      </c>
      <c r="E979" s="41" t="s">
        <v>2929</v>
      </c>
      <c r="F979" s="41" t="s">
        <v>2933</v>
      </c>
      <c r="G979" s="41" t="s">
        <v>2934</v>
      </c>
    </row>
    <row r="980" spans="1:7" x14ac:dyDescent="0.25">
      <c r="A980" s="41" t="s">
        <v>4065</v>
      </c>
      <c r="B980" s="41" t="s">
        <v>4063</v>
      </c>
      <c r="C980" s="41" t="s">
        <v>2928</v>
      </c>
      <c r="D980" s="41" t="s">
        <v>4062</v>
      </c>
      <c r="E980" s="41" t="s">
        <v>2929</v>
      </c>
      <c r="F980" s="41" t="s">
        <v>2933</v>
      </c>
      <c r="G980" s="41" t="s">
        <v>2934</v>
      </c>
    </row>
    <row r="981" spans="1:7" x14ac:dyDescent="0.25">
      <c r="A981" s="41" t="s">
        <v>4066</v>
      </c>
      <c r="B981" s="41" t="s">
        <v>4063</v>
      </c>
      <c r="C981" s="41" t="s">
        <v>2928</v>
      </c>
      <c r="D981" s="41" t="s">
        <v>4062</v>
      </c>
      <c r="E981" s="41" t="s">
        <v>2929</v>
      </c>
      <c r="F981" s="41" t="s">
        <v>2930</v>
      </c>
      <c r="G981" s="41" t="s">
        <v>2931</v>
      </c>
    </row>
    <row r="982" spans="1:7" x14ac:dyDescent="0.25">
      <c r="A982" s="41" t="s">
        <v>4067</v>
      </c>
      <c r="B982" s="41" t="s">
        <v>4063</v>
      </c>
      <c r="C982" s="41" t="s">
        <v>2928</v>
      </c>
      <c r="D982" s="41" t="s">
        <v>4062</v>
      </c>
      <c r="E982" s="41" t="s">
        <v>2929</v>
      </c>
      <c r="F982" s="41" t="s">
        <v>2949</v>
      </c>
      <c r="G982" s="41" t="s">
        <v>2950</v>
      </c>
    </row>
    <row r="983" spans="1:7" x14ac:dyDescent="0.25">
      <c r="A983" s="41" t="s">
        <v>4068</v>
      </c>
      <c r="B983" s="41" t="s">
        <v>4063</v>
      </c>
      <c r="C983" s="41" t="s">
        <v>2928</v>
      </c>
      <c r="D983" s="41" t="s">
        <v>4062</v>
      </c>
      <c r="E983" s="41" t="s">
        <v>2929</v>
      </c>
      <c r="F983" s="41" t="s">
        <v>2949</v>
      </c>
      <c r="G983" s="41" t="s">
        <v>2950</v>
      </c>
    </row>
    <row r="984" spans="1:7" x14ac:dyDescent="0.25">
      <c r="A984" s="41" t="s">
        <v>4069</v>
      </c>
      <c r="B984" s="41" t="s">
        <v>4063</v>
      </c>
      <c r="C984" s="41" t="s">
        <v>2928</v>
      </c>
      <c r="D984" s="41" t="s">
        <v>4062</v>
      </c>
      <c r="E984" s="41" t="s">
        <v>2929</v>
      </c>
      <c r="F984" s="41" t="s">
        <v>2949</v>
      </c>
      <c r="G984" s="41" t="s">
        <v>2950</v>
      </c>
    </row>
    <row r="985" spans="1:7" x14ac:dyDescent="0.25">
      <c r="A985" s="41" t="s">
        <v>4070</v>
      </c>
      <c r="B985" s="41" t="s">
        <v>834</v>
      </c>
      <c r="C985" s="41" t="s">
        <v>2928</v>
      </c>
      <c r="D985" s="41" t="s">
        <v>4070</v>
      </c>
      <c r="E985" s="41" t="s">
        <v>2929</v>
      </c>
      <c r="F985" s="41" t="s">
        <v>2930</v>
      </c>
      <c r="G985" s="41" t="s">
        <v>2931</v>
      </c>
    </row>
    <row r="986" spans="1:7" x14ac:dyDescent="0.25">
      <c r="A986" s="41" t="s">
        <v>4071</v>
      </c>
      <c r="B986" s="41" t="s">
        <v>834</v>
      </c>
      <c r="C986" s="41" t="s">
        <v>2928</v>
      </c>
      <c r="D986" s="41" t="s">
        <v>4070</v>
      </c>
      <c r="E986" s="41" t="s">
        <v>2929</v>
      </c>
      <c r="F986" s="41" t="s">
        <v>2933</v>
      </c>
      <c r="G986" s="41" t="s">
        <v>2934</v>
      </c>
    </row>
    <row r="987" spans="1:7" x14ac:dyDescent="0.25">
      <c r="A987" s="41" t="s">
        <v>4072</v>
      </c>
      <c r="B987" s="41" t="s">
        <v>834</v>
      </c>
      <c r="C987" s="41" t="s">
        <v>2928</v>
      </c>
      <c r="D987" s="41" t="s">
        <v>4070</v>
      </c>
      <c r="E987" s="41" t="s">
        <v>2929</v>
      </c>
      <c r="F987" s="41" t="s">
        <v>2930</v>
      </c>
      <c r="G987" s="41" t="s">
        <v>2931</v>
      </c>
    </row>
    <row r="988" spans="1:7" x14ac:dyDescent="0.25">
      <c r="A988" s="41" t="s">
        <v>4073</v>
      </c>
      <c r="B988" s="41" t="s">
        <v>834</v>
      </c>
      <c r="C988" s="41" t="s">
        <v>2928</v>
      </c>
      <c r="D988" s="41" t="s">
        <v>4070</v>
      </c>
      <c r="E988" s="41" t="s">
        <v>2929</v>
      </c>
      <c r="F988" s="41" t="s">
        <v>2949</v>
      </c>
      <c r="G988" s="41" t="s">
        <v>2950</v>
      </c>
    </row>
    <row r="989" spans="1:7" x14ac:dyDescent="0.25">
      <c r="A989" s="41" t="s">
        <v>4074</v>
      </c>
      <c r="B989" s="41" t="s">
        <v>855</v>
      </c>
      <c r="C989" s="41" t="s">
        <v>2928</v>
      </c>
      <c r="D989" s="41" t="s">
        <v>4074</v>
      </c>
      <c r="E989" s="41" t="s">
        <v>2929</v>
      </c>
      <c r="F989" s="41" t="s">
        <v>2930</v>
      </c>
      <c r="G989" s="41" t="s">
        <v>2931</v>
      </c>
    </row>
    <row r="990" spans="1:7" x14ac:dyDescent="0.25">
      <c r="A990" s="41" t="s">
        <v>4075</v>
      </c>
      <c r="B990" s="41" t="s">
        <v>855</v>
      </c>
      <c r="C990" s="41" t="s">
        <v>2928</v>
      </c>
      <c r="D990" s="41" t="s">
        <v>4074</v>
      </c>
      <c r="E990" s="41" t="s">
        <v>2929</v>
      </c>
      <c r="F990" s="41" t="s">
        <v>2933</v>
      </c>
      <c r="G990" s="41" t="s">
        <v>2934</v>
      </c>
    </row>
    <row r="991" spans="1:7" x14ac:dyDescent="0.25">
      <c r="A991" s="41" t="s">
        <v>4076</v>
      </c>
      <c r="B991" s="41" t="s">
        <v>855</v>
      </c>
      <c r="C991" s="41" t="s">
        <v>2928</v>
      </c>
      <c r="D991" s="41" t="s">
        <v>4074</v>
      </c>
      <c r="E991" s="41" t="s">
        <v>2929</v>
      </c>
      <c r="F991" s="41" t="s">
        <v>2933</v>
      </c>
      <c r="G991" s="41" t="s">
        <v>2934</v>
      </c>
    </row>
    <row r="992" spans="1:7" x14ac:dyDescent="0.25">
      <c r="A992" s="41" t="s">
        <v>4077</v>
      </c>
      <c r="B992" s="41" t="s">
        <v>855</v>
      </c>
      <c r="C992" s="41" t="s">
        <v>2928</v>
      </c>
      <c r="D992" s="41" t="s">
        <v>4074</v>
      </c>
      <c r="E992" s="41" t="s">
        <v>2929</v>
      </c>
      <c r="F992" s="41" t="s">
        <v>2930</v>
      </c>
      <c r="G992" s="41" t="s">
        <v>2931</v>
      </c>
    </row>
    <row r="993" spans="1:7" x14ac:dyDescent="0.25">
      <c r="A993" s="41" t="s">
        <v>4078</v>
      </c>
      <c r="B993" s="41" t="s">
        <v>855</v>
      </c>
      <c r="C993" s="41" t="s">
        <v>2928</v>
      </c>
      <c r="D993" s="41" t="s">
        <v>4074</v>
      </c>
      <c r="E993" s="41" t="s">
        <v>2929</v>
      </c>
      <c r="F993" s="41" t="s">
        <v>2949</v>
      </c>
      <c r="G993" s="41" t="s">
        <v>2950</v>
      </c>
    </row>
    <row r="994" spans="1:7" x14ac:dyDescent="0.25">
      <c r="A994" s="41" t="s">
        <v>4079</v>
      </c>
      <c r="B994" s="41" t="s">
        <v>855</v>
      </c>
      <c r="C994" s="41" t="s">
        <v>2928</v>
      </c>
      <c r="D994" s="41" t="s">
        <v>4074</v>
      </c>
      <c r="E994" s="41" t="s">
        <v>2929</v>
      </c>
      <c r="F994" s="41" t="s">
        <v>2949</v>
      </c>
      <c r="G994" s="41" t="s">
        <v>2950</v>
      </c>
    </row>
    <row r="995" spans="1:7" x14ac:dyDescent="0.25">
      <c r="A995" s="41" t="s">
        <v>4080</v>
      </c>
      <c r="B995" s="41" t="s">
        <v>855</v>
      </c>
      <c r="C995" s="41" t="s">
        <v>2928</v>
      </c>
      <c r="D995" s="41" t="s">
        <v>4074</v>
      </c>
      <c r="E995" s="41" t="s">
        <v>2929</v>
      </c>
      <c r="F995" s="41" t="s">
        <v>2949</v>
      </c>
      <c r="G995" s="41" t="s">
        <v>2950</v>
      </c>
    </row>
    <row r="996" spans="1:7" x14ac:dyDescent="0.25">
      <c r="A996" s="41" t="s">
        <v>4081</v>
      </c>
      <c r="B996" s="41" t="s">
        <v>884</v>
      </c>
      <c r="C996" s="41" t="s">
        <v>2928</v>
      </c>
      <c r="D996" s="41" t="s">
        <v>4081</v>
      </c>
      <c r="E996" s="41" t="s">
        <v>2929</v>
      </c>
      <c r="F996" s="41" t="s">
        <v>2930</v>
      </c>
      <c r="G996" s="41" t="s">
        <v>2931</v>
      </c>
    </row>
    <row r="997" spans="1:7" x14ac:dyDescent="0.25">
      <c r="A997" s="41" t="s">
        <v>4082</v>
      </c>
      <c r="B997" s="41" t="s">
        <v>884</v>
      </c>
      <c r="C997" s="41" t="s">
        <v>2928</v>
      </c>
      <c r="D997" s="41" t="s">
        <v>4081</v>
      </c>
      <c r="E997" s="41" t="s">
        <v>2929</v>
      </c>
      <c r="F997" s="41" t="s">
        <v>2933</v>
      </c>
      <c r="G997" s="41" t="s">
        <v>2934</v>
      </c>
    </row>
    <row r="998" spans="1:7" x14ac:dyDescent="0.25">
      <c r="A998" s="41" t="s">
        <v>4083</v>
      </c>
      <c r="B998" s="41" t="s">
        <v>884</v>
      </c>
      <c r="C998" s="41" t="s">
        <v>2928</v>
      </c>
      <c r="D998" s="41" t="s">
        <v>4081</v>
      </c>
      <c r="E998" s="41" t="s">
        <v>2929</v>
      </c>
      <c r="F998" s="41" t="s">
        <v>2933</v>
      </c>
      <c r="G998" s="41" t="s">
        <v>2934</v>
      </c>
    </row>
    <row r="999" spans="1:7" x14ac:dyDescent="0.25">
      <c r="A999" s="41" t="s">
        <v>4084</v>
      </c>
      <c r="B999" s="41" t="s">
        <v>884</v>
      </c>
      <c r="C999" s="41" t="s">
        <v>2928</v>
      </c>
      <c r="D999" s="41" t="s">
        <v>4081</v>
      </c>
      <c r="E999" s="41" t="s">
        <v>2929</v>
      </c>
      <c r="F999" s="41" t="s">
        <v>2930</v>
      </c>
      <c r="G999" s="41" t="s">
        <v>2931</v>
      </c>
    </row>
    <row r="1000" spans="1:7" x14ac:dyDescent="0.25">
      <c r="A1000" s="41" t="s">
        <v>4085</v>
      </c>
      <c r="B1000" s="41" t="s">
        <v>884</v>
      </c>
      <c r="C1000" s="41" t="s">
        <v>2928</v>
      </c>
      <c r="D1000" s="41" t="s">
        <v>4081</v>
      </c>
      <c r="E1000" s="41" t="s">
        <v>2929</v>
      </c>
      <c r="F1000" s="41" t="s">
        <v>2949</v>
      </c>
      <c r="G1000" s="41" t="s">
        <v>2950</v>
      </c>
    </row>
    <row r="1001" spans="1:7" x14ac:dyDescent="0.25">
      <c r="A1001" s="41" t="s">
        <v>4086</v>
      </c>
      <c r="B1001" s="41" t="s">
        <v>884</v>
      </c>
      <c r="C1001" s="41" t="s">
        <v>2928</v>
      </c>
      <c r="D1001" s="41" t="s">
        <v>4081</v>
      </c>
      <c r="E1001" s="41" t="s">
        <v>2929</v>
      </c>
      <c r="F1001" s="41" t="s">
        <v>2949</v>
      </c>
      <c r="G1001" s="41" t="s">
        <v>2950</v>
      </c>
    </row>
    <row r="1002" spans="1:7" x14ac:dyDescent="0.25">
      <c r="A1002" s="41" t="s">
        <v>4087</v>
      </c>
      <c r="B1002" s="41" t="s">
        <v>884</v>
      </c>
      <c r="C1002" s="41" t="s">
        <v>2928</v>
      </c>
      <c r="D1002" s="41" t="s">
        <v>4081</v>
      </c>
      <c r="E1002" s="41" t="s">
        <v>2929</v>
      </c>
      <c r="F1002" s="41" t="s">
        <v>2949</v>
      </c>
      <c r="G1002" s="41" t="s">
        <v>2950</v>
      </c>
    </row>
    <row r="1003" spans="1:7" x14ac:dyDescent="0.25">
      <c r="A1003" s="41" t="s">
        <v>4088</v>
      </c>
      <c r="B1003" s="41" t="s">
        <v>1025</v>
      </c>
      <c r="C1003" s="41" t="s">
        <v>2928</v>
      </c>
      <c r="D1003" s="41" t="s">
        <v>4088</v>
      </c>
      <c r="E1003" s="41" t="s">
        <v>2929</v>
      </c>
      <c r="F1003" s="41" t="s">
        <v>2930</v>
      </c>
      <c r="G1003" s="41" t="s">
        <v>2931</v>
      </c>
    </row>
    <row r="1004" spans="1:7" x14ac:dyDescent="0.25">
      <c r="A1004" s="41" t="s">
        <v>4089</v>
      </c>
      <c r="B1004" s="41" t="s">
        <v>1025</v>
      </c>
      <c r="C1004" s="41" t="s">
        <v>2928</v>
      </c>
      <c r="D1004" s="41" t="s">
        <v>4088</v>
      </c>
      <c r="E1004" s="41" t="s">
        <v>2929</v>
      </c>
      <c r="F1004" s="41" t="s">
        <v>2933</v>
      </c>
      <c r="G1004" s="41" t="s">
        <v>2934</v>
      </c>
    </row>
    <row r="1005" spans="1:7" x14ac:dyDescent="0.25">
      <c r="A1005" s="41" t="s">
        <v>4090</v>
      </c>
      <c r="B1005" s="41" t="s">
        <v>1025</v>
      </c>
      <c r="C1005" s="41" t="s">
        <v>2928</v>
      </c>
      <c r="D1005" s="41" t="s">
        <v>4088</v>
      </c>
      <c r="E1005" s="41" t="s">
        <v>2929</v>
      </c>
      <c r="F1005" s="41" t="s">
        <v>2933</v>
      </c>
      <c r="G1005" s="41" t="s">
        <v>2934</v>
      </c>
    </row>
    <row r="1006" spans="1:7" x14ac:dyDescent="0.25">
      <c r="A1006" s="41" t="s">
        <v>4091</v>
      </c>
      <c r="B1006" s="41" t="s">
        <v>1025</v>
      </c>
      <c r="C1006" s="41" t="s">
        <v>2928</v>
      </c>
      <c r="D1006" s="41" t="s">
        <v>4088</v>
      </c>
      <c r="E1006" s="41" t="s">
        <v>2929</v>
      </c>
      <c r="F1006" s="41" t="s">
        <v>2930</v>
      </c>
      <c r="G1006" s="41" t="s">
        <v>2931</v>
      </c>
    </row>
    <row r="1007" spans="1:7" x14ac:dyDescent="0.25">
      <c r="A1007" s="41" t="s">
        <v>4092</v>
      </c>
      <c r="B1007" s="41" t="s">
        <v>1025</v>
      </c>
      <c r="C1007" s="41" t="s">
        <v>2928</v>
      </c>
      <c r="D1007" s="41" t="s">
        <v>4088</v>
      </c>
      <c r="E1007" s="41" t="s">
        <v>2929</v>
      </c>
      <c r="F1007" s="41" t="s">
        <v>2949</v>
      </c>
      <c r="G1007" s="41" t="s">
        <v>2950</v>
      </c>
    </row>
    <row r="1008" spans="1:7" x14ac:dyDescent="0.25">
      <c r="A1008" s="41" t="s">
        <v>4093</v>
      </c>
      <c r="B1008" s="41" t="s">
        <v>1025</v>
      </c>
      <c r="C1008" s="41" t="s">
        <v>2928</v>
      </c>
      <c r="D1008" s="41" t="s">
        <v>4088</v>
      </c>
      <c r="E1008" s="41" t="s">
        <v>2929</v>
      </c>
      <c r="F1008" s="41" t="s">
        <v>2949</v>
      </c>
      <c r="G1008" s="41" t="s">
        <v>2950</v>
      </c>
    </row>
    <row r="1009" spans="1:7" x14ac:dyDescent="0.25">
      <c r="A1009" s="41" t="s">
        <v>4094</v>
      </c>
      <c r="B1009" s="41" t="s">
        <v>4095</v>
      </c>
      <c r="C1009" s="41" t="s">
        <v>2928</v>
      </c>
      <c r="D1009" s="41" t="s">
        <v>4094</v>
      </c>
      <c r="E1009" s="41" t="s">
        <v>2929</v>
      </c>
      <c r="F1009" s="41" t="s">
        <v>2930</v>
      </c>
      <c r="G1009" s="41" t="s">
        <v>2931</v>
      </c>
    </row>
    <row r="1010" spans="1:7" x14ac:dyDescent="0.25">
      <c r="A1010" s="41" t="s">
        <v>4096</v>
      </c>
      <c r="B1010" s="41" t="s">
        <v>4095</v>
      </c>
      <c r="C1010" s="41" t="s">
        <v>2928</v>
      </c>
      <c r="D1010" s="41" t="s">
        <v>4094</v>
      </c>
      <c r="E1010" s="41" t="s">
        <v>2929</v>
      </c>
      <c r="F1010" s="41" t="s">
        <v>2933</v>
      </c>
      <c r="G1010" s="41" t="s">
        <v>2934</v>
      </c>
    </row>
    <row r="1011" spans="1:7" x14ac:dyDescent="0.25">
      <c r="A1011" s="41" t="s">
        <v>4097</v>
      </c>
      <c r="B1011" s="41" t="s">
        <v>4095</v>
      </c>
      <c r="C1011" s="41" t="s">
        <v>2928</v>
      </c>
      <c r="D1011" s="41" t="s">
        <v>4094</v>
      </c>
      <c r="E1011" s="41" t="s">
        <v>2929</v>
      </c>
      <c r="F1011" s="41" t="s">
        <v>2930</v>
      </c>
      <c r="G1011" s="41" t="s">
        <v>2931</v>
      </c>
    </row>
    <row r="1012" spans="1:7" x14ac:dyDescent="0.25">
      <c r="A1012" s="41" t="s">
        <v>4098</v>
      </c>
      <c r="B1012" s="41" t="s">
        <v>4095</v>
      </c>
      <c r="C1012" s="41" t="s">
        <v>2928</v>
      </c>
      <c r="D1012" s="41" t="s">
        <v>4094</v>
      </c>
      <c r="E1012" s="41" t="s">
        <v>2929</v>
      </c>
      <c r="F1012" s="41" t="s">
        <v>2949</v>
      </c>
      <c r="G1012" s="41" t="s">
        <v>2950</v>
      </c>
    </row>
    <row r="1013" spans="1:7" x14ac:dyDescent="0.25">
      <c r="A1013" s="41" t="s">
        <v>4099</v>
      </c>
      <c r="B1013" s="41" t="s">
        <v>1042</v>
      </c>
      <c r="C1013" s="41" t="s">
        <v>2928</v>
      </c>
      <c r="D1013" s="41" t="s">
        <v>4099</v>
      </c>
      <c r="E1013" s="41" t="s">
        <v>2929</v>
      </c>
      <c r="F1013" s="41" t="s">
        <v>2930</v>
      </c>
      <c r="G1013" s="41" t="s">
        <v>2931</v>
      </c>
    </row>
    <row r="1014" spans="1:7" x14ac:dyDescent="0.25">
      <c r="A1014" s="41" t="s">
        <v>4100</v>
      </c>
      <c r="B1014" s="41" t="s">
        <v>1042</v>
      </c>
      <c r="C1014" s="41" t="s">
        <v>2928</v>
      </c>
      <c r="D1014" s="41" t="s">
        <v>4099</v>
      </c>
      <c r="E1014" s="41" t="s">
        <v>2929</v>
      </c>
      <c r="F1014" s="41" t="s">
        <v>2933</v>
      </c>
      <c r="G1014" s="41" t="s">
        <v>2934</v>
      </c>
    </row>
    <row r="1015" spans="1:7" x14ac:dyDescent="0.25">
      <c r="A1015" s="41" t="s">
        <v>4101</v>
      </c>
      <c r="B1015" s="41" t="s">
        <v>1042</v>
      </c>
      <c r="C1015" s="41" t="s">
        <v>2928</v>
      </c>
      <c r="D1015" s="41" t="s">
        <v>4099</v>
      </c>
      <c r="E1015" s="41" t="s">
        <v>2929</v>
      </c>
      <c r="F1015" s="41" t="s">
        <v>2933</v>
      </c>
      <c r="G1015" s="41" t="s">
        <v>2934</v>
      </c>
    </row>
    <row r="1016" spans="1:7" x14ac:dyDescent="0.25">
      <c r="A1016" s="41" t="s">
        <v>4102</v>
      </c>
      <c r="B1016" s="41" t="s">
        <v>1042</v>
      </c>
      <c r="C1016" s="41" t="s">
        <v>2928</v>
      </c>
      <c r="D1016" s="41" t="s">
        <v>4099</v>
      </c>
      <c r="E1016" s="41" t="s">
        <v>2929</v>
      </c>
      <c r="F1016" s="41" t="s">
        <v>2930</v>
      </c>
      <c r="G1016" s="41" t="s">
        <v>2931</v>
      </c>
    </row>
    <row r="1017" spans="1:7" x14ac:dyDescent="0.25">
      <c r="A1017" s="41" t="s">
        <v>4103</v>
      </c>
      <c r="B1017" s="41" t="s">
        <v>1042</v>
      </c>
      <c r="C1017" s="41" t="s">
        <v>2928</v>
      </c>
      <c r="D1017" s="41" t="s">
        <v>4099</v>
      </c>
      <c r="E1017" s="41" t="s">
        <v>2929</v>
      </c>
      <c r="F1017" s="41" t="s">
        <v>2949</v>
      </c>
      <c r="G1017" s="41" t="s">
        <v>2950</v>
      </c>
    </row>
    <row r="1018" spans="1:7" x14ac:dyDescent="0.25">
      <c r="A1018" s="41" t="s">
        <v>4104</v>
      </c>
      <c r="B1018" s="41" t="s">
        <v>1042</v>
      </c>
      <c r="C1018" s="41" t="s">
        <v>2928</v>
      </c>
      <c r="D1018" s="41" t="s">
        <v>4099</v>
      </c>
      <c r="E1018" s="41" t="s">
        <v>2929</v>
      </c>
      <c r="F1018" s="41" t="s">
        <v>2949</v>
      </c>
      <c r="G1018" s="41" t="s">
        <v>2950</v>
      </c>
    </row>
    <row r="1019" spans="1:7" x14ac:dyDescent="0.25">
      <c r="A1019" s="41" t="s">
        <v>4105</v>
      </c>
      <c r="B1019" s="41" t="s">
        <v>4106</v>
      </c>
      <c r="C1019" s="41" t="s">
        <v>2928</v>
      </c>
      <c r="D1019" s="41" t="s">
        <v>4105</v>
      </c>
      <c r="E1019" s="41" t="s">
        <v>2929</v>
      </c>
      <c r="F1019" s="41" t="s">
        <v>2930</v>
      </c>
      <c r="G1019" s="41" t="s">
        <v>2931</v>
      </c>
    </row>
    <row r="1020" spans="1:7" x14ac:dyDescent="0.25">
      <c r="A1020" s="41" t="s">
        <v>4107</v>
      </c>
      <c r="B1020" s="41" t="s">
        <v>4106</v>
      </c>
      <c r="C1020" s="41" t="s">
        <v>2928</v>
      </c>
      <c r="D1020" s="41" t="s">
        <v>4105</v>
      </c>
      <c r="E1020" s="41" t="s">
        <v>2929</v>
      </c>
      <c r="F1020" s="41" t="s">
        <v>2933</v>
      </c>
      <c r="G1020" s="41" t="s">
        <v>2934</v>
      </c>
    </row>
    <row r="1021" spans="1:7" x14ac:dyDescent="0.25">
      <c r="A1021" s="41" t="s">
        <v>4108</v>
      </c>
      <c r="B1021" s="41" t="s">
        <v>4106</v>
      </c>
      <c r="C1021" s="41" t="s">
        <v>2928</v>
      </c>
      <c r="D1021" s="41" t="s">
        <v>4105</v>
      </c>
      <c r="E1021" s="41" t="s">
        <v>2929</v>
      </c>
      <c r="F1021" s="41" t="s">
        <v>2933</v>
      </c>
      <c r="G1021" s="41" t="s">
        <v>2934</v>
      </c>
    </row>
    <row r="1022" spans="1:7" x14ac:dyDescent="0.25">
      <c r="A1022" s="41" t="s">
        <v>4109</v>
      </c>
      <c r="B1022" s="41" t="s">
        <v>4106</v>
      </c>
      <c r="C1022" s="41" t="s">
        <v>2928</v>
      </c>
      <c r="D1022" s="41" t="s">
        <v>4105</v>
      </c>
      <c r="E1022" s="41" t="s">
        <v>2929</v>
      </c>
      <c r="F1022" s="41" t="s">
        <v>2930</v>
      </c>
      <c r="G1022" s="41" t="s">
        <v>2931</v>
      </c>
    </row>
    <row r="1023" spans="1:7" x14ac:dyDescent="0.25">
      <c r="A1023" s="41" t="s">
        <v>4110</v>
      </c>
      <c r="B1023" s="41" t="s">
        <v>4106</v>
      </c>
      <c r="C1023" s="41" t="s">
        <v>2928</v>
      </c>
      <c r="D1023" s="41" t="s">
        <v>4105</v>
      </c>
      <c r="E1023" s="41" t="s">
        <v>2929</v>
      </c>
      <c r="F1023" s="41" t="s">
        <v>2949</v>
      </c>
      <c r="G1023" s="41" t="s">
        <v>2950</v>
      </c>
    </row>
    <row r="1024" spans="1:7" x14ac:dyDescent="0.25">
      <c r="A1024" s="41" t="s">
        <v>4111</v>
      </c>
      <c r="B1024" s="41" t="s">
        <v>4106</v>
      </c>
      <c r="C1024" s="41" t="s">
        <v>2928</v>
      </c>
      <c r="D1024" s="41" t="s">
        <v>4105</v>
      </c>
      <c r="E1024" s="41" t="s">
        <v>2929</v>
      </c>
      <c r="F1024" s="41" t="s">
        <v>2949</v>
      </c>
      <c r="G1024" s="41" t="s">
        <v>2950</v>
      </c>
    </row>
    <row r="1025" spans="1:7" x14ac:dyDescent="0.25">
      <c r="A1025" s="41" t="s">
        <v>4112</v>
      </c>
      <c r="B1025" s="41" t="s">
        <v>4113</v>
      </c>
      <c r="C1025" s="41" t="s">
        <v>2928</v>
      </c>
      <c r="D1025" s="41" t="s">
        <v>4112</v>
      </c>
      <c r="E1025" s="41" t="s">
        <v>3756</v>
      </c>
      <c r="F1025" s="41" t="s">
        <v>2930</v>
      </c>
      <c r="G1025" s="41" t="s">
        <v>2931</v>
      </c>
    </row>
    <row r="1026" spans="1:7" x14ac:dyDescent="0.25">
      <c r="A1026" s="41" t="s">
        <v>4114</v>
      </c>
      <c r="B1026" s="41" t="s">
        <v>4113</v>
      </c>
      <c r="C1026" s="41" t="s">
        <v>2928</v>
      </c>
      <c r="D1026" s="41" t="s">
        <v>4112</v>
      </c>
      <c r="E1026" s="41" t="s">
        <v>2929</v>
      </c>
      <c r="F1026" s="41" t="s">
        <v>2933</v>
      </c>
      <c r="G1026" s="41" t="s">
        <v>2934</v>
      </c>
    </row>
    <row r="1027" spans="1:7" x14ac:dyDescent="0.25">
      <c r="A1027" s="41" t="s">
        <v>4115</v>
      </c>
      <c r="B1027" s="41" t="s">
        <v>4113</v>
      </c>
      <c r="C1027" s="41" t="s">
        <v>2928</v>
      </c>
      <c r="D1027" s="41" t="s">
        <v>4112</v>
      </c>
      <c r="E1027" s="41" t="s">
        <v>2929</v>
      </c>
      <c r="F1027" s="41" t="s">
        <v>2930</v>
      </c>
      <c r="G1027" s="41" t="s">
        <v>2931</v>
      </c>
    </row>
    <row r="1028" spans="1:7" x14ac:dyDescent="0.25">
      <c r="A1028" s="41" t="s">
        <v>4116</v>
      </c>
      <c r="B1028" s="41" t="s">
        <v>4113</v>
      </c>
      <c r="C1028" s="41" t="s">
        <v>2928</v>
      </c>
      <c r="D1028" s="41" t="s">
        <v>4112</v>
      </c>
      <c r="E1028" s="41" t="s">
        <v>2929</v>
      </c>
      <c r="F1028" s="41" t="s">
        <v>2949</v>
      </c>
      <c r="G1028" s="41" t="s">
        <v>2950</v>
      </c>
    </row>
    <row r="1029" spans="1:7" x14ac:dyDescent="0.25">
      <c r="A1029" s="41" t="s">
        <v>4117</v>
      </c>
      <c r="B1029" s="41" t="s">
        <v>4113</v>
      </c>
      <c r="C1029" s="41" t="s">
        <v>2928</v>
      </c>
      <c r="D1029" s="41" t="s">
        <v>4112</v>
      </c>
      <c r="E1029" s="41" t="s">
        <v>2929</v>
      </c>
      <c r="F1029" s="41" t="s">
        <v>2949</v>
      </c>
      <c r="G1029" s="41" t="s">
        <v>2950</v>
      </c>
    </row>
    <row r="1030" spans="1:7" x14ac:dyDescent="0.25">
      <c r="A1030" s="41" t="s">
        <v>4118</v>
      </c>
      <c r="B1030" s="41" t="s">
        <v>3243</v>
      </c>
      <c r="C1030" s="41" t="s">
        <v>78</v>
      </c>
      <c r="D1030" s="41" t="s">
        <v>3244</v>
      </c>
      <c r="E1030" s="41" t="s">
        <v>2984</v>
      </c>
      <c r="F1030" s="41" t="s">
        <v>2949</v>
      </c>
      <c r="G1030" s="41" t="s">
        <v>2950</v>
      </c>
    </row>
    <row r="1031" spans="1:7" x14ac:dyDescent="0.25">
      <c r="A1031" s="41" t="s">
        <v>4119</v>
      </c>
      <c r="B1031" s="41" t="s">
        <v>3243</v>
      </c>
      <c r="C1031" s="41" t="s">
        <v>78</v>
      </c>
      <c r="D1031" s="41" t="s">
        <v>3244</v>
      </c>
      <c r="E1031" s="41" t="s">
        <v>2929</v>
      </c>
      <c r="F1031" s="41" t="s">
        <v>2949</v>
      </c>
      <c r="G1031" s="41" t="s">
        <v>2934</v>
      </c>
    </row>
    <row r="1032" spans="1:7" x14ac:dyDescent="0.25">
      <c r="A1032" s="41" t="s">
        <v>4120</v>
      </c>
      <c r="B1032" s="41" t="s">
        <v>3243</v>
      </c>
      <c r="C1032" s="41" t="s">
        <v>78</v>
      </c>
      <c r="D1032" s="41" t="s">
        <v>3244</v>
      </c>
      <c r="E1032" s="41" t="s">
        <v>2929</v>
      </c>
      <c r="F1032" s="41" t="s">
        <v>2933</v>
      </c>
      <c r="G1032" s="41" t="s">
        <v>2934</v>
      </c>
    </row>
    <row r="1033" spans="1:7" x14ac:dyDescent="0.25">
      <c r="A1033" s="41" t="s">
        <v>4121</v>
      </c>
      <c r="B1033" s="41" t="s">
        <v>4122</v>
      </c>
      <c r="C1033" s="41" t="s">
        <v>2928</v>
      </c>
      <c r="D1033" s="41" t="s">
        <v>4121</v>
      </c>
      <c r="E1033" s="41" t="s">
        <v>2929</v>
      </c>
      <c r="F1033" s="41" t="s">
        <v>2930</v>
      </c>
      <c r="G1033" s="41" t="s">
        <v>2931</v>
      </c>
    </row>
    <row r="1034" spans="1:7" x14ac:dyDescent="0.25">
      <c r="A1034" s="41" t="s">
        <v>4123</v>
      </c>
      <c r="B1034" s="41" t="s">
        <v>4122</v>
      </c>
      <c r="C1034" s="41" t="s">
        <v>2928</v>
      </c>
      <c r="D1034" s="41" t="s">
        <v>4121</v>
      </c>
      <c r="E1034" s="41" t="s">
        <v>2929</v>
      </c>
      <c r="F1034" s="41" t="s">
        <v>2933</v>
      </c>
      <c r="G1034" s="41" t="s">
        <v>2934</v>
      </c>
    </row>
    <row r="1035" spans="1:7" x14ac:dyDescent="0.25">
      <c r="A1035" s="41" t="s">
        <v>4124</v>
      </c>
      <c r="B1035" s="41" t="s">
        <v>4122</v>
      </c>
      <c r="C1035" s="41" t="s">
        <v>2928</v>
      </c>
      <c r="D1035" s="41" t="s">
        <v>4121</v>
      </c>
      <c r="E1035" s="41" t="s">
        <v>2929</v>
      </c>
      <c r="F1035" s="41" t="s">
        <v>2930</v>
      </c>
      <c r="G1035" s="41" t="s">
        <v>2931</v>
      </c>
    </row>
    <row r="1036" spans="1:7" x14ac:dyDescent="0.25">
      <c r="A1036" s="41" t="s">
        <v>4125</v>
      </c>
      <c r="B1036" s="41" t="s">
        <v>4122</v>
      </c>
      <c r="C1036" s="41" t="s">
        <v>2928</v>
      </c>
      <c r="D1036" s="41" t="s">
        <v>4121</v>
      </c>
      <c r="E1036" s="41" t="s">
        <v>2929</v>
      </c>
      <c r="F1036" s="41" t="s">
        <v>2930</v>
      </c>
      <c r="G1036" s="41" t="s">
        <v>2931</v>
      </c>
    </row>
    <row r="1037" spans="1:7" x14ac:dyDescent="0.25">
      <c r="A1037" s="41" t="s">
        <v>4126</v>
      </c>
      <c r="B1037" s="41" t="s">
        <v>4122</v>
      </c>
      <c r="C1037" s="41" t="s">
        <v>2928</v>
      </c>
      <c r="D1037" s="41" t="s">
        <v>4121</v>
      </c>
      <c r="E1037" s="41" t="s">
        <v>2929</v>
      </c>
      <c r="F1037" s="41" t="s">
        <v>2949</v>
      </c>
      <c r="G1037" s="41" t="s">
        <v>2950</v>
      </c>
    </row>
    <row r="1038" spans="1:7" x14ac:dyDescent="0.25">
      <c r="A1038" s="41" t="s">
        <v>4127</v>
      </c>
      <c r="B1038" s="41" t="s">
        <v>4128</v>
      </c>
      <c r="C1038" s="41" t="s">
        <v>2928</v>
      </c>
      <c r="D1038" s="41" t="s">
        <v>4127</v>
      </c>
      <c r="E1038" s="41" t="s">
        <v>2929</v>
      </c>
      <c r="F1038" s="41" t="s">
        <v>2930</v>
      </c>
      <c r="G1038" s="41" t="s">
        <v>2931</v>
      </c>
    </row>
    <row r="1039" spans="1:7" x14ac:dyDescent="0.25">
      <c r="A1039" s="41" t="s">
        <v>4129</v>
      </c>
      <c r="B1039" s="41" t="s">
        <v>4128</v>
      </c>
      <c r="C1039" s="41" t="s">
        <v>2928</v>
      </c>
      <c r="D1039" s="41" t="s">
        <v>4127</v>
      </c>
      <c r="E1039" s="41" t="s">
        <v>2929</v>
      </c>
      <c r="F1039" s="41" t="s">
        <v>2933</v>
      </c>
      <c r="G1039" s="41" t="s">
        <v>2934</v>
      </c>
    </row>
    <row r="1040" spans="1:7" x14ac:dyDescent="0.25">
      <c r="A1040" s="41" t="s">
        <v>4130</v>
      </c>
      <c r="B1040" s="41" t="s">
        <v>4128</v>
      </c>
      <c r="C1040" s="41" t="s">
        <v>2928</v>
      </c>
      <c r="D1040" s="41" t="s">
        <v>4127</v>
      </c>
      <c r="E1040" s="41" t="s">
        <v>2929</v>
      </c>
      <c r="F1040" s="41" t="s">
        <v>2930</v>
      </c>
      <c r="G1040" s="41" t="s">
        <v>2931</v>
      </c>
    </row>
    <row r="1041" spans="1:7" x14ac:dyDescent="0.25">
      <c r="A1041" s="41" t="s">
        <v>4131</v>
      </c>
      <c r="B1041" s="41" t="s">
        <v>4128</v>
      </c>
      <c r="C1041" s="41" t="s">
        <v>2928</v>
      </c>
      <c r="D1041" s="41" t="s">
        <v>4127</v>
      </c>
      <c r="E1041" s="41" t="s">
        <v>2929</v>
      </c>
      <c r="F1041" s="41" t="s">
        <v>2930</v>
      </c>
      <c r="G1041" s="41" t="s">
        <v>2931</v>
      </c>
    </row>
    <row r="1042" spans="1:7" x14ac:dyDescent="0.25">
      <c r="A1042" s="41" t="s">
        <v>4132</v>
      </c>
      <c r="B1042" s="41" t="s">
        <v>4128</v>
      </c>
      <c r="C1042" s="41" t="s">
        <v>2928</v>
      </c>
      <c r="D1042" s="41" t="s">
        <v>4127</v>
      </c>
      <c r="E1042" s="41" t="s">
        <v>2929</v>
      </c>
      <c r="F1042" s="41" t="s">
        <v>2949</v>
      </c>
      <c r="G1042" s="41" t="s">
        <v>2950</v>
      </c>
    </row>
    <row r="1043" spans="1:7" x14ac:dyDescent="0.25">
      <c r="A1043" s="41" t="s">
        <v>4133</v>
      </c>
      <c r="B1043" s="41" t="s">
        <v>4134</v>
      </c>
      <c r="C1043" s="41" t="s">
        <v>2928</v>
      </c>
      <c r="D1043" s="41" t="s">
        <v>4133</v>
      </c>
      <c r="E1043" s="41" t="s">
        <v>2929</v>
      </c>
      <c r="F1043" s="41" t="s">
        <v>2930</v>
      </c>
      <c r="G1043" s="41" t="s">
        <v>2931</v>
      </c>
    </row>
    <row r="1044" spans="1:7" x14ac:dyDescent="0.25">
      <c r="A1044" s="41" t="s">
        <v>4135</v>
      </c>
      <c r="B1044" s="41" t="s">
        <v>4134</v>
      </c>
      <c r="C1044" s="41" t="s">
        <v>2928</v>
      </c>
      <c r="D1044" s="41" t="s">
        <v>4133</v>
      </c>
      <c r="E1044" s="41" t="s">
        <v>2929</v>
      </c>
      <c r="F1044" s="41" t="s">
        <v>2933</v>
      </c>
      <c r="G1044" s="41" t="s">
        <v>2934</v>
      </c>
    </row>
    <row r="1045" spans="1:7" x14ac:dyDescent="0.25">
      <c r="A1045" s="41" t="s">
        <v>4136</v>
      </c>
      <c r="B1045" s="41" t="s">
        <v>4134</v>
      </c>
      <c r="C1045" s="41" t="s">
        <v>2928</v>
      </c>
      <c r="D1045" s="41" t="s">
        <v>4133</v>
      </c>
      <c r="E1045" s="41" t="s">
        <v>2929</v>
      </c>
      <c r="F1045" s="41" t="s">
        <v>2930</v>
      </c>
      <c r="G1045" s="41" t="s">
        <v>2931</v>
      </c>
    </row>
    <row r="1046" spans="1:7" x14ac:dyDescent="0.25">
      <c r="A1046" s="41" t="s">
        <v>4137</v>
      </c>
      <c r="B1046" s="41" t="s">
        <v>4134</v>
      </c>
      <c r="C1046" s="41" t="s">
        <v>2928</v>
      </c>
      <c r="D1046" s="41" t="s">
        <v>4133</v>
      </c>
      <c r="E1046" s="41" t="s">
        <v>2929</v>
      </c>
      <c r="F1046" s="41" t="s">
        <v>2949</v>
      </c>
      <c r="G1046" s="41" t="s">
        <v>2950</v>
      </c>
    </row>
    <row r="1047" spans="1:7" x14ac:dyDescent="0.25">
      <c r="A1047" s="41" t="s">
        <v>4138</v>
      </c>
      <c r="B1047" s="41" t="s">
        <v>4139</v>
      </c>
      <c r="C1047" s="41" t="s">
        <v>2928</v>
      </c>
      <c r="D1047" s="41" t="s">
        <v>4138</v>
      </c>
      <c r="E1047" s="41" t="s">
        <v>2929</v>
      </c>
      <c r="F1047" s="41" t="s">
        <v>2930</v>
      </c>
      <c r="G1047" s="41" t="s">
        <v>2931</v>
      </c>
    </row>
    <row r="1048" spans="1:7" x14ac:dyDescent="0.25">
      <c r="A1048" s="41" t="s">
        <v>991</v>
      </c>
      <c r="B1048" s="41" t="s">
        <v>992</v>
      </c>
      <c r="C1048" s="41" t="s">
        <v>2928</v>
      </c>
      <c r="D1048" s="41" t="s">
        <v>991</v>
      </c>
      <c r="E1048" s="41" t="s">
        <v>2929</v>
      </c>
      <c r="F1048" s="41" t="s">
        <v>2930</v>
      </c>
      <c r="G1048" s="41" t="s">
        <v>2931</v>
      </c>
    </row>
    <row r="1049" spans="1:7" x14ac:dyDescent="0.25">
      <c r="A1049" s="41" t="s">
        <v>4140</v>
      </c>
      <c r="B1049" s="41" t="s">
        <v>992</v>
      </c>
      <c r="C1049" s="41" t="s">
        <v>2928</v>
      </c>
      <c r="D1049" s="41" t="s">
        <v>991</v>
      </c>
      <c r="E1049" s="41" t="s">
        <v>2929</v>
      </c>
      <c r="F1049" s="41" t="s">
        <v>2933</v>
      </c>
      <c r="G1049" s="41" t="s">
        <v>2934</v>
      </c>
    </row>
    <row r="1050" spans="1:7" x14ac:dyDescent="0.25">
      <c r="A1050" s="41" t="s">
        <v>4141</v>
      </c>
      <c r="B1050" s="41" t="s">
        <v>992</v>
      </c>
      <c r="C1050" s="41" t="s">
        <v>2928</v>
      </c>
      <c r="D1050" s="41" t="s">
        <v>991</v>
      </c>
      <c r="E1050" s="41" t="s">
        <v>2929</v>
      </c>
      <c r="F1050" s="41" t="s">
        <v>2930</v>
      </c>
      <c r="G1050" s="41" t="s">
        <v>2931</v>
      </c>
    </row>
    <row r="1051" spans="1:7" x14ac:dyDescent="0.25">
      <c r="A1051" s="41" t="s">
        <v>4142</v>
      </c>
      <c r="B1051" s="41" t="s">
        <v>992</v>
      </c>
      <c r="C1051" s="41" t="s">
        <v>2928</v>
      </c>
      <c r="D1051" s="41" t="s">
        <v>991</v>
      </c>
      <c r="E1051" s="41" t="s">
        <v>2929</v>
      </c>
      <c r="F1051" s="41" t="s">
        <v>2949</v>
      </c>
      <c r="G1051" s="41" t="s">
        <v>2950</v>
      </c>
    </row>
    <row r="1052" spans="1:7" x14ac:dyDescent="0.25">
      <c r="A1052" s="41" t="s">
        <v>4143</v>
      </c>
      <c r="B1052" s="41" t="s">
        <v>4139</v>
      </c>
      <c r="C1052" s="41" t="s">
        <v>2928</v>
      </c>
      <c r="D1052" s="41" t="s">
        <v>4138</v>
      </c>
      <c r="E1052" s="41" t="s">
        <v>2929</v>
      </c>
      <c r="F1052" s="41" t="s">
        <v>2933</v>
      </c>
      <c r="G1052" s="41" t="s">
        <v>2934</v>
      </c>
    </row>
    <row r="1053" spans="1:7" x14ac:dyDescent="0.25">
      <c r="A1053" s="41" t="s">
        <v>4144</v>
      </c>
      <c r="B1053" s="41" t="s">
        <v>4139</v>
      </c>
      <c r="C1053" s="41" t="s">
        <v>2928</v>
      </c>
      <c r="D1053" s="41" t="s">
        <v>4138</v>
      </c>
      <c r="E1053" s="41" t="s">
        <v>2929</v>
      </c>
      <c r="F1053" s="41" t="s">
        <v>2930</v>
      </c>
      <c r="G1053" s="41" t="s">
        <v>2931</v>
      </c>
    </row>
    <row r="1054" spans="1:7" x14ac:dyDescent="0.25">
      <c r="A1054" s="41" t="s">
        <v>4145</v>
      </c>
      <c r="B1054" s="41" t="s">
        <v>4139</v>
      </c>
      <c r="C1054" s="41" t="s">
        <v>2928</v>
      </c>
      <c r="D1054" s="41" t="s">
        <v>4138</v>
      </c>
      <c r="E1054" s="41" t="s">
        <v>2929</v>
      </c>
      <c r="F1054" s="41" t="s">
        <v>2949</v>
      </c>
      <c r="G1054" s="41" t="s">
        <v>2950</v>
      </c>
    </row>
    <row r="1055" spans="1:7" x14ac:dyDescent="0.25">
      <c r="A1055" s="41" t="s">
        <v>4146</v>
      </c>
      <c r="B1055" s="41" t="s">
        <v>4147</v>
      </c>
      <c r="C1055" s="41" t="s">
        <v>2928</v>
      </c>
      <c r="D1055" s="41" t="s">
        <v>4146</v>
      </c>
      <c r="E1055" s="41" t="s">
        <v>3756</v>
      </c>
      <c r="F1055" s="41" t="s">
        <v>2930</v>
      </c>
      <c r="G1055" s="41" t="s">
        <v>2931</v>
      </c>
    </row>
    <row r="1056" spans="1:7" x14ac:dyDescent="0.25">
      <c r="A1056" s="41" t="s">
        <v>4148</v>
      </c>
      <c r="B1056" s="41" t="s">
        <v>4147</v>
      </c>
      <c r="C1056" s="41" t="s">
        <v>2928</v>
      </c>
      <c r="D1056" s="41" t="s">
        <v>4146</v>
      </c>
      <c r="E1056" s="41" t="s">
        <v>2929</v>
      </c>
      <c r="F1056" s="41" t="s">
        <v>2933</v>
      </c>
      <c r="G1056" s="41" t="s">
        <v>2934</v>
      </c>
    </row>
    <row r="1057" spans="1:7" x14ac:dyDescent="0.25">
      <c r="A1057" s="41" t="s">
        <v>4149</v>
      </c>
      <c r="B1057" s="41" t="s">
        <v>4147</v>
      </c>
      <c r="C1057" s="41" t="s">
        <v>2928</v>
      </c>
      <c r="D1057" s="41" t="s">
        <v>4146</v>
      </c>
      <c r="E1057" s="41" t="s">
        <v>2929</v>
      </c>
      <c r="F1057" s="41" t="s">
        <v>2933</v>
      </c>
      <c r="G1057" s="41" t="s">
        <v>2934</v>
      </c>
    </row>
    <row r="1058" spans="1:7" x14ac:dyDescent="0.25">
      <c r="A1058" s="41" t="s">
        <v>4150</v>
      </c>
      <c r="B1058" s="41" t="s">
        <v>4147</v>
      </c>
      <c r="C1058" s="41" t="s">
        <v>2928</v>
      </c>
      <c r="D1058" s="41" t="s">
        <v>4146</v>
      </c>
      <c r="E1058" s="41" t="s">
        <v>2929</v>
      </c>
      <c r="F1058" s="41" t="s">
        <v>2933</v>
      </c>
      <c r="G1058" s="41" t="s">
        <v>2934</v>
      </c>
    </row>
    <row r="1059" spans="1:7" x14ac:dyDescent="0.25">
      <c r="A1059" s="41" t="s">
        <v>4151</v>
      </c>
      <c r="B1059" s="41" t="s">
        <v>4147</v>
      </c>
      <c r="C1059" s="41" t="s">
        <v>2928</v>
      </c>
      <c r="D1059" s="41" t="s">
        <v>4146</v>
      </c>
      <c r="E1059" s="41" t="s">
        <v>2929</v>
      </c>
      <c r="F1059" s="41" t="s">
        <v>2933</v>
      </c>
      <c r="G1059" s="41" t="s">
        <v>2934</v>
      </c>
    </row>
    <row r="1060" spans="1:7" x14ac:dyDescent="0.25">
      <c r="A1060" s="41" t="s">
        <v>4152</v>
      </c>
      <c r="B1060" s="41" t="s">
        <v>4147</v>
      </c>
      <c r="C1060" s="41" t="s">
        <v>2928</v>
      </c>
      <c r="D1060" s="41" t="s">
        <v>4146</v>
      </c>
      <c r="E1060" s="41" t="s">
        <v>2929</v>
      </c>
      <c r="F1060" s="41" t="s">
        <v>2933</v>
      </c>
      <c r="G1060" s="41" t="s">
        <v>2934</v>
      </c>
    </row>
    <row r="1061" spans="1:7" x14ac:dyDescent="0.25">
      <c r="A1061" s="41" t="s">
        <v>4153</v>
      </c>
      <c r="B1061" s="41" t="s">
        <v>4147</v>
      </c>
      <c r="C1061" s="41" t="s">
        <v>2928</v>
      </c>
      <c r="D1061" s="41" t="s">
        <v>4146</v>
      </c>
      <c r="E1061" s="41" t="s">
        <v>2929</v>
      </c>
      <c r="F1061" s="41" t="s">
        <v>2930</v>
      </c>
      <c r="G1061" s="41" t="s">
        <v>2931</v>
      </c>
    </row>
    <row r="1062" spans="1:7" x14ac:dyDescent="0.25">
      <c r="A1062" s="41" t="s">
        <v>4154</v>
      </c>
      <c r="B1062" s="41" t="s">
        <v>4147</v>
      </c>
      <c r="C1062" s="41" t="s">
        <v>2928</v>
      </c>
      <c r="D1062" s="41" t="s">
        <v>4146</v>
      </c>
      <c r="E1062" s="41" t="s">
        <v>2929</v>
      </c>
      <c r="F1062" s="41" t="s">
        <v>2949</v>
      </c>
      <c r="G1062" s="41" t="s">
        <v>2950</v>
      </c>
    </row>
    <row r="1063" spans="1:7" x14ac:dyDescent="0.25">
      <c r="A1063" s="41" t="s">
        <v>4155</v>
      </c>
      <c r="B1063" s="41" t="s">
        <v>4147</v>
      </c>
      <c r="C1063" s="41" t="s">
        <v>2928</v>
      </c>
      <c r="D1063" s="41" t="s">
        <v>4146</v>
      </c>
      <c r="E1063" s="41" t="s">
        <v>2929</v>
      </c>
      <c r="F1063" s="41" t="s">
        <v>2949</v>
      </c>
      <c r="G1063" s="41" t="s">
        <v>2950</v>
      </c>
    </row>
    <row r="1064" spans="1:7" x14ac:dyDescent="0.25">
      <c r="A1064" s="41" t="s">
        <v>4156</v>
      </c>
      <c r="B1064" s="41" t="s">
        <v>4147</v>
      </c>
      <c r="C1064" s="41" t="s">
        <v>2928</v>
      </c>
      <c r="D1064" s="41" t="s">
        <v>4146</v>
      </c>
      <c r="E1064" s="41" t="s">
        <v>2929</v>
      </c>
      <c r="F1064" s="41" t="s">
        <v>2949</v>
      </c>
      <c r="G1064" s="41" t="s">
        <v>2950</v>
      </c>
    </row>
    <row r="1065" spans="1:7" x14ac:dyDescent="0.25">
      <c r="A1065" s="41" t="s">
        <v>4157</v>
      </c>
      <c r="B1065" s="41" t="s">
        <v>4158</v>
      </c>
      <c r="C1065" s="41" t="s">
        <v>2928</v>
      </c>
      <c r="D1065" s="41" t="s">
        <v>4157</v>
      </c>
      <c r="E1065" s="41" t="s">
        <v>2929</v>
      </c>
      <c r="F1065" s="41" t="s">
        <v>2930</v>
      </c>
      <c r="G1065" s="41" t="s">
        <v>2931</v>
      </c>
    </row>
    <row r="1066" spans="1:7" x14ac:dyDescent="0.25">
      <c r="A1066" s="41" t="s">
        <v>4159</v>
      </c>
      <c r="B1066" s="41" t="s">
        <v>4158</v>
      </c>
      <c r="C1066" s="41" t="s">
        <v>2928</v>
      </c>
      <c r="D1066" s="41" t="s">
        <v>4157</v>
      </c>
      <c r="E1066" s="41" t="s">
        <v>2929</v>
      </c>
      <c r="F1066" s="41" t="s">
        <v>2933</v>
      </c>
      <c r="G1066" s="41" t="s">
        <v>2934</v>
      </c>
    </row>
    <row r="1067" spans="1:7" x14ac:dyDescent="0.25">
      <c r="A1067" s="41" t="s">
        <v>4160</v>
      </c>
      <c r="B1067" s="41" t="s">
        <v>4158</v>
      </c>
      <c r="C1067" s="41" t="s">
        <v>2928</v>
      </c>
      <c r="D1067" s="41" t="s">
        <v>4157</v>
      </c>
      <c r="E1067" s="41" t="s">
        <v>2929</v>
      </c>
      <c r="F1067" s="41" t="s">
        <v>2930</v>
      </c>
      <c r="G1067" s="41" t="s">
        <v>2931</v>
      </c>
    </row>
    <row r="1068" spans="1:7" x14ac:dyDescent="0.25">
      <c r="A1068" s="41" t="s">
        <v>4161</v>
      </c>
      <c r="B1068" s="41" t="s">
        <v>4158</v>
      </c>
      <c r="C1068" s="41" t="s">
        <v>2928</v>
      </c>
      <c r="D1068" s="41" t="s">
        <v>4157</v>
      </c>
      <c r="E1068" s="41" t="s">
        <v>2929</v>
      </c>
      <c r="F1068" s="41" t="s">
        <v>2949</v>
      </c>
      <c r="G1068" s="41" t="s">
        <v>2950</v>
      </c>
    </row>
    <row r="1069" spans="1:7" x14ac:dyDescent="0.25">
      <c r="A1069" s="41" t="s">
        <v>4162</v>
      </c>
      <c r="B1069" s="41" t="s">
        <v>4158</v>
      </c>
      <c r="C1069" s="41" t="s">
        <v>2928</v>
      </c>
      <c r="D1069" s="41" t="s">
        <v>4157</v>
      </c>
      <c r="E1069" s="41" t="s">
        <v>2929</v>
      </c>
      <c r="F1069" s="41" t="s">
        <v>2949</v>
      </c>
      <c r="G1069" s="41" t="s">
        <v>2950</v>
      </c>
    </row>
    <row r="1070" spans="1:7" x14ac:dyDescent="0.25">
      <c r="A1070" s="41" t="s">
        <v>4163</v>
      </c>
      <c r="B1070" s="41" t="s">
        <v>3293</v>
      </c>
      <c r="C1070" s="41" t="s">
        <v>78</v>
      </c>
      <c r="D1070" s="41" t="s">
        <v>3294</v>
      </c>
      <c r="E1070" s="41" t="s">
        <v>2929</v>
      </c>
      <c r="F1070" s="41" t="s">
        <v>2933</v>
      </c>
      <c r="G1070" s="41" t="s">
        <v>2934</v>
      </c>
    </row>
    <row r="1071" spans="1:7" x14ac:dyDescent="0.25">
      <c r="A1071" s="41" t="s">
        <v>4164</v>
      </c>
      <c r="B1071" s="41" t="s">
        <v>4165</v>
      </c>
      <c r="C1071" s="41" t="s">
        <v>2928</v>
      </c>
      <c r="D1071" s="41" t="s">
        <v>4164</v>
      </c>
      <c r="E1071" s="41" t="s">
        <v>2929</v>
      </c>
      <c r="F1071" s="41" t="s">
        <v>2930</v>
      </c>
      <c r="G1071" s="41" t="s">
        <v>2931</v>
      </c>
    </row>
    <row r="1072" spans="1:7" x14ac:dyDescent="0.25">
      <c r="A1072" s="41" t="s">
        <v>4166</v>
      </c>
      <c r="B1072" s="41" t="s">
        <v>4165</v>
      </c>
      <c r="C1072" s="41" t="s">
        <v>2928</v>
      </c>
      <c r="D1072" s="41" t="s">
        <v>4164</v>
      </c>
      <c r="E1072" s="41" t="s">
        <v>2929</v>
      </c>
      <c r="F1072" s="41" t="s">
        <v>2949</v>
      </c>
      <c r="G1072" s="41" t="s">
        <v>2950</v>
      </c>
    </row>
    <row r="1073" spans="1:7" x14ac:dyDescent="0.25">
      <c r="A1073" s="41" t="s">
        <v>4167</v>
      </c>
      <c r="B1073" s="41" t="s">
        <v>4168</v>
      </c>
      <c r="C1073" s="41" t="s">
        <v>77</v>
      </c>
      <c r="D1073" s="41" t="s">
        <v>4169</v>
      </c>
      <c r="E1073" s="41" t="s">
        <v>2984</v>
      </c>
      <c r="F1073" s="41" t="s">
        <v>2949</v>
      </c>
      <c r="G1073" s="41" t="s">
        <v>2950</v>
      </c>
    </row>
    <row r="1074" spans="1:7" x14ac:dyDescent="0.25">
      <c r="A1074" s="41" t="s">
        <v>4170</v>
      </c>
      <c r="B1074" s="41" t="s">
        <v>4168</v>
      </c>
      <c r="C1074" s="41" t="s">
        <v>77</v>
      </c>
      <c r="D1074" s="41" t="s">
        <v>4169</v>
      </c>
      <c r="E1074" s="41" t="s">
        <v>2929</v>
      </c>
      <c r="F1074" s="41" t="s">
        <v>2930</v>
      </c>
      <c r="G1074" s="41" t="s">
        <v>2931</v>
      </c>
    </row>
    <row r="1075" spans="1:7" x14ac:dyDescent="0.25">
      <c r="A1075" s="41" t="s">
        <v>4171</v>
      </c>
      <c r="B1075" s="41" t="s">
        <v>4168</v>
      </c>
      <c r="C1075" s="41" t="s">
        <v>77</v>
      </c>
      <c r="D1075" s="41" t="s">
        <v>4169</v>
      </c>
      <c r="E1075" s="41" t="s">
        <v>2929</v>
      </c>
      <c r="F1075" s="41" t="s">
        <v>2949</v>
      </c>
      <c r="G1075" s="41" t="s">
        <v>2950</v>
      </c>
    </row>
    <row r="1076" spans="1:7" x14ac:dyDescent="0.25">
      <c r="A1076" s="41" t="s">
        <v>4172</v>
      </c>
      <c r="B1076" s="41" t="s">
        <v>3402</v>
      </c>
      <c r="C1076" s="41" t="s">
        <v>95</v>
      </c>
      <c r="D1076" s="41" t="s">
        <v>3403</v>
      </c>
      <c r="E1076" s="41" t="s">
        <v>2929</v>
      </c>
      <c r="F1076" s="41" t="s">
        <v>2930</v>
      </c>
      <c r="G1076" s="41" t="s">
        <v>2931</v>
      </c>
    </row>
    <row r="1077" spans="1:7" x14ac:dyDescent="0.25">
      <c r="A1077" s="41" t="s">
        <v>4173</v>
      </c>
      <c r="B1077" s="41" t="s">
        <v>3402</v>
      </c>
      <c r="C1077" s="41" t="s">
        <v>95</v>
      </c>
      <c r="D1077" s="41" t="s">
        <v>3403</v>
      </c>
      <c r="E1077" s="41" t="s">
        <v>2929</v>
      </c>
      <c r="F1077" s="41" t="s">
        <v>2933</v>
      </c>
      <c r="G1077" s="41" t="s">
        <v>2934</v>
      </c>
    </row>
    <row r="1078" spans="1:7" x14ac:dyDescent="0.25">
      <c r="A1078" s="41" t="s">
        <v>4174</v>
      </c>
      <c r="B1078" s="41" t="s">
        <v>3402</v>
      </c>
      <c r="C1078" s="41" t="s">
        <v>95</v>
      </c>
      <c r="D1078" s="41" t="s">
        <v>3403</v>
      </c>
      <c r="E1078" s="41" t="s">
        <v>2929</v>
      </c>
      <c r="F1078" s="41" t="s">
        <v>2933</v>
      </c>
      <c r="G1078" s="41" t="s">
        <v>2934</v>
      </c>
    </row>
    <row r="1079" spans="1:7" x14ac:dyDescent="0.25">
      <c r="A1079" s="41" t="s">
        <v>4175</v>
      </c>
      <c r="B1079" s="41" t="s">
        <v>4176</v>
      </c>
      <c r="C1079" s="41" t="s">
        <v>74</v>
      </c>
      <c r="D1079" s="41" t="s">
        <v>4177</v>
      </c>
      <c r="E1079" s="41" t="s">
        <v>2984</v>
      </c>
      <c r="F1079" s="41" t="s">
        <v>2930</v>
      </c>
      <c r="G1079" s="41" t="s">
        <v>2931</v>
      </c>
    </row>
    <row r="1080" spans="1:7" x14ac:dyDescent="0.25">
      <c r="A1080" s="41" t="s">
        <v>4178</v>
      </c>
      <c r="B1080" s="41" t="s">
        <v>4179</v>
      </c>
      <c r="C1080" s="41" t="s">
        <v>74</v>
      </c>
      <c r="D1080" s="41" t="s">
        <v>4180</v>
      </c>
      <c r="E1080" s="41" t="s">
        <v>2984</v>
      </c>
      <c r="F1080" s="41" t="s">
        <v>2949</v>
      </c>
      <c r="G1080" s="41" t="s">
        <v>2950</v>
      </c>
    </row>
    <row r="1081" spans="1:7" x14ac:dyDescent="0.25">
      <c r="A1081" s="41" t="s">
        <v>4181</v>
      </c>
      <c r="B1081" s="41" t="s">
        <v>4179</v>
      </c>
      <c r="C1081" s="41" t="s">
        <v>74</v>
      </c>
      <c r="D1081" s="41" t="s">
        <v>4180</v>
      </c>
      <c r="E1081" s="41" t="s">
        <v>2929</v>
      </c>
      <c r="F1081" s="41" t="s">
        <v>2949</v>
      </c>
      <c r="G1081" s="41" t="s">
        <v>2950</v>
      </c>
    </row>
    <row r="1082" spans="1:7" x14ac:dyDescent="0.25">
      <c r="A1082" s="41" t="s">
        <v>4182</v>
      </c>
      <c r="B1082" s="41" t="s">
        <v>4179</v>
      </c>
      <c r="C1082" s="41" t="s">
        <v>74</v>
      </c>
      <c r="D1082" s="41" t="s">
        <v>4180</v>
      </c>
      <c r="E1082" s="41" t="s">
        <v>2929</v>
      </c>
      <c r="F1082" s="41" t="s">
        <v>2933</v>
      </c>
      <c r="G1082" s="41" t="s">
        <v>2934</v>
      </c>
    </row>
    <row r="1083" spans="1:7" x14ac:dyDescent="0.25">
      <c r="A1083" s="41" t="s">
        <v>4183</v>
      </c>
      <c r="B1083" s="41" t="s">
        <v>4179</v>
      </c>
      <c r="C1083" s="41" t="s">
        <v>74</v>
      </c>
      <c r="D1083" s="41" t="s">
        <v>4180</v>
      </c>
      <c r="E1083" s="41" t="s">
        <v>2984</v>
      </c>
      <c r="F1083" s="41" t="s">
        <v>2930</v>
      </c>
      <c r="G1083" s="41" t="s">
        <v>2931</v>
      </c>
    </row>
    <row r="1084" spans="1:7" x14ac:dyDescent="0.25">
      <c r="A1084" s="41" t="s">
        <v>4184</v>
      </c>
      <c r="B1084" s="41" t="s">
        <v>4179</v>
      </c>
      <c r="C1084" s="41" t="s">
        <v>74</v>
      </c>
      <c r="D1084" s="41" t="s">
        <v>4180</v>
      </c>
      <c r="E1084" s="41" t="s">
        <v>2929</v>
      </c>
      <c r="F1084" s="41" t="s">
        <v>2949</v>
      </c>
      <c r="G1084" s="41" t="s">
        <v>2950</v>
      </c>
    </row>
    <row r="1085" spans="1:7" x14ac:dyDescent="0.25">
      <c r="A1085" s="41" t="s">
        <v>4185</v>
      </c>
      <c r="B1085" s="41" t="s">
        <v>4186</v>
      </c>
      <c r="C1085" s="41" t="s">
        <v>74</v>
      </c>
      <c r="D1085" s="41" t="s">
        <v>4187</v>
      </c>
      <c r="E1085" s="41" t="s">
        <v>2984</v>
      </c>
      <c r="F1085" s="41" t="s">
        <v>2930</v>
      </c>
      <c r="G1085" s="41" t="s">
        <v>2931</v>
      </c>
    </row>
    <row r="1086" spans="1:7" x14ac:dyDescent="0.25">
      <c r="A1086" s="41" t="s">
        <v>4188</v>
      </c>
      <c r="B1086" s="41" t="s">
        <v>4179</v>
      </c>
      <c r="C1086" s="41" t="s">
        <v>74</v>
      </c>
      <c r="D1086" s="41" t="s">
        <v>4180</v>
      </c>
      <c r="E1086" s="41" t="s">
        <v>2929</v>
      </c>
      <c r="F1086" s="41" t="s">
        <v>2930</v>
      </c>
      <c r="G1086" s="41" t="s">
        <v>2931</v>
      </c>
    </row>
    <row r="1087" spans="1:7" x14ac:dyDescent="0.25">
      <c r="A1087" s="41" t="s">
        <v>4189</v>
      </c>
      <c r="B1087" s="41" t="s">
        <v>4186</v>
      </c>
      <c r="C1087" s="41" t="s">
        <v>74</v>
      </c>
      <c r="D1087" s="41" t="s">
        <v>4187</v>
      </c>
      <c r="E1087" s="41" t="s">
        <v>2929</v>
      </c>
      <c r="F1087" s="41" t="s">
        <v>2949</v>
      </c>
      <c r="G1087" s="41" t="s">
        <v>2950</v>
      </c>
    </row>
    <row r="1088" spans="1:7" x14ac:dyDescent="0.25">
      <c r="A1088" s="41" t="s">
        <v>4190</v>
      </c>
      <c r="B1088" s="41" t="s">
        <v>4179</v>
      </c>
      <c r="C1088" s="41" t="s">
        <v>74</v>
      </c>
      <c r="D1088" s="41" t="s">
        <v>4180</v>
      </c>
      <c r="E1088" s="41" t="s">
        <v>2929</v>
      </c>
      <c r="F1088" s="41" t="s">
        <v>2949</v>
      </c>
      <c r="G1088" s="41" t="s">
        <v>2950</v>
      </c>
    </row>
    <row r="1089" spans="1:7" x14ac:dyDescent="0.25">
      <c r="A1089" s="41" t="s">
        <v>4191</v>
      </c>
      <c r="B1089" s="41" t="s">
        <v>4186</v>
      </c>
      <c r="C1089" s="41" t="s">
        <v>74</v>
      </c>
      <c r="D1089" s="41" t="s">
        <v>4187</v>
      </c>
      <c r="E1089" s="41" t="s">
        <v>2929</v>
      </c>
      <c r="F1089" s="41" t="s">
        <v>2933</v>
      </c>
      <c r="G1089" s="41" t="s">
        <v>2934</v>
      </c>
    </row>
    <row r="1090" spans="1:7" x14ac:dyDescent="0.25">
      <c r="A1090" s="41" t="s">
        <v>4192</v>
      </c>
      <c r="B1090" s="41" t="s">
        <v>3399</v>
      </c>
      <c r="C1090" s="41" t="s">
        <v>1247</v>
      </c>
      <c r="D1090" s="41" t="s">
        <v>3400</v>
      </c>
      <c r="E1090" s="41" t="s">
        <v>2984</v>
      </c>
      <c r="F1090" s="41" t="s">
        <v>2930</v>
      </c>
      <c r="G1090" s="41" t="s">
        <v>2931</v>
      </c>
    </row>
    <row r="1091" spans="1:7" x14ac:dyDescent="0.25">
      <c r="A1091" s="41" t="s">
        <v>4193</v>
      </c>
      <c r="B1091" s="41" t="s">
        <v>4194</v>
      </c>
      <c r="C1091" s="41" t="s">
        <v>77</v>
      </c>
      <c r="D1091" s="41" t="s">
        <v>4195</v>
      </c>
      <c r="E1091" s="41" t="s">
        <v>2929</v>
      </c>
      <c r="F1091" s="41" t="s">
        <v>2930</v>
      </c>
      <c r="G1091" s="41" t="s">
        <v>2931</v>
      </c>
    </row>
    <row r="1092" spans="1:7" x14ac:dyDescent="0.25">
      <c r="A1092" s="41" t="s">
        <v>4196</v>
      </c>
      <c r="B1092" s="41" t="s">
        <v>4186</v>
      </c>
      <c r="C1092" s="41" t="s">
        <v>74</v>
      </c>
      <c r="D1092" s="41" t="s">
        <v>4187</v>
      </c>
      <c r="E1092" s="41" t="s">
        <v>2929</v>
      </c>
      <c r="F1092" s="41" t="s">
        <v>2933</v>
      </c>
      <c r="G1092" s="41" t="s">
        <v>2934</v>
      </c>
    </row>
    <row r="1093" spans="1:7" x14ac:dyDescent="0.25">
      <c r="A1093" s="41" t="s">
        <v>4197</v>
      </c>
      <c r="B1093" s="41" t="s">
        <v>4186</v>
      </c>
      <c r="C1093" s="41" t="s">
        <v>74</v>
      </c>
      <c r="D1093" s="41" t="s">
        <v>4187</v>
      </c>
      <c r="E1093" s="41" t="s">
        <v>2929</v>
      </c>
      <c r="F1093" s="41" t="s">
        <v>2933</v>
      </c>
      <c r="G1093" s="41" t="s">
        <v>2934</v>
      </c>
    </row>
    <row r="1094" spans="1:7" x14ac:dyDescent="0.25">
      <c r="A1094" s="41" t="s">
        <v>4198</v>
      </c>
      <c r="B1094" s="41" t="s">
        <v>4186</v>
      </c>
      <c r="C1094" s="41" t="s">
        <v>74</v>
      </c>
      <c r="D1094" s="41" t="s">
        <v>4187</v>
      </c>
      <c r="E1094" s="41" t="s">
        <v>2984</v>
      </c>
      <c r="F1094" s="41" t="s">
        <v>2930</v>
      </c>
      <c r="G1094" s="41" t="s">
        <v>2931</v>
      </c>
    </row>
    <row r="1095" spans="1:7" x14ac:dyDescent="0.25">
      <c r="A1095" s="41" t="s">
        <v>4199</v>
      </c>
      <c r="B1095" s="41" t="s">
        <v>4200</v>
      </c>
      <c r="C1095" s="41" t="s">
        <v>1239</v>
      </c>
      <c r="D1095" s="41" t="s">
        <v>4201</v>
      </c>
      <c r="E1095" s="41" t="s">
        <v>2929</v>
      </c>
      <c r="F1095" s="41" t="s">
        <v>2933</v>
      </c>
      <c r="G1095" s="41" t="s">
        <v>2934</v>
      </c>
    </row>
    <row r="1096" spans="1:7" x14ac:dyDescent="0.25">
      <c r="A1096" s="41" t="s">
        <v>4202</v>
      </c>
      <c r="B1096" s="41" t="s">
        <v>4203</v>
      </c>
      <c r="C1096" s="41" t="s">
        <v>78</v>
      </c>
      <c r="D1096" s="41" t="s">
        <v>4204</v>
      </c>
      <c r="E1096" s="41" t="s">
        <v>2929</v>
      </c>
      <c r="F1096" s="41" t="s">
        <v>2930</v>
      </c>
      <c r="G1096" s="41" t="s">
        <v>2931</v>
      </c>
    </row>
    <row r="1097" spans="1:7" x14ac:dyDescent="0.25">
      <c r="A1097" s="41" t="s">
        <v>4205</v>
      </c>
      <c r="B1097" s="41" t="s">
        <v>4206</v>
      </c>
      <c r="C1097" s="41" t="s">
        <v>3097</v>
      </c>
      <c r="D1097" s="41" t="s">
        <v>4207</v>
      </c>
      <c r="E1097" s="41" t="s">
        <v>2929</v>
      </c>
      <c r="F1097" s="41" t="s">
        <v>2949</v>
      </c>
      <c r="G1097" s="41" t="s">
        <v>2950</v>
      </c>
    </row>
    <row r="1098" spans="1:7" x14ac:dyDescent="0.25">
      <c r="A1098" s="41" t="s">
        <v>4208</v>
      </c>
      <c r="B1098" s="41" t="s">
        <v>4206</v>
      </c>
      <c r="C1098" s="41" t="s">
        <v>3097</v>
      </c>
      <c r="D1098" s="41" t="s">
        <v>4207</v>
      </c>
      <c r="E1098" s="41" t="s">
        <v>2984</v>
      </c>
      <c r="F1098" s="41" t="s">
        <v>2930</v>
      </c>
      <c r="G1098" s="41" t="s">
        <v>2931</v>
      </c>
    </row>
    <row r="1099" spans="1:7" x14ac:dyDescent="0.25">
      <c r="A1099" s="41" t="s">
        <v>4209</v>
      </c>
      <c r="B1099" s="41" t="s">
        <v>3306</v>
      </c>
      <c r="C1099" s="41" t="s">
        <v>3097</v>
      </c>
      <c r="D1099" s="41" t="s">
        <v>3307</v>
      </c>
      <c r="E1099" s="41" t="s">
        <v>2929</v>
      </c>
      <c r="F1099" s="41" t="s">
        <v>2933</v>
      </c>
      <c r="G1099" s="41" t="s">
        <v>2934</v>
      </c>
    </row>
    <row r="1100" spans="1:7" x14ac:dyDescent="0.25">
      <c r="A1100" s="41" t="s">
        <v>4210</v>
      </c>
      <c r="B1100" s="41" t="s">
        <v>3306</v>
      </c>
      <c r="C1100" s="41" t="s">
        <v>3097</v>
      </c>
      <c r="D1100" s="41" t="s">
        <v>3307</v>
      </c>
      <c r="E1100" s="41" t="s">
        <v>2929</v>
      </c>
      <c r="F1100" s="41" t="s">
        <v>2949</v>
      </c>
      <c r="G1100" s="41" t="s">
        <v>2950</v>
      </c>
    </row>
    <row r="1101" spans="1:7" x14ac:dyDescent="0.25">
      <c r="A1101" s="41" t="s">
        <v>4211</v>
      </c>
      <c r="B1101" s="41" t="s">
        <v>3306</v>
      </c>
      <c r="C1101" s="41" t="s">
        <v>3097</v>
      </c>
      <c r="D1101" s="41" t="s">
        <v>3307</v>
      </c>
      <c r="E1101" s="41" t="s">
        <v>2929</v>
      </c>
      <c r="F1101" s="41" t="s">
        <v>2933</v>
      </c>
      <c r="G1101" s="41" t="s">
        <v>2934</v>
      </c>
    </row>
    <row r="1102" spans="1:7" x14ac:dyDescent="0.25">
      <c r="A1102" s="41" t="s">
        <v>4212</v>
      </c>
      <c r="B1102" s="41" t="s">
        <v>4203</v>
      </c>
      <c r="C1102" s="41" t="s">
        <v>78</v>
      </c>
      <c r="D1102" s="41" t="s">
        <v>4204</v>
      </c>
      <c r="E1102" s="41" t="s">
        <v>2929</v>
      </c>
      <c r="F1102" s="41" t="s">
        <v>2949</v>
      </c>
      <c r="G1102" s="41" t="s">
        <v>2950</v>
      </c>
    </row>
    <row r="1103" spans="1:7" x14ac:dyDescent="0.25">
      <c r="A1103" s="41" t="s">
        <v>4213</v>
      </c>
      <c r="B1103" s="41" t="s">
        <v>4203</v>
      </c>
      <c r="C1103" s="41" t="s">
        <v>78</v>
      </c>
      <c r="D1103" s="41" t="s">
        <v>4204</v>
      </c>
      <c r="E1103" s="41" t="s">
        <v>2929</v>
      </c>
      <c r="F1103" s="41" t="s">
        <v>2933</v>
      </c>
      <c r="G1103" s="41" t="s">
        <v>2934</v>
      </c>
    </row>
    <row r="1104" spans="1:7" x14ac:dyDescent="0.25">
      <c r="A1104" s="41" t="s">
        <v>4214</v>
      </c>
      <c r="B1104" s="41" t="s">
        <v>4203</v>
      </c>
      <c r="C1104" s="41" t="s">
        <v>78</v>
      </c>
      <c r="D1104" s="41" t="s">
        <v>4204</v>
      </c>
      <c r="E1104" s="41" t="s">
        <v>2984</v>
      </c>
      <c r="F1104" s="41" t="s">
        <v>2930</v>
      </c>
      <c r="G1104" s="41" t="s">
        <v>2931</v>
      </c>
    </row>
    <row r="1105" spans="1:7" x14ac:dyDescent="0.25">
      <c r="A1105" s="41" t="s">
        <v>4215</v>
      </c>
      <c r="B1105" s="41" t="s">
        <v>4203</v>
      </c>
      <c r="C1105" s="41" t="s">
        <v>78</v>
      </c>
      <c r="D1105" s="41" t="s">
        <v>4204</v>
      </c>
      <c r="E1105" s="41" t="s">
        <v>3009</v>
      </c>
      <c r="F1105" s="41" t="s">
        <v>2933</v>
      </c>
      <c r="G1105" s="41" t="s">
        <v>2934</v>
      </c>
    </row>
    <row r="1106" spans="1:7" x14ac:dyDescent="0.25">
      <c r="A1106" s="41" t="s">
        <v>4216</v>
      </c>
      <c r="B1106" s="41" t="s">
        <v>4203</v>
      </c>
      <c r="C1106" s="41" t="s">
        <v>78</v>
      </c>
      <c r="D1106" s="41" t="s">
        <v>4204</v>
      </c>
      <c r="E1106" s="41" t="s">
        <v>2929</v>
      </c>
      <c r="F1106" s="41" t="s">
        <v>2949</v>
      </c>
      <c r="G1106" s="41" t="s">
        <v>2950</v>
      </c>
    </row>
    <row r="1107" spans="1:7" x14ac:dyDescent="0.25">
      <c r="A1107" s="41" t="s">
        <v>4217</v>
      </c>
      <c r="B1107" s="41" t="s">
        <v>1155</v>
      </c>
      <c r="C1107" s="41" t="s">
        <v>2928</v>
      </c>
      <c r="D1107" s="41" t="s">
        <v>4217</v>
      </c>
      <c r="E1107" s="41" t="s">
        <v>2929</v>
      </c>
      <c r="F1107" s="41" t="s">
        <v>2930</v>
      </c>
      <c r="G1107" s="41" t="s">
        <v>2931</v>
      </c>
    </row>
    <row r="1108" spans="1:7" x14ac:dyDescent="0.25">
      <c r="A1108" s="41" t="s">
        <v>4218</v>
      </c>
      <c r="B1108" s="41" t="s">
        <v>1155</v>
      </c>
      <c r="C1108" s="41" t="s">
        <v>2928</v>
      </c>
      <c r="D1108" s="41" t="s">
        <v>4217</v>
      </c>
      <c r="E1108" s="41" t="s">
        <v>2929</v>
      </c>
      <c r="F1108" s="41" t="s">
        <v>2933</v>
      </c>
      <c r="G1108" s="41" t="s">
        <v>2934</v>
      </c>
    </row>
    <row r="1109" spans="1:7" x14ac:dyDescent="0.25">
      <c r="A1109" s="41" t="s">
        <v>4219</v>
      </c>
      <c r="B1109" s="41" t="s">
        <v>1155</v>
      </c>
      <c r="C1109" s="41" t="s">
        <v>2928</v>
      </c>
      <c r="D1109" s="41" t="s">
        <v>4217</v>
      </c>
      <c r="E1109" s="41" t="s">
        <v>2929</v>
      </c>
      <c r="F1109" s="41" t="s">
        <v>2949</v>
      </c>
      <c r="G1109" s="41" t="s">
        <v>2950</v>
      </c>
    </row>
    <row r="1110" spans="1:7" x14ac:dyDescent="0.25">
      <c r="A1110" s="41" t="s">
        <v>4220</v>
      </c>
      <c r="B1110" s="41" t="s">
        <v>4221</v>
      </c>
      <c r="C1110" s="41" t="s">
        <v>2928</v>
      </c>
      <c r="D1110" s="41" t="s">
        <v>4220</v>
      </c>
      <c r="E1110" s="41" t="s">
        <v>2929</v>
      </c>
      <c r="F1110" s="41" t="s">
        <v>2930</v>
      </c>
      <c r="G1110" s="41" t="s">
        <v>2931</v>
      </c>
    </row>
    <row r="1111" spans="1:7" x14ac:dyDescent="0.25">
      <c r="A1111" s="41" t="s">
        <v>4222</v>
      </c>
      <c r="B1111" s="41" t="s">
        <v>4221</v>
      </c>
      <c r="C1111" s="41" t="s">
        <v>2928</v>
      </c>
      <c r="D1111" s="41" t="s">
        <v>4220</v>
      </c>
      <c r="E1111" s="41" t="s">
        <v>2929</v>
      </c>
      <c r="F1111" s="41" t="s">
        <v>2949</v>
      </c>
      <c r="G1111" s="41" t="s">
        <v>2950</v>
      </c>
    </row>
    <row r="1112" spans="1:7" x14ac:dyDescent="0.25">
      <c r="A1112" s="41" t="s">
        <v>4223</v>
      </c>
      <c r="B1112" s="41" t="s">
        <v>4224</v>
      </c>
      <c r="C1112" s="41" t="s">
        <v>2928</v>
      </c>
      <c r="D1112" s="41" t="s">
        <v>4223</v>
      </c>
      <c r="E1112" s="41" t="s">
        <v>2929</v>
      </c>
      <c r="F1112" s="41" t="s">
        <v>2930</v>
      </c>
      <c r="G1112" s="41" t="s">
        <v>2931</v>
      </c>
    </row>
    <row r="1113" spans="1:7" x14ac:dyDescent="0.25">
      <c r="A1113" s="41" t="s">
        <v>4225</v>
      </c>
      <c r="B1113" s="41" t="s">
        <v>4224</v>
      </c>
      <c r="C1113" s="41" t="s">
        <v>2928</v>
      </c>
      <c r="D1113" s="41" t="s">
        <v>4223</v>
      </c>
      <c r="E1113" s="41" t="s">
        <v>2929</v>
      </c>
      <c r="F1113" s="41" t="s">
        <v>2933</v>
      </c>
      <c r="G1113" s="41" t="s">
        <v>2934</v>
      </c>
    </row>
    <row r="1114" spans="1:7" x14ac:dyDescent="0.25">
      <c r="A1114" s="41" t="s">
        <v>4226</v>
      </c>
      <c r="B1114" s="41" t="s">
        <v>4224</v>
      </c>
      <c r="C1114" s="41" t="s">
        <v>2928</v>
      </c>
      <c r="D1114" s="41" t="s">
        <v>4223</v>
      </c>
      <c r="E1114" s="41" t="s">
        <v>2929</v>
      </c>
      <c r="F1114" s="41" t="s">
        <v>2933</v>
      </c>
      <c r="G1114" s="41" t="s">
        <v>2934</v>
      </c>
    </row>
    <row r="1115" spans="1:7" x14ac:dyDescent="0.25">
      <c r="A1115" s="41" t="s">
        <v>4227</v>
      </c>
      <c r="B1115" s="41" t="s">
        <v>4224</v>
      </c>
      <c r="C1115" s="41" t="s">
        <v>2928</v>
      </c>
      <c r="D1115" s="41" t="s">
        <v>4223</v>
      </c>
      <c r="E1115" s="41" t="s">
        <v>2929</v>
      </c>
      <c r="F1115" s="41" t="s">
        <v>2933</v>
      </c>
      <c r="G1115" s="41" t="s">
        <v>2934</v>
      </c>
    </row>
    <row r="1116" spans="1:7" x14ac:dyDescent="0.25">
      <c r="A1116" s="41" t="s">
        <v>4228</v>
      </c>
      <c r="B1116" s="41" t="s">
        <v>4224</v>
      </c>
      <c r="C1116" s="41" t="s">
        <v>2928</v>
      </c>
      <c r="D1116" s="41" t="s">
        <v>4223</v>
      </c>
      <c r="E1116" s="41" t="s">
        <v>2929</v>
      </c>
      <c r="F1116" s="41" t="s">
        <v>2933</v>
      </c>
      <c r="G1116" s="41" t="s">
        <v>2934</v>
      </c>
    </row>
    <row r="1117" spans="1:7" x14ac:dyDescent="0.25">
      <c r="A1117" s="41" t="s">
        <v>4229</v>
      </c>
      <c r="B1117" s="41" t="s">
        <v>4224</v>
      </c>
      <c r="C1117" s="41" t="s">
        <v>2928</v>
      </c>
      <c r="D1117" s="41" t="s">
        <v>4223</v>
      </c>
      <c r="E1117" s="41" t="s">
        <v>2929</v>
      </c>
      <c r="F1117" s="41" t="s">
        <v>2933</v>
      </c>
      <c r="G1117" s="41" t="s">
        <v>2934</v>
      </c>
    </row>
    <row r="1118" spans="1:7" x14ac:dyDescent="0.25">
      <c r="A1118" s="41" t="s">
        <v>4230</v>
      </c>
      <c r="B1118" s="41" t="s">
        <v>4224</v>
      </c>
      <c r="C1118" s="41" t="s">
        <v>2928</v>
      </c>
      <c r="D1118" s="41" t="s">
        <v>4223</v>
      </c>
      <c r="E1118" s="41" t="s">
        <v>2929</v>
      </c>
      <c r="F1118" s="41" t="s">
        <v>2933</v>
      </c>
      <c r="G1118" s="41" t="s">
        <v>2934</v>
      </c>
    </row>
    <row r="1119" spans="1:7" x14ac:dyDescent="0.25">
      <c r="A1119" s="41" t="s">
        <v>4231</v>
      </c>
      <c r="B1119" s="41" t="s">
        <v>4224</v>
      </c>
      <c r="C1119" s="41" t="s">
        <v>2928</v>
      </c>
      <c r="D1119" s="41" t="s">
        <v>4223</v>
      </c>
      <c r="E1119" s="41" t="s">
        <v>2929</v>
      </c>
      <c r="F1119" s="41" t="s">
        <v>2933</v>
      </c>
      <c r="G1119" s="41" t="s">
        <v>2934</v>
      </c>
    </row>
    <row r="1120" spans="1:7" x14ac:dyDescent="0.25">
      <c r="A1120" s="41" t="s">
        <v>4232</v>
      </c>
      <c r="B1120" s="41" t="s">
        <v>4224</v>
      </c>
      <c r="C1120" s="41" t="s">
        <v>2928</v>
      </c>
      <c r="D1120" s="41" t="s">
        <v>4223</v>
      </c>
      <c r="E1120" s="41" t="s">
        <v>2929</v>
      </c>
      <c r="F1120" s="41" t="s">
        <v>2930</v>
      </c>
      <c r="G1120" s="41" t="s">
        <v>2931</v>
      </c>
    </row>
    <row r="1121" spans="1:7" x14ac:dyDescent="0.25">
      <c r="A1121" s="41" t="s">
        <v>4233</v>
      </c>
      <c r="B1121" s="41" t="s">
        <v>4224</v>
      </c>
      <c r="C1121" s="41" t="s">
        <v>2928</v>
      </c>
      <c r="D1121" s="41" t="s">
        <v>4223</v>
      </c>
      <c r="E1121" s="41" t="s">
        <v>2929</v>
      </c>
      <c r="F1121" s="41" t="s">
        <v>2930</v>
      </c>
      <c r="G1121" s="41" t="s">
        <v>2931</v>
      </c>
    </row>
    <row r="1122" spans="1:7" x14ac:dyDescent="0.25">
      <c r="A1122" s="41" t="s">
        <v>4234</v>
      </c>
      <c r="B1122" s="41" t="s">
        <v>4224</v>
      </c>
      <c r="C1122" s="41" t="s">
        <v>2928</v>
      </c>
      <c r="D1122" s="41" t="s">
        <v>4223</v>
      </c>
      <c r="E1122" s="41" t="s">
        <v>2929</v>
      </c>
      <c r="F1122" s="41" t="s">
        <v>2930</v>
      </c>
      <c r="G1122" s="41" t="s">
        <v>2931</v>
      </c>
    </row>
    <row r="1123" spans="1:7" x14ac:dyDescent="0.25">
      <c r="A1123" s="41" t="s">
        <v>4235</v>
      </c>
      <c r="B1123" s="41" t="s">
        <v>4224</v>
      </c>
      <c r="C1123" s="41" t="s">
        <v>2928</v>
      </c>
      <c r="D1123" s="41" t="s">
        <v>4223</v>
      </c>
      <c r="E1123" s="41" t="s">
        <v>2929</v>
      </c>
      <c r="F1123" s="41" t="s">
        <v>2930</v>
      </c>
      <c r="G1123" s="41" t="s">
        <v>2931</v>
      </c>
    </row>
    <row r="1124" spans="1:7" x14ac:dyDescent="0.25">
      <c r="A1124" s="41" t="s">
        <v>4236</v>
      </c>
      <c r="B1124" s="41" t="s">
        <v>4224</v>
      </c>
      <c r="C1124" s="41" t="s">
        <v>2928</v>
      </c>
      <c r="D1124" s="41" t="s">
        <v>4223</v>
      </c>
      <c r="E1124" s="41" t="s">
        <v>2929</v>
      </c>
      <c r="F1124" s="41" t="s">
        <v>2930</v>
      </c>
      <c r="G1124" s="41" t="s">
        <v>2931</v>
      </c>
    </row>
    <row r="1125" spans="1:7" x14ac:dyDescent="0.25">
      <c r="A1125" s="41" t="s">
        <v>4237</v>
      </c>
      <c r="B1125" s="41" t="s">
        <v>4224</v>
      </c>
      <c r="C1125" s="41" t="s">
        <v>2928</v>
      </c>
      <c r="D1125" s="41" t="s">
        <v>4223</v>
      </c>
      <c r="E1125" s="41" t="s">
        <v>2929</v>
      </c>
      <c r="F1125" s="41" t="s">
        <v>2930</v>
      </c>
      <c r="G1125" s="41" t="s">
        <v>2931</v>
      </c>
    </row>
    <row r="1126" spans="1:7" x14ac:dyDescent="0.25">
      <c r="A1126" s="41" t="s">
        <v>4238</v>
      </c>
      <c r="B1126" s="41" t="s">
        <v>4224</v>
      </c>
      <c r="C1126" s="41" t="s">
        <v>2928</v>
      </c>
      <c r="D1126" s="41" t="s">
        <v>4223</v>
      </c>
      <c r="E1126" s="41" t="s">
        <v>2929</v>
      </c>
      <c r="F1126" s="41" t="s">
        <v>2930</v>
      </c>
      <c r="G1126" s="41" t="s">
        <v>2931</v>
      </c>
    </row>
    <row r="1127" spans="1:7" x14ac:dyDescent="0.25">
      <c r="A1127" s="41" t="s">
        <v>4239</v>
      </c>
      <c r="B1127" s="41" t="s">
        <v>4224</v>
      </c>
      <c r="C1127" s="41" t="s">
        <v>2928</v>
      </c>
      <c r="D1127" s="41" t="s">
        <v>4223</v>
      </c>
      <c r="E1127" s="41" t="s">
        <v>2929</v>
      </c>
      <c r="F1127" s="41" t="s">
        <v>2949</v>
      </c>
      <c r="G1127" s="41" t="s">
        <v>2950</v>
      </c>
    </row>
    <row r="1128" spans="1:7" x14ac:dyDescent="0.25">
      <c r="A1128" s="41" t="s">
        <v>4240</v>
      </c>
      <c r="B1128" s="41" t="s">
        <v>4224</v>
      </c>
      <c r="C1128" s="41" t="s">
        <v>2928</v>
      </c>
      <c r="D1128" s="41" t="s">
        <v>4223</v>
      </c>
      <c r="E1128" s="41" t="s">
        <v>2929</v>
      </c>
      <c r="F1128" s="41" t="s">
        <v>2949</v>
      </c>
      <c r="G1128" s="41" t="s">
        <v>2950</v>
      </c>
    </row>
    <row r="1129" spans="1:7" x14ac:dyDescent="0.25">
      <c r="A1129" s="41" t="s">
        <v>4241</v>
      </c>
      <c r="B1129" s="41" t="s">
        <v>4224</v>
      </c>
      <c r="C1129" s="41" t="s">
        <v>2928</v>
      </c>
      <c r="D1129" s="41" t="s">
        <v>4223</v>
      </c>
      <c r="E1129" s="41" t="s">
        <v>2929</v>
      </c>
      <c r="F1129" s="41" t="s">
        <v>2949</v>
      </c>
      <c r="G1129" s="41" t="s">
        <v>2950</v>
      </c>
    </row>
    <row r="1130" spans="1:7" x14ac:dyDescent="0.25">
      <c r="A1130" s="41" t="s">
        <v>4242</v>
      </c>
      <c r="B1130" s="41" t="s">
        <v>4224</v>
      </c>
      <c r="C1130" s="41" t="s">
        <v>2928</v>
      </c>
      <c r="D1130" s="41" t="s">
        <v>4223</v>
      </c>
      <c r="E1130" s="41" t="s">
        <v>2929</v>
      </c>
      <c r="F1130" s="41" t="s">
        <v>2949</v>
      </c>
      <c r="G1130" s="41" t="s">
        <v>2950</v>
      </c>
    </row>
    <row r="1131" spans="1:7" x14ac:dyDescent="0.25">
      <c r="A1131" s="41" t="s">
        <v>4243</v>
      </c>
      <c r="B1131" s="41" t="s">
        <v>4224</v>
      </c>
      <c r="C1131" s="41" t="s">
        <v>2928</v>
      </c>
      <c r="D1131" s="41" t="s">
        <v>4223</v>
      </c>
      <c r="E1131" s="41" t="s">
        <v>2929</v>
      </c>
      <c r="F1131" s="41" t="s">
        <v>2949</v>
      </c>
      <c r="G1131" s="41" t="s">
        <v>2950</v>
      </c>
    </row>
    <row r="1132" spans="1:7" x14ac:dyDescent="0.25">
      <c r="A1132" s="41" t="s">
        <v>4244</v>
      </c>
      <c r="B1132" s="41" t="s">
        <v>4224</v>
      </c>
      <c r="C1132" s="41" t="s">
        <v>2928</v>
      </c>
      <c r="D1132" s="41" t="s">
        <v>4223</v>
      </c>
      <c r="E1132" s="41" t="s">
        <v>2929</v>
      </c>
      <c r="F1132" s="41" t="s">
        <v>2949</v>
      </c>
      <c r="G1132" s="41" t="s">
        <v>2950</v>
      </c>
    </row>
    <row r="1133" spans="1:7" x14ac:dyDescent="0.25">
      <c r="A1133" s="41" t="s">
        <v>4245</v>
      </c>
      <c r="B1133" s="41" t="s">
        <v>4224</v>
      </c>
      <c r="C1133" s="41" t="s">
        <v>2928</v>
      </c>
      <c r="D1133" s="41" t="s">
        <v>4223</v>
      </c>
      <c r="E1133" s="41" t="s">
        <v>2929</v>
      </c>
      <c r="F1133" s="41" t="s">
        <v>2949</v>
      </c>
      <c r="G1133" s="41" t="s">
        <v>2950</v>
      </c>
    </row>
    <row r="1134" spans="1:7" x14ac:dyDescent="0.25">
      <c r="A1134" s="41" t="s">
        <v>4246</v>
      </c>
      <c r="B1134" s="41" t="s">
        <v>1052</v>
      </c>
      <c r="C1134" s="41" t="s">
        <v>2928</v>
      </c>
      <c r="D1134" s="41" t="s">
        <v>4246</v>
      </c>
      <c r="E1134" s="41" t="s">
        <v>2929</v>
      </c>
      <c r="F1134" s="41" t="s">
        <v>2930</v>
      </c>
      <c r="G1134" s="41" t="s">
        <v>2931</v>
      </c>
    </row>
    <row r="1135" spans="1:7" x14ac:dyDescent="0.25">
      <c r="A1135" s="41" t="s">
        <v>4247</v>
      </c>
      <c r="B1135" s="41" t="s">
        <v>1052</v>
      </c>
      <c r="C1135" s="41" t="s">
        <v>2928</v>
      </c>
      <c r="D1135" s="41" t="s">
        <v>4246</v>
      </c>
      <c r="E1135" s="41" t="s">
        <v>2929</v>
      </c>
      <c r="F1135" s="41" t="s">
        <v>2933</v>
      </c>
      <c r="G1135" s="41" t="s">
        <v>2934</v>
      </c>
    </row>
    <row r="1136" spans="1:7" x14ac:dyDescent="0.25">
      <c r="A1136" s="41" t="s">
        <v>4248</v>
      </c>
      <c r="B1136" s="41" t="s">
        <v>1052</v>
      </c>
      <c r="C1136" s="41" t="s">
        <v>2928</v>
      </c>
      <c r="D1136" s="41" t="s">
        <v>4246</v>
      </c>
      <c r="E1136" s="41" t="s">
        <v>2929</v>
      </c>
      <c r="F1136" s="41" t="s">
        <v>2930</v>
      </c>
      <c r="G1136" s="41" t="s">
        <v>2931</v>
      </c>
    </row>
    <row r="1137" spans="1:7" x14ac:dyDescent="0.25">
      <c r="A1137" s="41" t="s">
        <v>4249</v>
      </c>
      <c r="B1137" s="41" t="s">
        <v>1052</v>
      </c>
      <c r="C1137" s="41" t="s">
        <v>2928</v>
      </c>
      <c r="D1137" s="41" t="s">
        <v>4246</v>
      </c>
      <c r="E1137" s="41" t="s">
        <v>2929</v>
      </c>
      <c r="F1137" s="41" t="s">
        <v>2949</v>
      </c>
      <c r="G1137" s="41" t="s">
        <v>2950</v>
      </c>
    </row>
    <row r="1138" spans="1:7" x14ac:dyDescent="0.25">
      <c r="A1138" s="41" t="s">
        <v>4250</v>
      </c>
      <c r="B1138" s="41" t="s">
        <v>4251</v>
      </c>
      <c r="C1138" s="41" t="s">
        <v>77</v>
      </c>
      <c r="D1138" s="41" t="s">
        <v>4252</v>
      </c>
      <c r="E1138" s="41" t="s">
        <v>2984</v>
      </c>
      <c r="F1138" s="41" t="s">
        <v>2949</v>
      </c>
      <c r="G1138" s="41" t="s">
        <v>2931</v>
      </c>
    </row>
    <row r="1139" spans="1:7" x14ac:dyDescent="0.25">
      <c r="A1139" s="41" t="s">
        <v>4253</v>
      </c>
      <c r="B1139" s="41" t="s">
        <v>4251</v>
      </c>
      <c r="C1139" s="41" t="s">
        <v>77</v>
      </c>
      <c r="D1139" s="41" t="s">
        <v>4252</v>
      </c>
      <c r="E1139" s="41" t="s">
        <v>2929</v>
      </c>
      <c r="F1139" s="41" t="s">
        <v>2949</v>
      </c>
      <c r="G1139" s="41" t="s">
        <v>2950</v>
      </c>
    </row>
    <row r="1140" spans="1:7" x14ac:dyDescent="0.25">
      <c r="A1140" s="41" t="s">
        <v>4254</v>
      </c>
      <c r="B1140" s="41" t="s">
        <v>4255</v>
      </c>
      <c r="C1140" s="41" t="s">
        <v>2928</v>
      </c>
      <c r="D1140" s="41" t="s">
        <v>4254</v>
      </c>
      <c r="E1140" s="41" t="s">
        <v>2929</v>
      </c>
      <c r="F1140" s="41" t="s">
        <v>2930</v>
      </c>
      <c r="G1140" s="41" t="s">
        <v>2931</v>
      </c>
    </row>
    <row r="1141" spans="1:7" x14ac:dyDescent="0.25">
      <c r="A1141" s="41" t="s">
        <v>4256</v>
      </c>
      <c r="B1141" s="41" t="s">
        <v>4255</v>
      </c>
      <c r="C1141" s="41" t="s">
        <v>2928</v>
      </c>
      <c r="D1141" s="41" t="s">
        <v>4254</v>
      </c>
      <c r="E1141" s="41" t="s">
        <v>2929</v>
      </c>
      <c r="F1141" s="41" t="s">
        <v>2933</v>
      </c>
      <c r="G1141" s="41" t="s">
        <v>2934</v>
      </c>
    </row>
    <row r="1142" spans="1:7" x14ac:dyDescent="0.25">
      <c r="A1142" s="41" t="s">
        <v>4257</v>
      </c>
      <c r="B1142" s="41" t="s">
        <v>4255</v>
      </c>
      <c r="C1142" s="41" t="s">
        <v>2928</v>
      </c>
      <c r="D1142" s="41" t="s">
        <v>4254</v>
      </c>
      <c r="E1142" s="41" t="s">
        <v>2929</v>
      </c>
      <c r="F1142" s="41" t="s">
        <v>2933</v>
      </c>
      <c r="G1142" s="41" t="s">
        <v>2934</v>
      </c>
    </row>
    <row r="1143" spans="1:7" x14ac:dyDescent="0.25">
      <c r="A1143" s="41" t="s">
        <v>4258</v>
      </c>
      <c r="B1143" s="41" t="s">
        <v>4255</v>
      </c>
      <c r="C1143" s="41" t="s">
        <v>2928</v>
      </c>
      <c r="D1143" s="41" t="s">
        <v>4254</v>
      </c>
      <c r="E1143" s="41" t="s">
        <v>2929</v>
      </c>
      <c r="F1143" s="41" t="s">
        <v>2933</v>
      </c>
      <c r="G1143" s="41" t="s">
        <v>2934</v>
      </c>
    </row>
    <row r="1144" spans="1:7" x14ac:dyDescent="0.25">
      <c r="A1144" s="41" t="s">
        <v>4259</v>
      </c>
      <c r="B1144" s="41" t="s">
        <v>4255</v>
      </c>
      <c r="C1144" s="41" t="s">
        <v>2928</v>
      </c>
      <c r="D1144" s="41" t="s">
        <v>4254</v>
      </c>
      <c r="E1144" s="41" t="s">
        <v>2929</v>
      </c>
      <c r="F1144" s="41" t="s">
        <v>2933</v>
      </c>
      <c r="G1144" s="41" t="s">
        <v>2934</v>
      </c>
    </row>
    <row r="1145" spans="1:7" x14ac:dyDescent="0.25">
      <c r="A1145" s="41" t="s">
        <v>4260</v>
      </c>
      <c r="B1145" s="41" t="s">
        <v>4255</v>
      </c>
      <c r="C1145" s="41" t="s">
        <v>2928</v>
      </c>
      <c r="D1145" s="41" t="s">
        <v>4254</v>
      </c>
      <c r="E1145" s="41" t="s">
        <v>2929</v>
      </c>
      <c r="F1145" s="41" t="s">
        <v>2933</v>
      </c>
      <c r="G1145" s="41" t="s">
        <v>2934</v>
      </c>
    </row>
    <row r="1146" spans="1:7" x14ac:dyDescent="0.25">
      <c r="A1146" s="41" t="s">
        <v>4261</v>
      </c>
      <c r="B1146" s="41" t="s">
        <v>4255</v>
      </c>
      <c r="C1146" s="41" t="s">
        <v>2928</v>
      </c>
      <c r="D1146" s="41" t="s">
        <v>4254</v>
      </c>
      <c r="E1146" s="41" t="s">
        <v>2929</v>
      </c>
      <c r="F1146" s="41" t="s">
        <v>2933</v>
      </c>
      <c r="G1146" s="41" t="s">
        <v>2934</v>
      </c>
    </row>
    <row r="1147" spans="1:7" x14ac:dyDescent="0.25">
      <c r="A1147" s="41" t="s">
        <v>4262</v>
      </c>
      <c r="B1147" s="41" t="s">
        <v>4255</v>
      </c>
      <c r="C1147" s="41" t="s">
        <v>2928</v>
      </c>
      <c r="D1147" s="41" t="s">
        <v>4254</v>
      </c>
      <c r="E1147" s="41" t="s">
        <v>2929</v>
      </c>
      <c r="F1147" s="41" t="s">
        <v>2933</v>
      </c>
      <c r="G1147" s="41" t="s">
        <v>2934</v>
      </c>
    </row>
    <row r="1148" spans="1:7" x14ac:dyDescent="0.25">
      <c r="A1148" s="41" t="s">
        <v>4263</v>
      </c>
      <c r="B1148" s="41" t="s">
        <v>4255</v>
      </c>
      <c r="C1148" s="41" t="s">
        <v>2928</v>
      </c>
      <c r="D1148" s="41" t="s">
        <v>4254</v>
      </c>
      <c r="E1148" s="41" t="s">
        <v>2929</v>
      </c>
      <c r="F1148" s="41" t="s">
        <v>2930</v>
      </c>
      <c r="G1148" s="41" t="s">
        <v>2931</v>
      </c>
    </row>
    <row r="1149" spans="1:7" x14ac:dyDescent="0.25">
      <c r="A1149" s="41" t="s">
        <v>4264</v>
      </c>
      <c r="B1149" s="41" t="s">
        <v>4255</v>
      </c>
      <c r="C1149" s="41" t="s">
        <v>2928</v>
      </c>
      <c r="D1149" s="41" t="s">
        <v>4254</v>
      </c>
      <c r="E1149" s="41" t="s">
        <v>2929</v>
      </c>
      <c r="F1149" s="41" t="s">
        <v>2930</v>
      </c>
      <c r="G1149" s="41" t="s">
        <v>2931</v>
      </c>
    </row>
    <row r="1150" spans="1:7" x14ac:dyDescent="0.25">
      <c r="A1150" s="41" t="s">
        <v>4265</v>
      </c>
      <c r="B1150" s="41" t="s">
        <v>4255</v>
      </c>
      <c r="C1150" s="41" t="s">
        <v>2928</v>
      </c>
      <c r="D1150" s="41" t="s">
        <v>4254</v>
      </c>
      <c r="E1150" s="41" t="s">
        <v>2929</v>
      </c>
      <c r="F1150" s="41" t="s">
        <v>2930</v>
      </c>
      <c r="G1150" s="41" t="s">
        <v>2931</v>
      </c>
    </row>
    <row r="1151" spans="1:7" x14ac:dyDescent="0.25">
      <c r="A1151" s="41" t="s">
        <v>4266</v>
      </c>
      <c r="B1151" s="41" t="s">
        <v>4255</v>
      </c>
      <c r="C1151" s="41" t="s">
        <v>2928</v>
      </c>
      <c r="D1151" s="41" t="s">
        <v>4254</v>
      </c>
      <c r="E1151" s="41" t="s">
        <v>2929</v>
      </c>
      <c r="F1151" s="41" t="s">
        <v>2930</v>
      </c>
      <c r="G1151" s="41" t="s">
        <v>2931</v>
      </c>
    </row>
    <row r="1152" spans="1:7" x14ac:dyDescent="0.25">
      <c r="A1152" s="41" t="s">
        <v>4267</v>
      </c>
      <c r="B1152" s="41" t="s">
        <v>4255</v>
      </c>
      <c r="C1152" s="41" t="s">
        <v>2928</v>
      </c>
      <c r="D1152" s="41" t="s">
        <v>4254</v>
      </c>
      <c r="E1152" s="41" t="s">
        <v>2929</v>
      </c>
      <c r="F1152" s="41" t="s">
        <v>2930</v>
      </c>
      <c r="G1152" s="41" t="s">
        <v>2931</v>
      </c>
    </row>
    <row r="1153" spans="1:7" x14ac:dyDescent="0.25">
      <c r="A1153" s="41" t="s">
        <v>4268</v>
      </c>
      <c r="B1153" s="41" t="s">
        <v>4255</v>
      </c>
      <c r="C1153" s="41" t="s">
        <v>2928</v>
      </c>
      <c r="D1153" s="41" t="s">
        <v>4254</v>
      </c>
      <c r="E1153" s="41" t="s">
        <v>2929</v>
      </c>
      <c r="F1153" s="41" t="s">
        <v>2930</v>
      </c>
      <c r="G1153" s="41" t="s">
        <v>2931</v>
      </c>
    </row>
    <row r="1154" spans="1:7" x14ac:dyDescent="0.25">
      <c r="A1154" s="41" t="s">
        <v>4269</v>
      </c>
      <c r="B1154" s="41" t="s">
        <v>4255</v>
      </c>
      <c r="C1154" s="41" t="s">
        <v>2928</v>
      </c>
      <c r="D1154" s="41" t="s">
        <v>4254</v>
      </c>
      <c r="E1154" s="41" t="s">
        <v>2929</v>
      </c>
      <c r="F1154" s="41" t="s">
        <v>2930</v>
      </c>
      <c r="G1154" s="41" t="s">
        <v>2931</v>
      </c>
    </row>
    <row r="1155" spans="1:7" x14ac:dyDescent="0.25">
      <c r="A1155" s="41" t="s">
        <v>4270</v>
      </c>
      <c r="B1155" s="41" t="s">
        <v>4255</v>
      </c>
      <c r="C1155" s="41" t="s">
        <v>2928</v>
      </c>
      <c r="D1155" s="41" t="s">
        <v>4254</v>
      </c>
      <c r="E1155" s="41" t="s">
        <v>2929</v>
      </c>
      <c r="F1155" s="41" t="s">
        <v>2949</v>
      </c>
      <c r="G1155" s="41" t="s">
        <v>2950</v>
      </c>
    </row>
    <row r="1156" spans="1:7" x14ac:dyDescent="0.25">
      <c r="A1156" s="41" t="s">
        <v>4271</v>
      </c>
      <c r="B1156" s="41" t="s">
        <v>4255</v>
      </c>
      <c r="C1156" s="41" t="s">
        <v>2928</v>
      </c>
      <c r="D1156" s="41" t="s">
        <v>4254</v>
      </c>
      <c r="E1156" s="41" t="s">
        <v>2929</v>
      </c>
      <c r="F1156" s="41" t="s">
        <v>2949</v>
      </c>
      <c r="G1156" s="41" t="s">
        <v>2950</v>
      </c>
    </row>
    <row r="1157" spans="1:7" x14ac:dyDescent="0.25">
      <c r="A1157" s="41" t="s">
        <v>4272</v>
      </c>
      <c r="B1157" s="41" t="s">
        <v>4255</v>
      </c>
      <c r="C1157" s="41" t="s">
        <v>2928</v>
      </c>
      <c r="D1157" s="41" t="s">
        <v>4254</v>
      </c>
      <c r="E1157" s="41" t="s">
        <v>2929</v>
      </c>
      <c r="F1157" s="41" t="s">
        <v>2949</v>
      </c>
      <c r="G1157" s="41" t="s">
        <v>2950</v>
      </c>
    </row>
    <row r="1158" spans="1:7" x14ac:dyDescent="0.25">
      <c r="A1158" s="41" t="s">
        <v>4273</v>
      </c>
      <c r="B1158" s="41" t="s">
        <v>4255</v>
      </c>
      <c r="C1158" s="41" t="s">
        <v>2928</v>
      </c>
      <c r="D1158" s="41" t="s">
        <v>4254</v>
      </c>
      <c r="E1158" s="41" t="s">
        <v>2929</v>
      </c>
      <c r="F1158" s="41" t="s">
        <v>2949</v>
      </c>
      <c r="G1158" s="41" t="s">
        <v>2950</v>
      </c>
    </row>
    <row r="1159" spans="1:7" x14ac:dyDescent="0.25">
      <c r="A1159" s="41" t="s">
        <v>4274</v>
      </c>
      <c r="B1159" s="41" t="s">
        <v>4255</v>
      </c>
      <c r="C1159" s="41" t="s">
        <v>2928</v>
      </c>
      <c r="D1159" s="41" t="s">
        <v>4254</v>
      </c>
      <c r="E1159" s="41" t="s">
        <v>2929</v>
      </c>
      <c r="F1159" s="41" t="s">
        <v>2949</v>
      </c>
      <c r="G1159" s="41" t="s">
        <v>2950</v>
      </c>
    </row>
    <row r="1160" spans="1:7" x14ac:dyDescent="0.25">
      <c r="A1160" s="41" t="s">
        <v>4275</v>
      </c>
      <c r="B1160" s="41" t="s">
        <v>4255</v>
      </c>
      <c r="C1160" s="41" t="s">
        <v>2928</v>
      </c>
      <c r="D1160" s="41" t="s">
        <v>4254</v>
      </c>
      <c r="E1160" s="41" t="s">
        <v>2929</v>
      </c>
      <c r="F1160" s="41" t="s">
        <v>2949</v>
      </c>
      <c r="G1160" s="41" t="s">
        <v>2950</v>
      </c>
    </row>
    <row r="1161" spans="1:7" x14ac:dyDescent="0.25">
      <c r="A1161" s="41" t="s">
        <v>4276</v>
      </c>
      <c r="B1161" s="41" t="s">
        <v>4255</v>
      </c>
      <c r="C1161" s="41" t="s">
        <v>2928</v>
      </c>
      <c r="D1161" s="41" t="s">
        <v>4254</v>
      </c>
      <c r="E1161" s="41" t="s">
        <v>2929</v>
      </c>
      <c r="F1161" s="41" t="s">
        <v>2949</v>
      </c>
      <c r="G1161" s="41" t="s">
        <v>2950</v>
      </c>
    </row>
    <row r="1162" spans="1:7" x14ac:dyDescent="0.25">
      <c r="A1162" s="41" t="s">
        <v>4277</v>
      </c>
      <c r="B1162" s="41" t="s">
        <v>4278</v>
      </c>
      <c r="C1162" s="41" t="s">
        <v>2928</v>
      </c>
      <c r="D1162" s="41" t="s">
        <v>4277</v>
      </c>
      <c r="E1162" s="41" t="s">
        <v>2929</v>
      </c>
      <c r="F1162" s="41" t="s">
        <v>2930</v>
      </c>
      <c r="G1162" s="41" t="s">
        <v>2931</v>
      </c>
    </row>
    <row r="1163" spans="1:7" x14ac:dyDescent="0.25">
      <c r="A1163" s="41" t="s">
        <v>4279</v>
      </c>
      <c r="B1163" s="41" t="s">
        <v>4278</v>
      </c>
      <c r="C1163" s="41" t="s">
        <v>2928</v>
      </c>
      <c r="D1163" s="41" t="s">
        <v>4277</v>
      </c>
      <c r="E1163" s="41" t="s">
        <v>2929</v>
      </c>
      <c r="F1163" s="41" t="s">
        <v>2933</v>
      </c>
      <c r="G1163" s="41" t="s">
        <v>2934</v>
      </c>
    </row>
    <row r="1164" spans="1:7" x14ac:dyDescent="0.25">
      <c r="A1164" s="41" t="s">
        <v>4280</v>
      </c>
      <c r="B1164" s="41" t="s">
        <v>4278</v>
      </c>
      <c r="C1164" s="41" t="s">
        <v>2928</v>
      </c>
      <c r="D1164" s="41" t="s">
        <v>4277</v>
      </c>
      <c r="E1164" s="41" t="s">
        <v>2929</v>
      </c>
      <c r="F1164" s="41" t="s">
        <v>2933</v>
      </c>
      <c r="G1164" s="41" t="s">
        <v>2934</v>
      </c>
    </row>
    <row r="1165" spans="1:7" x14ac:dyDescent="0.25">
      <c r="A1165" s="41" t="s">
        <v>4281</v>
      </c>
      <c r="B1165" s="41" t="s">
        <v>4278</v>
      </c>
      <c r="C1165" s="41" t="s">
        <v>2928</v>
      </c>
      <c r="D1165" s="41" t="s">
        <v>4277</v>
      </c>
      <c r="E1165" s="41" t="s">
        <v>2929</v>
      </c>
      <c r="F1165" s="41" t="s">
        <v>2933</v>
      </c>
      <c r="G1165" s="41" t="s">
        <v>2934</v>
      </c>
    </row>
    <row r="1166" spans="1:7" x14ac:dyDescent="0.25">
      <c r="A1166" s="41" t="s">
        <v>4282</v>
      </c>
      <c r="B1166" s="41" t="s">
        <v>4278</v>
      </c>
      <c r="C1166" s="41" t="s">
        <v>2928</v>
      </c>
      <c r="D1166" s="41" t="s">
        <v>4277</v>
      </c>
      <c r="E1166" s="41" t="s">
        <v>2929</v>
      </c>
      <c r="F1166" s="41" t="s">
        <v>2933</v>
      </c>
      <c r="G1166" s="41" t="s">
        <v>2934</v>
      </c>
    </row>
    <row r="1167" spans="1:7" x14ac:dyDescent="0.25">
      <c r="A1167" s="41" t="s">
        <v>4283</v>
      </c>
      <c r="B1167" s="41" t="s">
        <v>4278</v>
      </c>
      <c r="C1167" s="41" t="s">
        <v>2928</v>
      </c>
      <c r="D1167" s="41" t="s">
        <v>4277</v>
      </c>
      <c r="E1167" s="41" t="s">
        <v>2929</v>
      </c>
      <c r="F1167" s="41" t="s">
        <v>2933</v>
      </c>
      <c r="G1167" s="41" t="s">
        <v>2934</v>
      </c>
    </row>
    <row r="1168" spans="1:7" x14ac:dyDescent="0.25">
      <c r="A1168" s="41" t="s">
        <v>4284</v>
      </c>
      <c r="B1168" s="41" t="s">
        <v>4278</v>
      </c>
      <c r="C1168" s="41" t="s">
        <v>2928</v>
      </c>
      <c r="D1168" s="41" t="s">
        <v>4277</v>
      </c>
      <c r="E1168" s="41" t="s">
        <v>2929</v>
      </c>
      <c r="F1168" s="41" t="s">
        <v>2933</v>
      </c>
      <c r="G1168" s="41" t="s">
        <v>2934</v>
      </c>
    </row>
    <row r="1169" spans="1:7" x14ac:dyDescent="0.25">
      <c r="A1169" s="41" t="s">
        <v>4285</v>
      </c>
      <c r="B1169" s="41" t="s">
        <v>4278</v>
      </c>
      <c r="C1169" s="41" t="s">
        <v>2928</v>
      </c>
      <c r="D1169" s="41" t="s">
        <v>4277</v>
      </c>
      <c r="E1169" s="41" t="s">
        <v>2929</v>
      </c>
      <c r="F1169" s="41" t="s">
        <v>2933</v>
      </c>
      <c r="G1169" s="41" t="s">
        <v>2934</v>
      </c>
    </row>
    <row r="1170" spans="1:7" x14ac:dyDescent="0.25">
      <c r="A1170" s="41" t="s">
        <v>4286</v>
      </c>
      <c r="B1170" s="41" t="s">
        <v>4278</v>
      </c>
      <c r="C1170" s="41" t="s">
        <v>2928</v>
      </c>
      <c r="D1170" s="41" t="s">
        <v>4277</v>
      </c>
      <c r="E1170" s="41" t="s">
        <v>2929</v>
      </c>
      <c r="F1170" s="41" t="s">
        <v>2930</v>
      </c>
      <c r="G1170" s="41" t="s">
        <v>2931</v>
      </c>
    </row>
    <row r="1171" spans="1:7" x14ac:dyDescent="0.25">
      <c r="A1171" s="41" t="s">
        <v>4287</v>
      </c>
      <c r="B1171" s="41" t="s">
        <v>4278</v>
      </c>
      <c r="C1171" s="41" t="s">
        <v>2928</v>
      </c>
      <c r="D1171" s="41" t="s">
        <v>4277</v>
      </c>
      <c r="E1171" s="41" t="s">
        <v>2929</v>
      </c>
      <c r="F1171" s="41" t="s">
        <v>2930</v>
      </c>
      <c r="G1171" s="41" t="s">
        <v>2931</v>
      </c>
    </row>
    <row r="1172" spans="1:7" x14ac:dyDescent="0.25">
      <c r="A1172" s="41" t="s">
        <v>4288</v>
      </c>
      <c r="B1172" s="41" t="s">
        <v>4278</v>
      </c>
      <c r="C1172" s="41" t="s">
        <v>2928</v>
      </c>
      <c r="D1172" s="41" t="s">
        <v>4277</v>
      </c>
      <c r="E1172" s="41" t="s">
        <v>2929</v>
      </c>
      <c r="F1172" s="41" t="s">
        <v>2930</v>
      </c>
      <c r="G1172" s="41" t="s">
        <v>2931</v>
      </c>
    </row>
    <row r="1173" spans="1:7" x14ac:dyDescent="0.25">
      <c r="A1173" s="41" t="s">
        <v>4289</v>
      </c>
      <c r="B1173" s="41" t="s">
        <v>4278</v>
      </c>
      <c r="C1173" s="41" t="s">
        <v>2928</v>
      </c>
      <c r="D1173" s="41" t="s">
        <v>4277</v>
      </c>
      <c r="E1173" s="41" t="s">
        <v>2929</v>
      </c>
      <c r="F1173" s="41" t="s">
        <v>2930</v>
      </c>
      <c r="G1173" s="41" t="s">
        <v>2931</v>
      </c>
    </row>
    <row r="1174" spans="1:7" x14ac:dyDescent="0.25">
      <c r="A1174" s="41" t="s">
        <v>4290</v>
      </c>
      <c r="B1174" s="41" t="s">
        <v>4278</v>
      </c>
      <c r="C1174" s="41" t="s">
        <v>2928</v>
      </c>
      <c r="D1174" s="41" t="s">
        <v>4277</v>
      </c>
      <c r="E1174" s="41" t="s">
        <v>2929</v>
      </c>
      <c r="F1174" s="41" t="s">
        <v>2930</v>
      </c>
      <c r="G1174" s="41" t="s">
        <v>2931</v>
      </c>
    </row>
    <row r="1175" spans="1:7" x14ac:dyDescent="0.25">
      <c r="A1175" s="41" t="s">
        <v>4291</v>
      </c>
      <c r="B1175" s="41" t="s">
        <v>4278</v>
      </c>
      <c r="C1175" s="41" t="s">
        <v>2928</v>
      </c>
      <c r="D1175" s="41" t="s">
        <v>4277</v>
      </c>
      <c r="E1175" s="41" t="s">
        <v>2929</v>
      </c>
      <c r="F1175" s="41" t="s">
        <v>2930</v>
      </c>
      <c r="G1175" s="41" t="s">
        <v>2931</v>
      </c>
    </row>
    <row r="1176" spans="1:7" x14ac:dyDescent="0.25">
      <c r="A1176" s="41" t="s">
        <v>4292</v>
      </c>
      <c r="B1176" s="41" t="s">
        <v>4278</v>
      </c>
      <c r="C1176" s="41" t="s">
        <v>2928</v>
      </c>
      <c r="D1176" s="41" t="s">
        <v>4277</v>
      </c>
      <c r="E1176" s="41" t="s">
        <v>2929</v>
      </c>
      <c r="F1176" s="41" t="s">
        <v>2930</v>
      </c>
      <c r="G1176" s="41" t="s">
        <v>2931</v>
      </c>
    </row>
    <row r="1177" spans="1:7" x14ac:dyDescent="0.25">
      <c r="A1177" s="41" t="s">
        <v>4293</v>
      </c>
      <c r="B1177" s="41" t="s">
        <v>4278</v>
      </c>
      <c r="C1177" s="41" t="s">
        <v>2928</v>
      </c>
      <c r="D1177" s="41" t="s">
        <v>4277</v>
      </c>
      <c r="E1177" s="41" t="s">
        <v>2929</v>
      </c>
      <c r="F1177" s="41" t="s">
        <v>2949</v>
      </c>
      <c r="G1177" s="41" t="s">
        <v>2950</v>
      </c>
    </row>
    <row r="1178" spans="1:7" x14ac:dyDescent="0.25">
      <c r="A1178" s="41" t="s">
        <v>4294</v>
      </c>
      <c r="B1178" s="41" t="s">
        <v>4278</v>
      </c>
      <c r="C1178" s="41" t="s">
        <v>2928</v>
      </c>
      <c r="D1178" s="41" t="s">
        <v>4277</v>
      </c>
      <c r="E1178" s="41" t="s">
        <v>2929</v>
      </c>
      <c r="F1178" s="41" t="s">
        <v>2949</v>
      </c>
      <c r="G1178" s="41" t="s">
        <v>2950</v>
      </c>
    </row>
    <row r="1179" spans="1:7" x14ac:dyDescent="0.25">
      <c r="A1179" s="41" t="s">
        <v>4295</v>
      </c>
      <c r="B1179" s="41" t="s">
        <v>4278</v>
      </c>
      <c r="C1179" s="41" t="s">
        <v>2928</v>
      </c>
      <c r="D1179" s="41" t="s">
        <v>4277</v>
      </c>
      <c r="E1179" s="41" t="s">
        <v>2929</v>
      </c>
      <c r="F1179" s="41" t="s">
        <v>2949</v>
      </c>
      <c r="G1179" s="41" t="s">
        <v>2950</v>
      </c>
    </row>
    <row r="1180" spans="1:7" x14ac:dyDescent="0.25">
      <c r="A1180" s="41" t="s">
        <v>4296</v>
      </c>
      <c r="B1180" s="41" t="s">
        <v>4278</v>
      </c>
      <c r="C1180" s="41" t="s">
        <v>2928</v>
      </c>
      <c r="D1180" s="41" t="s">
        <v>4277</v>
      </c>
      <c r="E1180" s="41" t="s">
        <v>2929</v>
      </c>
      <c r="F1180" s="41" t="s">
        <v>2949</v>
      </c>
      <c r="G1180" s="41" t="s">
        <v>2950</v>
      </c>
    </row>
    <row r="1181" spans="1:7" x14ac:dyDescent="0.25">
      <c r="A1181" s="41" t="s">
        <v>4297</v>
      </c>
      <c r="B1181" s="41" t="s">
        <v>4278</v>
      </c>
      <c r="C1181" s="41" t="s">
        <v>2928</v>
      </c>
      <c r="D1181" s="41" t="s">
        <v>4277</v>
      </c>
      <c r="E1181" s="41" t="s">
        <v>2929</v>
      </c>
      <c r="F1181" s="41" t="s">
        <v>2949</v>
      </c>
      <c r="G1181" s="41" t="s">
        <v>2950</v>
      </c>
    </row>
    <row r="1182" spans="1:7" x14ac:dyDescent="0.25">
      <c r="A1182" s="41" t="s">
        <v>4298</v>
      </c>
      <c r="B1182" s="41" t="s">
        <v>4278</v>
      </c>
      <c r="C1182" s="41" t="s">
        <v>2928</v>
      </c>
      <c r="D1182" s="41" t="s">
        <v>4277</v>
      </c>
      <c r="E1182" s="41" t="s">
        <v>2929</v>
      </c>
      <c r="F1182" s="41" t="s">
        <v>2949</v>
      </c>
      <c r="G1182" s="41" t="s">
        <v>2950</v>
      </c>
    </row>
    <row r="1183" spans="1:7" x14ac:dyDescent="0.25">
      <c r="A1183" s="41" t="s">
        <v>4299</v>
      </c>
      <c r="B1183" s="41" t="s">
        <v>4278</v>
      </c>
      <c r="C1183" s="41" t="s">
        <v>2928</v>
      </c>
      <c r="D1183" s="41" t="s">
        <v>4277</v>
      </c>
      <c r="E1183" s="41" t="s">
        <v>2929</v>
      </c>
      <c r="F1183" s="41" t="s">
        <v>2949</v>
      </c>
      <c r="G1183" s="41" t="s">
        <v>2950</v>
      </c>
    </row>
    <row r="1184" spans="1:7" x14ac:dyDescent="0.25">
      <c r="A1184" s="41" t="s">
        <v>4300</v>
      </c>
      <c r="B1184" s="41" t="s">
        <v>4301</v>
      </c>
      <c r="C1184" s="41" t="s">
        <v>2928</v>
      </c>
      <c r="D1184" s="41" t="s">
        <v>4300</v>
      </c>
      <c r="E1184" s="41" t="s">
        <v>2929</v>
      </c>
      <c r="F1184" s="41" t="s">
        <v>2930</v>
      </c>
      <c r="G1184" s="41" t="s">
        <v>2931</v>
      </c>
    </row>
    <row r="1185" spans="1:7" x14ac:dyDescent="0.25">
      <c r="A1185" s="41" t="s">
        <v>4302</v>
      </c>
      <c r="B1185" s="41" t="s">
        <v>4301</v>
      </c>
      <c r="C1185" s="41" t="s">
        <v>2928</v>
      </c>
      <c r="D1185" s="41" t="s">
        <v>4300</v>
      </c>
      <c r="E1185" s="41" t="s">
        <v>2929</v>
      </c>
      <c r="F1185" s="41" t="s">
        <v>2933</v>
      </c>
      <c r="G1185" s="41" t="s">
        <v>2934</v>
      </c>
    </row>
    <row r="1186" spans="1:7" x14ac:dyDescent="0.25">
      <c r="A1186" s="41" t="s">
        <v>4303</v>
      </c>
      <c r="B1186" s="41" t="s">
        <v>4301</v>
      </c>
      <c r="C1186" s="41" t="s">
        <v>2928</v>
      </c>
      <c r="D1186" s="41" t="s">
        <v>4300</v>
      </c>
      <c r="E1186" s="41" t="s">
        <v>2929</v>
      </c>
      <c r="F1186" s="41" t="s">
        <v>2930</v>
      </c>
      <c r="G1186" s="41" t="s">
        <v>2931</v>
      </c>
    </row>
    <row r="1187" spans="1:7" x14ac:dyDescent="0.25">
      <c r="A1187" s="41" t="s">
        <v>4304</v>
      </c>
      <c r="B1187" s="41" t="s">
        <v>4301</v>
      </c>
      <c r="C1187" s="41" t="s">
        <v>2928</v>
      </c>
      <c r="D1187" s="41" t="s">
        <v>4300</v>
      </c>
      <c r="E1187" s="41" t="s">
        <v>2929</v>
      </c>
      <c r="F1187" s="41" t="s">
        <v>2949</v>
      </c>
      <c r="G1187" s="41" t="s">
        <v>2950</v>
      </c>
    </row>
    <row r="1188" spans="1:7" x14ac:dyDescent="0.25">
      <c r="A1188" s="41" t="s">
        <v>4305</v>
      </c>
      <c r="B1188" s="41" t="s">
        <v>4301</v>
      </c>
      <c r="C1188" s="41" t="s">
        <v>2928</v>
      </c>
      <c r="D1188" s="41" t="s">
        <v>4300</v>
      </c>
      <c r="E1188" s="41" t="s">
        <v>2929</v>
      </c>
      <c r="F1188" s="41" t="s">
        <v>2949</v>
      </c>
      <c r="G1188" s="41" t="s">
        <v>2950</v>
      </c>
    </row>
    <row r="1189" spans="1:7" x14ac:dyDescent="0.25">
      <c r="A1189" s="41" t="s">
        <v>4306</v>
      </c>
      <c r="B1189" s="41" t="s">
        <v>1091</v>
      </c>
      <c r="C1189" s="41" t="s">
        <v>2928</v>
      </c>
      <c r="D1189" s="41" t="s">
        <v>4306</v>
      </c>
      <c r="E1189" s="41" t="s">
        <v>2929</v>
      </c>
      <c r="F1189" s="41" t="s">
        <v>2930</v>
      </c>
      <c r="G1189" s="41" t="s">
        <v>2931</v>
      </c>
    </row>
    <row r="1190" spans="1:7" x14ac:dyDescent="0.25">
      <c r="A1190" s="41" t="s">
        <v>4307</v>
      </c>
      <c r="B1190" s="41" t="s">
        <v>1091</v>
      </c>
      <c r="C1190" s="41" t="s">
        <v>2928</v>
      </c>
      <c r="D1190" s="41" t="s">
        <v>4306</v>
      </c>
      <c r="E1190" s="41" t="s">
        <v>2929</v>
      </c>
      <c r="F1190" s="41" t="s">
        <v>2933</v>
      </c>
      <c r="G1190" s="41" t="s">
        <v>2934</v>
      </c>
    </row>
    <row r="1191" spans="1:7" x14ac:dyDescent="0.25">
      <c r="A1191" s="41" t="s">
        <v>4308</v>
      </c>
      <c r="B1191" s="41" t="s">
        <v>1091</v>
      </c>
      <c r="C1191" s="41" t="s">
        <v>2928</v>
      </c>
      <c r="D1191" s="41" t="s">
        <v>4306</v>
      </c>
      <c r="E1191" s="41" t="s">
        <v>2929</v>
      </c>
      <c r="F1191" s="41" t="s">
        <v>2930</v>
      </c>
      <c r="G1191" s="41" t="s">
        <v>2931</v>
      </c>
    </row>
    <row r="1192" spans="1:7" x14ac:dyDescent="0.25">
      <c r="A1192" s="41" t="s">
        <v>4309</v>
      </c>
      <c r="B1192" s="41" t="s">
        <v>1091</v>
      </c>
      <c r="C1192" s="41" t="s">
        <v>2928</v>
      </c>
      <c r="D1192" s="41" t="s">
        <v>4306</v>
      </c>
      <c r="E1192" s="41" t="s">
        <v>2929</v>
      </c>
      <c r="F1192" s="41" t="s">
        <v>2949</v>
      </c>
      <c r="G1192" s="41" t="s">
        <v>2950</v>
      </c>
    </row>
    <row r="1193" spans="1:7" x14ac:dyDescent="0.25">
      <c r="A1193" s="41" t="s">
        <v>4310</v>
      </c>
      <c r="B1193" s="41" t="s">
        <v>1144</v>
      </c>
      <c r="C1193" s="41" t="s">
        <v>2928</v>
      </c>
      <c r="D1193" s="41" t="s">
        <v>4310</v>
      </c>
      <c r="E1193" s="41" t="s">
        <v>2929</v>
      </c>
      <c r="F1193" s="41" t="s">
        <v>2930</v>
      </c>
      <c r="G1193" s="41" t="s">
        <v>2931</v>
      </c>
    </row>
    <row r="1194" spans="1:7" x14ac:dyDescent="0.25">
      <c r="A1194" s="41" t="s">
        <v>4311</v>
      </c>
      <c r="B1194" s="41" t="s">
        <v>1144</v>
      </c>
      <c r="C1194" s="41" t="s">
        <v>2928</v>
      </c>
      <c r="D1194" s="41" t="s">
        <v>4310</v>
      </c>
      <c r="E1194" s="41" t="s">
        <v>2929</v>
      </c>
      <c r="F1194" s="41" t="s">
        <v>2949</v>
      </c>
      <c r="G1194" s="41" t="s">
        <v>2950</v>
      </c>
    </row>
    <row r="1195" spans="1:7" x14ac:dyDescent="0.25">
      <c r="A1195" s="41" t="s">
        <v>4312</v>
      </c>
      <c r="B1195" s="41" t="s">
        <v>554</v>
      </c>
      <c r="C1195" s="41" t="s">
        <v>2928</v>
      </c>
      <c r="D1195" s="41" t="s">
        <v>4312</v>
      </c>
      <c r="E1195" s="41" t="s">
        <v>2929</v>
      </c>
      <c r="F1195" s="41" t="s">
        <v>2930</v>
      </c>
      <c r="G1195" s="41" t="s">
        <v>2931</v>
      </c>
    </row>
    <row r="1196" spans="1:7" x14ac:dyDescent="0.25">
      <c r="A1196" s="41" t="s">
        <v>4313</v>
      </c>
      <c r="B1196" s="41" t="s">
        <v>554</v>
      </c>
      <c r="C1196" s="41" t="s">
        <v>2928</v>
      </c>
      <c r="D1196" s="41" t="s">
        <v>4312</v>
      </c>
      <c r="E1196" s="41" t="s">
        <v>2929</v>
      </c>
      <c r="F1196" s="41" t="s">
        <v>2933</v>
      </c>
      <c r="G1196" s="41" t="s">
        <v>2934</v>
      </c>
    </row>
    <row r="1197" spans="1:7" x14ac:dyDescent="0.25">
      <c r="A1197" s="41" t="s">
        <v>4314</v>
      </c>
      <c r="B1197" s="41" t="s">
        <v>554</v>
      </c>
      <c r="C1197" s="41" t="s">
        <v>2928</v>
      </c>
      <c r="D1197" s="41" t="s">
        <v>4312</v>
      </c>
      <c r="E1197" s="41" t="s">
        <v>2929</v>
      </c>
      <c r="F1197" s="41" t="s">
        <v>2933</v>
      </c>
      <c r="G1197" s="41" t="s">
        <v>2934</v>
      </c>
    </row>
    <row r="1198" spans="1:7" x14ac:dyDescent="0.25">
      <c r="A1198" s="41" t="s">
        <v>4315</v>
      </c>
      <c r="B1198" s="41" t="s">
        <v>554</v>
      </c>
      <c r="C1198" s="41" t="s">
        <v>2928</v>
      </c>
      <c r="D1198" s="41" t="s">
        <v>4312</v>
      </c>
      <c r="E1198" s="41" t="s">
        <v>2929</v>
      </c>
      <c r="F1198" s="41" t="s">
        <v>2933</v>
      </c>
      <c r="G1198" s="41" t="s">
        <v>2934</v>
      </c>
    </row>
    <row r="1199" spans="1:7" x14ac:dyDescent="0.25">
      <c r="A1199" s="41" t="s">
        <v>4316</v>
      </c>
      <c r="B1199" s="41" t="s">
        <v>554</v>
      </c>
      <c r="C1199" s="41" t="s">
        <v>2928</v>
      </c>
      <c r="D1199" s="41" t="s">
        <v>4312</v>
      </c>
      <c r="E1199" s="41" t="s">
        <v>2929</v>
      </c>
      <c r="F1199" s="41" t="s">
        <v>2933</v>
      </c>
      <c r="G1199" s="41" t="s">
        <v>2934</v>
      </c>
    </row>
    <row r="1200" spans="1:7" x14ac:dyDescent="0.25">
      <c r="A1200" s="41" t="s">
        <v>4317</v>
      </c>
      <c r="B1200" s="41" t="s">
        <v>554</v>
      </c>
      <c r="C1200" s="41" t="s">
        <v>2928</v>
      </c>
      <c r="D1200" s="41" t="s">
        <v>4312</v>
      </c>
      <c r="E1200" s="41" t="s">
        <v>2929</v>
      </c>
      <c r="F1200" s="41" t="s">
        <v>2933</v>
      </c>
      <c r="G1200" s="41" t="s">
        <v>2934</v>
      </c>
    </row>
    <row r="1201" spans="1:7" x14ac:dyDescent="0.25">
      <c r="A1201" s="41" t="s">
        <v>4318</v>
      </c>
      <c r="B1201" s="41" t="s">
        <v>554</v>
      </c>
      <c r="C1201" s="41" t="s">
        <v>2928</v>
      </c>
      <c r="D1201" s="41" t="s">
        <v>4312</v>
      </c>
      <c r="E1201" s="41" t="s">
        <v>2929</v>
      </c>
      <c r="F1201" s="41" t="s">
        <v>2933</v>
      </c>
      <c r="G1201" s="41" t="s">
        <v>2934</v>
      </c>
    </row>
    <row r="1202" spans="1:7" x14ac:dyDescent="0.25">
      <c r="A1202" s="41" t="s">
        <v>4319</v>
      </c>
      <c r="B1202" s="41" t="s">
        <v>554</v>
      </c>
      <c r="C1202" s="41" t="s">
        <v>2928</v>
      </c>
      <c r="D1202" s="41" t="s">
        <v>4312</v>
      </c>
      <c r="E1202" s="41" t="s">
        <v>2929</v>
      </c>
      <c r="F1202" s="41" t="s">
        <v>2933</v>
      </c>
      <c r="G1202" s="41" t="s">
        <v>2934</v>
      </c>
    </row>
    <row r="1203" spans="1:7" x14ac:dyDescent="0.25">
      <c r="A1203" s="41" t="s">
        <v>4320</v>
      </c>
      <c r="B1203" s="41" t="s">
        <v>554</v>
      </c>
      <c r="C1203" s="41" t="s">
        <v>2928</v>
      </c>
      <c r="D1203" s="41" t="s">
        <v>4312</v>
      </c>
      <c r="E1203" s="41" t="s">
        <v>2929</v>
      </c>
      <c r="F1203" s="41" t="s">
        <v>2930</v>
      </c>
      <c r="G1203" s="41" t="s">
        <v>2931</v>
      </c>
    </row>
    <row r="1204" spans="1:7" x14ac:dyDescent="0.25">
      <c r="A1204" s="41" t="s">
        <v>4321</v>
      </c>
      <c r="B1204" s="41" t="s">
        <v>554</v>
      </c>
      <c r="C1204" s="41" t="s">
        <v>2928</v>
      </c>
      <c r="D1204" s="41" t="s">
        <v>4312</v>
      </c>
      <c r="E1204" s="41" t="s">
        <v>2929</v>
      </c>
      <c r="F1204" s="41" t="s">
        <v>2930</v>
      </c>
      <c r="G1204" s="41" t="s">
        <v>2931</v>
      </c>
    </row>
    <row r="1205" spans="1:7" x14ac:dyDescent="0.25">
      <c r="A1205" s="41" t="s">
        <v>4322</v>
      </c>
      <c r="B1205" s="41" t="s">
        <v>554</v>
      </c>
      <c r="C1205" s="41" t="s">
        <v>2928</v>
      </c>
      <c r="D1205" s="41" t="s">
        <v>4312</v>
      </c>
      <c r="E1205" s="41" t="s">
        <v>2929</v>
      </c>
      <c r="F1205" s="41" t="s">
        <v>2930</v>
      </c>
      <c r="G1205" s="41" t="s">
        <v>2931</v>
      </c>
    </row>
    <row r="1206" spans="1:7" x14ac:dyDescent="0.25">
      <c r="A1206" s="41" t="s">
        <v>4323</v>
      </c>
      <c r="B1206" s="41" t="s">
        <v>554</v>
      </c>
      <c r="C1206" s="41" t="s">
        <v>2928</v>
      </c>
      <c r="D1206" s="41" t="s">
        <v>4312</v>
      </c>
      <c r="E1206" s="41" t="s">
        <v>2929</v>
      </c>
      <c r="F1206" s="41" t="s">
        <v>2930</v>
      </c>
      <c r="G1206" s="41" t="s">
        <v>2931</v>
      </c>
    </row>
    <row r="1207" spans="1:7" x14ac:dyDescent="0.25">
      <c r="A1207" s="41" t="s">
        <v>4324</v>
      </c>
      <c r="B1207" s="41" t="s">
        <v>554</v>
      </c>
      <c r="C1207" s="41" t="s">
        <v>2928</v>
      </c>
      <c r="D1207" s="41" t="s">
        <v>4312</v>
      </c>
      <c r="E1207" s="41" t="s">
        <v>2929</v>
      </c>
      <c r="F1207" s="41" t="s">
        <v>2930</v>
      </c>
      <c r="G1207" s="41" t="s">
        <v>2931</v>
      </c>
    </row>
    <row r="1208" spans="1:7" x14ac:dyDescent="0.25">
      <c r="A1208" s="41" t="s">
        <v>4325</v>
      </c>
      <c r="B1208" s="41" t="s">
        <v>554</v>
      </c>
      <c r="C1208" s="41" t="s">
        <v>2928</v>
      </c>
      <c r="D1208" s="41" t="s">
        <v>4312</v>
      </c>
      <c r="E1208" s="41" t="s">
        <v>2929</v>
      </c>
      <c r="F1208" s="41" t="s">
        <v>2930</v>
      </c>
      <c r="G1208" s="41" t="s">
        <v>2931</v>
      </c>
    </row>
    <row r="1209" spans="1:7" x14ac:dyDescent="0.25">
      <c r="A1209" s="41" t="s">
        <v>4326</v>
      </c>
      <c r="B1209" s="41" t="s">
        <v>554</v>
      </c>
      <c r="C1209" s="41" t="s">
        <v>2928</v>
      </c>
      <c r="D1209" s="41" t="s">
        <v>4312</v>
      </c>
      <c r="E1209" s="41" t="s">
        <v>2929</v>
      </c>
      <c r="F1209" s="41" t="s">
        <v>2930</v>
      </c>
      <c r="G1209" s="41" t="s">
        <v>2931</v>
      </c>
    </row>
    <row r="1210" spans="1:7" x14ac:dyDescent="0.25">
      <c r="A1210" s="41" t="s">
        <v>4327</v>
      </c>
      <c r="B1210" s="41" t="s">
        <v>554</v>
      </c>
      <c r="C1210" s="41" t="s">
        <v>2928</v>
      </c>
      <c r="D1210" s="41" t="s">
        <v>4312</v>
      </c>
      <c r="E1210" s="41" t="s">
        <v>2929</v>
      </c>
      <c r="F1210" s="41" t="s">
        <v>2949</v>
      </c>
      <c r="G1210" s="41" t="s">
        <v>2950</v>
      </c>
    </row>
    <row r="1211" spans="1:7" x14ac:dyDescent="0.25">
      <c r="A1211" s="41" t="s">
        <v>4328</v>
      </c>
      <c r="B1211" s="41" t="s">
        <v>554</v>
      </c>
      <c r="C1211" s="41" t="s">
        <v>2928</v>
      </c>
      <c r="D1211" s="41" t="s">
        <v>4312</v>
      </c>
      <c r="E1211" s="41" t="s">
        <v>2929</v>
      </c>
      <c r="F1211" s="41" t="s">
        <v>2949</v>
      </c>
      <c r="G1211" s="41" t="s">
        <v>2950</v>
      </c>
    </row>
    <row r="1212" spans="1:7" x14ac:dyDescent="0.25">
      <c r="A1212" s="41" t="s">
        <v>4329</v>
      </c>
      <c r="B1212" s="41" t="s">
        <v>554</v>
      </c>
      <c r="C1212" s="41" t="s">
        <v>2928</v>
      </c>
      <c r="D1212" s="41" t="s">
        <v>4312</v>
      </c>
      <c r="E1212" s="41" t="s">
        <v>2929</v>
      </c>
      <c r="F1212" s="41" t="s">
        <v>2949</v>
      </c>
      <c r="G1212" s="41" t="s">
        <v>2950</v>
      </c>
    </row>
    <row r="1213" spans="1:7" x14ac:dyDescent="0.25">
      <c r="A1213" s="41" t="s">
        <v>4330</v>
      </c>
      <c r="B1213" s="41" t="s">
        <v>554</v>
      </c>
      <c r="C1213" s="41" t="s">
        <v>2928</v>
      </c>
      <c r="D1213" s="41" t="s">
        <v>4312</v>
      </c>
      <c r="E1213" s="41" t="s">
        <v>2929</v>
      </c>
      <c r="F1213" s="41" t="s">
        <v>2949</v>
      </c>
      <c r="G1213" s="41" t="s">
        <v>2950</v>
      </c>
    </row>
    <row r="1214" spans="1:7" x14ac:dyDescent="0.25">
      <c r="A1214" s="41" t="s">
        <v>4331</v>
      </c>
      <c r="B1214" s="41" t="s">
        <v>554</v>
      </c>
      <c r="C1214" s="41" t="s">
        <v>2928</v>
      </c>
      <c r="D1214" s="41" t="s">
        <v>4312</v>
      </c>
      <c r="E1214" s="41" t="s">
        <v>2929</v>
      </c>
      <c r="F1214" s="41" t="s">
        <v>2949</v>
      </c>
      <c r="G1214" s="41" t="s">
        <v>2950</v>
      </c>
    </row>
    <row r="1215" spans="1:7" x14ac:dyDescent="0.25">
      <c r="A1215" s="41" t="s">
        <v>4332</v>
      </c>
      <c r="B1215" s="41" t="s">
        <v>554</v>
      </c>
      <c r="C1215" s="41" t="s">
        <v>2928</v>
      </c>
      <c r="D1215" s="41" t="s">
        <v>4312</v>
      </c>
      <c r="E1215" s="41" t="s">
        <v>2929</v>
      </c>
      <c r="F1215" s="41" t="s">
        <v>2949</v>
      </c>
      <c r="G1215" s="41" t="s">
        <v>2950</v>
      </c>
    </row>
    <row r="1216" spans="1:7" x14ac:dyDescent="0.25">
      <c r="A1216" s="41" t="s">
        <v>4333</v>
      </c>
      <c r="B1216" s="41" t="s">
        <v>554</v>
      </c>
      <c r="C1216" s="41" t="s">
        <v>2928</v>
      </c>
      <c r="D1216" s="41" t="s">
        <v>4312</v>
      </c>
      <c r="E1216" s="41" t="s">
        <v>2929</v>
      </c>
      <c r="F1216" s="41" t="s">
        <v>2949</v>
      </c>
      <c r="G1216" s="41" t="s">
        <v>2950</v>
      </c>
    </row>
    <row r="1217" spans="1:7" x14ac:dyDescent="0.25">
      <c r="A1217" s="41" t="s">
        <v>4334</v>
      </c>
      <c r="B1217" s="41" t="s">
        <v>4335</v>
      </c>
      <c r="C1217" s="41" t="s">
        <v>2928</v>
      </c>
      <c r="D1217" s="41" t="s">
        <v>4334</v>
      </c>
      <c r="E1217" s="41" t="s">
        <v>2929</v>
      </c>
      <c r="F1217" s="41" t="s">
        <v>2930</v>
      </c>
      <c r="G1217" s="41" t="s">
        <v>2931</v>
      </c>
    </row>
    <row r="1218" spans="1:7" x14ac:dyDescent="0.25">
      <c r="A1218" s="41" t="s">
        <v>4336</v>
      </c>
      <c r="B1218" s="41" t="s">
        <v>4335</v>
      </c>
      <c r="C1218" s="41" t="s">
        <v>2928</v>
      </c>
      <c r="D1218" s="41" t="s">
        <v>4334</v>
      </c>
      <c r="E1218" s="41" t="s">
        <v>2929</v>
      </c>
      <c r="F1218" s="41" t="s">
        <v>2933</v>
      </c>
      <c r="G1218" s="41" t="s">
        <v>2934</v>
      </c>
    </row>
    <row r="1219" spans="1:7" x14ac:dyDescent="0.25">
      <c r="A1219" s="41" t="s">
        <v>4337</v>
      </c>
      <c r="B1219" s="41" t="s">
        <v>4335</v>
      </c>
      <c r="C1219" s="41" t="s">
        <v>2928</v>
      </c>
      <c r="D1219" s="41" t="s">
        <v>4334</v>
      </c>
      <c r="E1219" s="41" t="s">
        <v>2929</v>
      </c>
      <c r="F1219" s="41" t="s">
        <v>2933</v>
      </c>
      <c r="G1219" s="41" t="s">
        <v>2934</v>
      </c>
    </row>
    <row r="1220" spans="1:7" x14ac:dyDescent="0.25">
      <c r="A1220" s="41" t="s">
        <v>4338</v>
      </c>
      <c r="B1220" s="41" t="s">
        <v>4335</v>
      </c>
      <c r="C1220" s="41" t="s">
        <v>2928</v>
      </c>
      <c r="D1220" s="41" t="s">
        <v>4334</v>
      </c>
      <c r="E1220" s="41" t="s">
        <v>2929</v>
      </c>
      <c r="F1220" s="41" t="s">
        <v>2933</v>
      </c>
      <c r="G1220" s="41" t="s">
        <v>2934</v>
      </c>
    </row>
    <row r="1221" spans="1:7" x14ac:dyDescent="0.25">
      <c r="A1221" s="41" t="s">
        <v>4339</v>
      </c>
      <c r="B1221" s="41" t="s">
        <v>4335</v>
      </c>
      <c r="C1221" s="41" t="s">
        <v>2928</v>
      </c>
      <c r="D1221" s="41" t="s">
        <v>4334</v>
      </c>
      <c r="E1221" s="41" t="s">
        <v>2929</v>
      </c>
      <c r="F1221" s="41" t="s">
        <v>2933</v>
      </c>
      <c r="G1221" s="41" t="s">
        <v>2934</v>
      </c>
    </row>
    <row r="1222" spans="1:7" x14ac:dyDescent="0.25">
      <c r="A1222" s="41" t="s">
        <v>4340</v>
      </c>
      <c r="B1222" s="41" t="s">
        <v>4335</v>
      </c>
      <c r="C1222" s="41" t="s">
        <v>2928</v>
      </c>
      <c r="D1222" s="41" t="s">
        <v>4334</v>
      </c>
      <c r="E1222" s="41" t="s">
        <v>2929</v>
      </c>
      <c r="F1222" s="41" t="s">
        <v>2933</v>
      </c>
      <c r="G1222" s="41" t="s">
        <v>2934</v>
      </c>
    </row>
    <row r="1223" spans="1:7" x14ac:dyDescent="0.25">
      <c r="A1223" s="41" t="s">
        <v>4341</v>
      </c>
      <c r="B1223" s="41" t="s">
        <v>4335</v>
      </c>
      <c r="C1223" s="41" t="s">
        <v>2928</v>
      </c>
      <c r="D1223" s="41" t="s">
        <v>4334</v>
      </c>
      <c r="E1223" s="41" t="s">
        <v>2929</v>
      </c>
      <c r="F1223" s="41" t="s">
        <v>2933</v>
      </c>
      <c r="G1223" s="41" t="s">
        <v>2934</v>
      </c>
    </row>
    <row r="1224" spans="1:7" x14ac:dyDescent="0.25">
      <c r="A1224" s="41" t="s">
        <v>4342</v>
      </c>
      <c r="B1224" s="41" t="s">
        <v>4335</v>
      </c>
      <c r="C1224" s="41" t="s">
        <v>2928</v>
      </c>
      <c r="D1224" s="41" t="s">
        <v>4334</v>
      </c>
      <c r="E1224" s="41" t="s">
        <v>2929</v>
      </c>
      <c r="F1224" s="41" t="s">
        <v>2933</v>
      </c>
      <c r="G1224" s="41" t="s">
        <v>2934</v>
      </c>
    </row>
    <row r="1225" spans="1:7" x14ac:dyDescent="0.25">
      <c r="A1225" s="41" t="s">
        <v>4343</v>
      </c>
      <c r="B1225" s="41" t="s">
        <v>4335</v>
      </c>
      <c r="C1225" s="41" t="s">
        <v>2928</v>
      </c>
      <c r="D1225" s="41" t="s">
        <v>4334</v>
      </c>
      <c r="E1225" s="41" t="s">
        <v>2929</v>
      </c>
      <c r="F1225" s="41" t="s">
        <v>2930</v>
      </c>
      <c r="G1225" s="41" t="s">
        <v>2931</v>
      </c>
    </row>
    <row r="1226" spans="1:7" x14ac:dyDescent="0.25">
      <c r="A1226" s="41" t="s">
        <v>4344</v>
      </c>
      <c r="B1226" s="41" t="s">
        <v>4335</v>
      </c>
      <c r="C1226" s="41" t="s">
        <v>2928</v>
      </c>
      <c r="D1226" s="41" t="s">
        <v>4334</v>
      </c>
      <c r="E1226" s="41" t="s">
        <v>2929</v>
      </c>
      <c r="F1226" s="41" t="s">
        <v>2930</v>
      </c>
      <c r="G1226" s="41" t="s">
        <v>2931</v>
      </c>
    </row>
    <row r="1227" spans="1:7" x14ac:dyDescent="0.25">
      <c r="A1227" s="41" t="s">
        <v>4345</v>
      </c>
      <c r="B1227" s="41" t="s">
        <v>4335</v>
      </c>
      <c r="C1227" s="41" t="s">
        <v>2928</v>
      </c>
      <c r="D1227" s="41" t="s">
        <v>4334</v>
      </c>
      <c r="E1227" s="41" t="s">
        <v>2929</v>
      </c>
      <c r="F1227" s="41" t="s">
        <v>2930</v>
      </c>
      <c r="G1227" s="41" t="s">
        <v>2931</v>
      </c>
    </row>
    <row r="1228" spans="1:7" x14ac:dyDescent="0.25">
      <c r="A1228" s="41" t="s">
        <v>4346</v>
      </c>
      <c r="B1228" s="41" t="s">
        <v>4335</v>
      </c>
      <c r="C1228" s="41" t="s">
        <v>2928</v>
      </c>
      <c r="D1228" s="41" t="s">
        <v>4334</v>
      </c>
      <c r="E1228" s="41" t="s">
        <v>2929</v>
      </c>
      <c r="F1228" s="41" t="s">
        <v>2930</v>
      </c>
      <c r="G1228" s="41" t="s">
        <v>2931</v>
      </c>
    </row>
    <row r="1229" spans="1:7" x14ac:dyDescent="0.25">
      <c r="A1229" s="41" t="s">
        <v>4347</v>
      </c>
      <c r="B1229" s="41" t="s">
        <v>4335</v>
      </c>
      <c r="C1229" s="41" t="s">
        <v>2928</v>
      </c>
      <c r="D1229" s="41" t="s">
        <v>4334</v>
      </c>
      <c r="E1229" s="41" t="s">
        <v>2929</v>
      </c>
      <c r="F1229" s="41" t="s">
        <v>2930</v>
      </c>
      <c r="G1229" s="41" t="s">
        <v>2931</v>
      </c>
    </row>
    <row r="1230" spans="1:7" x14ac:dyDescent="0.25">
      <c r="A1230" s="41" t="s">
        <v>4348</v>
      </c>
      <c r="B1230" s="41" t="s">
        <v>4335</v>
      </c>
      <c r="C1230" s="41" t="s">
        <v>2928</v>
      </c>
      <c r="D1230" s="41" t="s">
        <v>4334</v>
      </c>
      <c r="E1230" s="41" t="s">
        <v>2929</v>
      </c>
      <c r="F1230" s="41" t="s">
        <v>2930</v>
      </c>
      <c r="G1230" s="41" t="s">
        <v>2931</v>
      </c>
    </row>
    <row r="1231" spans="1:7" x14ac:dyDescent="0.25">
      <c r="A1231" s="41" t="s">
        <v>4349</v>
      </c>
      <c r="B1231" s="41" t="s">
        <v>4335</v>
      </c>
      <c r="C1231" s="41" t="s">
        <v>2928</v>
      </c>
      <c r="D1231" s="41" t="s">
        <v>4334</v>
      </c>
      <c r="E1231" s="41" t="s">
        <v>2929</v>
      </c>
      <c r="F1231" s="41" t="s">
        <v>2930</v>
      </c>
      <c r="G1231" s="41" t="s">
        <v>2931</v>
      </c>
    </row>
    <row r="1232" spans="1:7" x14ac:dyDescent="0.25">
      <c r="A1232" s="41" t="s">
        <v>4350</v>
      </c>
      <c r="B1232" s="41" t="s">
        <v>4335</v>
      </c>
      <c r="C1232" s="41" t="s">
        <v>2928</v>
      </c>
      <c r="D1232" s="41" t="s">
        <v>4334</v>
      </c>
      <c r="E1232" s="41" t="s">
        <v>2929</v>
      </c>
      <c r="F1232" s="41" t="s">
        <v>2949</v>
      </c>
      <c r="G1232" s="41" t="s">
        <v>2950</v>
      </c>
    </row>
    <row r="1233" spans="1:7" x14ac:dyDescent="0.25">
      <c r="A1233" s="41" t="s">
        <v>4351</v>
      </c>
      <c r="B1233" s="41" t="s">
        <v>4335</v>
      </c>
      <c r="C1233" s="41" t="s">
        <v>2928</v>
      </c>
      <c r="D1233" s="41" t="s">
        <v>4334</v>
      </c>
      <c r="E1233" s="41" t="s">
        <v>2929</v>
      </c>
      <c r="F1233" s="41" t="s">
        <v>2949</v>
      </c>
      <c r="G1233" s="41" t="s">
        <v>2950</v>
      </c>
    </row>
    <row r="1234" spans="1:7" x14ac:dyDescent="0.25">
      <c r="A1234" s="41" t="s">
        <v>4352</v>
      </c>
      <c r="B1234" s="41" t="s">
        <v>4335</v>
      </c>
      <c r="C1234" s="41" t="s">
        <v>2928</v>
      </c>
      <c r="D1234" s="41" t="s">
        <v>4334</v>
      </c>
      <c r="E1234" s="41" t="s">
        <v>2929</v>
      </c>
      <c r="F1234" s="41" t="s">
        <v>2949</v>
      </c>
      <c r="G1234" s="41" t="s">
        <v>2950</v>
      </c>
    </row>
    <row r="1235" spans="1:7" x14ac:dyDescent="0.25">
      <c r="A1235" s="41" t="s">
        <v>4353</v>
      </c>
      <c r="B1235" s="41" t="s">
        <v>4335</v>
      </c>
      <c r="C1235" s="41" t="s">
        <v>2928</v>
      </c>
      <c r="D1235" s="41" t="s">
        <v>4334</v>
      </c>
      <c r="E1235" s="41" t="s">
        <v>2929</v>
      </c>
      <c r="F1235" s="41" t="s">
        <v>2949</v>
      </c>
      <c r="G1235" s="41" t="s">
        <v>2950</v>
      </c>
    </row>
    <row r="1236" spans="1:7" x14ac:dyDescent="0.25">
      <c r="A1236" s="41" t="s">
        <v>4354</v>
      </c>
      <c r="B1236" s="41" t="s">
        <v>4335</v>
      </c>
      <c r="C1236" s="41" t="s">
        <v>2928</v>
      </c>
      <c r="D1236" s="41" t="s">
        <v>4334</v>
      </c>
      <c r="E1236" s="41" t="s">
        <v>2929</v>
      </c>
      <c r="F1236" s="41" t="s">
        <v>2949</v>
      </c>
      <c r="G1236" s="41" t="s">
        <v>2950</v>
      </c>
    </row>
    <row r="1237" spans="1:7" x14ac:dyDescent="0.25">
      <c r="A1237" s="41" t="s">
        <v>4355</v>
      </c>
      <c r="B1237" s="41" t="s">
        <v>4335</v>
      </c>
      <c r="C1237" s="41" t="s">
        <v>2928</v>
      </c>
      <c r="D1237" s="41" t="s">
        <v>4334</v>
      </c>
      <c r="E1237" s="41" t="s">
        <v>2929</v>
      </c>
      <c r="F1237" s="41" t="s">
        <v>2949</v>
      </c>
      <c r="G1237" s="41" t="s">
        <v>2950</v>
      </c>
    </row>
    <row r="1238" spans="1:7" x14ac:dyDescent="0.25">
      <c r="A1238" s="41" t="s">
        <v>4356</v>
      </c>
      <c r="B1238" s="41" t="s">
        <v>4335</v>
      </c>
      <c r="C1238" s="41" t="s">
        <v>2928</v>
      </c>
      <c r="D1238" s="41" t="s">
        <v>4334</v>
      </c>
      <c r="E1238" s="41" t="s">
        <v>2929</v>
      </c>
      <c r="F1238" s="41" t="s">
        <v>2949</v>
      </c>
      <c r="G1238" s="41" t="s">
        <v>2950</v>
      </c>
    </row>
    <row r="1239" spans="1:7" x14ac:dyDescent="0.25">
      <c r="A1239" s="41" t="s">
        <v>4357</v>
      </c>
      <c r="B1239" s="41" t="s">
        <v>4358</v>
      </c>
      <c r="C1239" s="41" t="s">
        <v>2928</v>
      </c>
      <c r="D1239" s="41" t="s">
        <v>4357</v>
      </c>
      <c r="E1239" s="41" t="s">
        <v>2929</v>
      </c>
      <c r="F1239" s="41" t="s">
        <v>2930</v>
      </c>
      <c r="G1239" s="41" t="s">
        <v>2931</v>
      </c>
    </row>
    <row r="1240" spans="1:7" x14ac:dyDescent="0.25">
      <c r="A1240" s="41" t="s">
        <v>4359</v>
      </c>
      <c r="B1240" s="41" t="s">
        <v>4358</v>
      </c>
      <c r="C1240" s="41" t="s">
        <v>2928</v>
      </c>
      <c r="D1240" s="41" t="s">
        <v>4357</v>
      </c>
      <c r="E1240" s="41" t="s">
        <v>2929</v>
      </c>
      <c r="F1240" s="41" t="s">
        <v>2933</v>
      </c>
      <c r="G1240" s="41" t="s">
        <v>2934</v>
      </c>
    </row>
    <row r="1241" spans="1:7" x14ac:dyDescent="0.25">
      <c r="A1241" s="41" t="s">
        <v>4360</v>
      </c>
      <c r="B1241" s="41" t="s">
        <v>4358</v>
      </c>
      <c r="C1241" s="41" t="s">
        <v>2928</v>
      </c>
      <c r="D1241" s="41" t="s">
        <v>4357</v>
      </c>
      <c r="E1241" s="41" t="s">
        <v>2929</v>
      </c>
      <c r="F1241" s="41" t="s">
        <v>2933</v>
      </c>
      <c r="G1241" s="41" t="s">
        <v>2934</v>
      </c>
    </row>
    <row r="1242" spans="1:7" x14ac:dyDescent="0.25">
      <c r="A1242" s="41" t="s">
        <v>4361</v>
      </c>
      <c r="B1242" s="41" t="s">
        <v>4358</v>
      </c>
      <c r="C1242" s="41" t="s">
        <v>2928</v>
      </c>
      <c r="D1242" s="41" t="s">
        <v>4357</v>
      </c>
      <c r="E1242" s="41" t="s">
        <v>2929</v>
      </c>
      <c r="F1242" s="41" t="s">
        <v>2930</v>
      </c>
      <c r="G1242" s="41" t="s">
        <v>2931</v>
      </c>
    </row>
    <row r="1243" spans="1:7" x14ac:dyDescent="0.25">
      <c r="A1243" s="41" t="s">
        <v>4362</v>
      </c>
      <c r="B1243" s="41" t="s">
        <v>4358</v>
      </c>
      <c r="C1243" s="41" t="s">
        <v>2928</v>
      </c>
      <c r="D1243" s="41" t="s">
        <v>4357</v>
      </c>
      <c r="E1243" s="41" t="s">
        <v>2929</v>
      </c>
      <c r="F1243" s="41" t="s">
        <v>2949</v>
      </c>
      <c r="G1243" s="41" t="s">
        <v>2950</v>
      </c>
    </row>
    <row r="1244" spans="1:7" x14ac:dyDescent="0.25">
      <c r="A1244" s="41" t="s">
        <v>4363</v>
      </c>
      <c r="B1244" s="41" t="s">
        <v>4358</v>
      </c>
      <c r="C1244" s="41" t="s">
        <v>2928</v>
      </c>
      <c r="D1244" s="41" t="s">
        <v>4357</v>
      </c>
      <c r="E1244" s="41" t="s">
        <v>2929</v>
      </c>
      <c r="F1244" s="41" t="s">
        <v>2949</v>
      </c>
      <c r="G1244" s="41" t="s">
        <v>2950</v>
      </c>
    </row>
    <row r="1245" spans="1:7" x14ac:dyDescent="0.25">
      <c r="A1245" s="41" t="s">
        <v>4364</v>
      </c>
      <c r="B1245" s="41" t="s">
        <v>4365</v>
      </c>
      <c r="C1245" s="41" t="s">
        <v>4366</v>
      </c>
      <c r="D1245" s="41" t="s">
        <v>4367</v>
      </c>
      <c r="E1245" s="41" t="s">
        <v>2929</v>
      </c>
      <c r="F1245" s="41" t="s">
        <v>3355</v>
      </c>
      <c r="G1245" s="41" t="s">
        <v>2950</v>
      </c>
    </row>
    <row r="1246" spans="1:7" x14ac:dyDescent="0.25">
      <c r="A1246" s="41" t="s">
        <v>4368</v>
      </c>
      <c r="B1246" s="41" t="s">
        <v>4369</v>
      </c>
      <c r="C1246" s="41" t="s">
        <v>77</v>
      </c>
      <c r="D1246" s="41" t="s">
        <v>4370</v>
      </c>
      <c r="E1246" s="41" t="s">
        <v>2929</v>
      </c>
      <c r="F1246" s="41" t="s">
        <v>3355</v>
      </c>
      <c r="G1246" s="41" t="s">
        <v>2950</v>
      </c>
    </row>
    <row r="1247" spans="1:7" x14ac:dyDescent="0.25">
      <c r="A1247" s="41" t="s">
        <v>4371</v>
      </c>
      <c r="B1247" s="41" t="s">
        <v>4372</v>
      </c>
      <c r="C1247" s="41" t="s">
        <v>3097</v>
      </c>
      <c r="D1247" s="41" t="s">
        <v>4373</v>
      </c>
      <c r="E1247" s="41" t="s">
        <v>2929</v>
      </c>
      <c r="F1247" s="41" t="s">
        <v>3355</v>
      </c>
      <c r="G1247" s="41" t="s">
        <v>2950</v>
      </c>
    </row>
    <row r="1248" spans="1:7" x14ac:dyDescent="0.25">
      <c r="A1248" s="41" t="s">
        <v>4374</v>
      </c>
      <c r="B1248" s="41" t="s">
        <v>4375</v>
      </c>
      <c r="C1248" s="41" t="s">
        <v>2928</v>
      </c>
      <c r="D1248" s="41" t="s">
        <v>4374</v>
      </c>
      <c r="E1248" s="41" t="s">
        <v>2929</v>
      </c>
      <c r="F1248" s="41" t="s">
        <v>2930</v>
      </c>
      <c r="G1248" s="41" t="s">
        <v>2931</v>
      </c>
    </row>
    <row r="1249" spans="1:7" x14ac:dyDescent="0.25">
      <c r="A1249" s="41" t="s">
        <v>4376</v>
      </c>
      <c r="B1249" s="41" t="s">
        <v>4375</v>
      </c>
      <c r="C1249" s="41" t="s">
        <v>2928</v>
      </c>
      <c r="D1249" s="41" t="s">
        <v>4374</v>
      </c>
      <c r="E1249" s="41" t="s">
        <v>2929</v>
      </c>
      <c r="F1249" s="41" t="s">
        <v>2933</v>
      </c>
      <c r="G1249" s="41" t="s">
        <v>2934</v>
      </c>
    </row>
    <row r="1250" spans="1:7" x14ac:dyDescent="0.25">
      <c r="A1250" s="41" t="s">
        <v>4377</v>
      </c>
      <c r="B1250" s="41" t="s">
        <v>4375</v>
      </c>
      <c r="C1250" s="41" t="s">
        <v>2928</v>
      </c>
      <c r="D1250" s="41" t="s">
        <v>4374</v>
      </c>
      <c r="E1250" s="41" t="s">
        <v>2929</v>
      </c>
      <c r="F1250" s="41" t="s">
        <v>2933</v>
      </c>
      <c r="G1250" s="41" t="s">
        <v>2934</v>
      </c>
    </row>
    <row r="1251" spans="1:7" x14ac:dyDescent="0.25">
      <c r="A1251" s="41" t="s">
        <v>4378</v>
      </c>
      <c r="B1251" s="41" t="s">
        <v>4375</v>
      </c>
      <c r="C1251" s="41" t="s">
        <v>2928</v>
      </c>
      <c r="D1251" s="41" t="s">
        <v>4374</v>
      </c>
      <c r="E1251" s="41" t="s">
        <v>2929</v>
      </c>
      <c r="F1251" s="41" t="s">
        <v>2933</v>
      </c>
      <c r="G1251" s="41" t="s">
        <v>2934</v>
      </c>
    </row>
    <row r="1252" spans="1:7" x14ac:dyDescent="0.25">
      <c r="A1252" s="41" t="s">
        <v>4379</v>
      </c>
      <c r="B1252" s="41" t="s">
        <v>4375</v>
      </c>
      <c r="C1252" s="41" t="s">
        <v>2928</v>
      </c>
      <c r="D1252" s="41" t="s">
        <v>4374</v>
      </c>
      <c r="E1252" s="41" t="s">
        <v>2929</v>
      </c>
      <c r="F1252" s="41" t="s">
        <v>2933</v>
      </c>
      <c r="G1252" s="41" t="s">
        <v>2934</v>
      </c>
    </row>
    <row r="1253" spans="1:7" x14ac:dyDescent="0.25">
      <c r="A1253" s="41" t="s">
        <v>4380</v>
      </c>
      <c r="B1253" s="41" t="s">
        <v>4375</v>
      </c>
      <c r="C1253" s="41" t="s">
        <v>2928</v>
      </c>
      <c r="D1253" s="41" t="s">
        <v>4374</v>
      </c>
      <c r="E1253" s="41" t="s">
        <v>2929</v>
      </c>
      <c r="F1253" s="41" t="s">
        <v>2933</v>
      </c>
      <c r="G1253" s="41" t="s">
        <v>2934</v>
      </c>
    </row>
    <row r="1254" spans="1:7" x14ac:dyDescent="0.25">
      <c r="A1254" s="41" t="s">
        <v>4381</v>
      </c>
      <c r="B1254" s="41" t="s">
        <v>4375</v>
      </c>
      <c r="C1254" s="41" t="s">
        <v>2928</v>
      </c>
      <c r="D1254" s="41" t="s">
        <v>4374</v>
      </c>
      <c r="E1254" s="41" t="s">
        <v>2929</v>
      </c>
      <c r="F1254" s="41" t="s">
        <v>2933</v>
      </c>
      <c r="G1254" s="41" t="s">
        <v>2934</v>
      </c>
    </row>
    <row r="1255" spans="1:7" x14ac:dyDescent="0.25">
      <c r="A1255" s="41" t="s">
        <v>4382</v>
      </c>
      <c r="B1255" s="41" t="s">
        <v>4375</v>
      </c>
      <c r="C1255" s="41" t="s">
        <v>2928</v>
      </c>
      <c r="D1255" s="41" t="s">
        <v>4374</v>
      </c>
      <c r="E1255" s="41" t="s">
        <v>2929</v>
      </c>
      <c r="F1255" s="41" t="s">
        <v>2933</v>
      </c>
      <c r="G1255" s="41" t="s">
        <v>2934</v>
      </c>
    </row>
    <row r="1256" spans="1:7" x14ac:dyDescent="0.25">
      <c r="A1256" s="41" t="s">
        <v>4383</v>
      </c>
      <c r="B1256" s="41" t="s">
        <v>4375</v>
      </c>
      <c r="C1256" s="41" t="s">
        <v>2928</v>
      </c>
      <c r="D1256" s="41" t="s">
        <v>4374</v>
      </c>
      <c r="E1256" s="41" t="s">
        <v>2929</v>
      </c>
      <c r="F1256" s="41" t="s">
        <v>2930</v>
      </c>
      <c r="G1256" s="41" t="s">
        <v>2931</v>
      </c>
    </row>
    <row r="1257" spans="1:7" x14ac:dyDescent="0.25">
      <c r="A1257" s="41" t="s">
        <v>4384</v>
      </c>
      <c r="B1257" s="41" t="s">
        <v>4375</v>
      </c>
      <c r="C1257" s="41" t="s">
        <v>2928</v>
      </c>
      <c r="D1257" s="41" t="s">
        <v>4374</v>
      </c>
      <c r="E1257" s="41" t="s">
        <v>2929</v>
      </c>
      <c r="F1257" s="41" t="s">
        <v>2930</v>
      </c>
      <c r="G1257" s="41" t="s">
        <v>2931</v>
      </c>
    </row>
    <row r="1258" spans="1:7" x14ac:dyDescent="0.25">
      <c r="A1258" s="41" t="s">
        <v>4385</v>
      </c>
      <c r="B1258" s="41" t="s">
        <v>4375</v>
      </c>
      <c r="C1258" s="41" t="s">
        <v>2928</v>
      </c>
      <c r="D1258" s="41" t="s">
        <v>4374</v>
      </c>
      <c r="E1258" s="41" t="s">
        <v>2929</v>
      </c>
      <c r="F1258" s="41" t="s">
        <v>2930</v>
      </c>
      <c r="G1258" s="41" t="s">
        <v>2931</v>
      </c>
    </row>
    <row r="1259" spans="1:7" x14ac:dyDescent="0.25">
      <c r="A1259" s="41" t="s">
        <v>4386</v>
      </c>
      <c r="B1259" s="41" t="s">
        <v>4375</v>
      </c>
      <c r="C1259" s="41" t="s">
        <v>2928</v>
      </c>
      <c r="D1259" s="41" t="s">
        <v>4374</v>
      </c>
      <c r="E1259" s="41" t="s">
        <v>2929</v>
      </c>
      <c r="F1259" s="41" t="s">
        <v>2930</v>
      </c>
      <c r="G1259" s="41" t="s">
        <v>2931</v>
      </c>
    </row>
    <row r="1260" spans="1:7" x14ac:dyDescent="0.25">
      <c r="A1260" s="41" t="s">
        <v>4387</v>
      </c>
      <c r="B1260" s="41" t="s">
        <v>4375</v>
      </c>
      <c r="C1260" s="41" t="s">
        <v>2928</v>
      </c>
      <c r="D1260" s="41" t="s">
        <v>4374</v>
      </c>
      <c r="E1260" s="41" t="s">
        <v>2929</v>
      </c>
      <c r="F1260" s="41" t="s">
        <v>2930</v>
      </c>
      <c r="G1260" s="41" t="s">
        <v>2931</v>
      </c>
    </row>
    <row r="1261" spans="1:7" x14ac:dyDescent="0.25">
      <c r="A1261" s="41" t="s">
        <v>4388</v>
      </c>
      <c r="B1261" s="41" t="s">
        <v>4375</v>
      </c>
      <c r="C1261" s="41" t="s">
        <v>2928</v>
      </c>
      <c r="D1261" s="41" t="s">
        <v>4374</v>
      </c>
      <c r="E1261" s="41" t="s">
        <v>2929</v>
      </c>
      <c r="F1261" s="41" t="s">
        <v>2930</v>
      </c>
      <c r="G1261" s="41" t="s">
        <v>2931</v>
      </c>
    </row>
    <row r="1262" spans="1:7" x14ac:dyDescent="0.25">
      <c r="A1262" s="41" t="s">
        <v>4389</v>
      </c>
      <c r="B1262" s="41" t="s">
        <v>4375</v>
      </c>
      <c r="C1262" s="41" t="s">
        <v>2928</v>
      </c>
      <c r="D1262" s="41" t="s">
        <v>4374</v>
      </c>
      <c r="E1262" s="41" t="s">
        <v>2929</v>
      </c>
      <c r="F1262" s="41" t="s">
        <v>2930</v>
      </c>
      <c r="G1262" s="41" t="s">
        <v>2931</v>
      </c>
    </row>
    <row r="1263" spans="1:7" x14ac:dyDescent="0.25">
      <c r="A1263" s="41" t="s">
        <v>4390</v>
      </c>
      <c r="B1263" s="41" t="s">
        <v>4375</v>
      </c>
      <c r="C1263" s="41" t="s">
        <v>2928</v>
      </c>
      <c r="D1263" s="41" t="s">
        <v>4374</v>
      </c>
      <c r="E1263" s="41" t="s">
        <v>2929</v>
      </c>
      <c r="F1263" s="41" t="s">
        <v>2949</v>
      </c>
      <c r="G1263" s="41" t="s">
        <v>2950</v>
      </c>
    </row>
    <row r="1264" spans="1:7" x14ac:dyDescent="0.25">
      <c r="A1264" s="41" t="s">
        <v>4391</v>
      </c>
      <c r="B1264" s="41" t="s">
        <v>4375</v>
      </c>
      <c r="C1264" s="41" t="s">
        <v>2928</v>
      </c>
      <c r="D1264" s="41" t="s">
        <v>4374</v>
      </c>
      <c r="E1264" s="41" t="s">
        <v>2929</v>
      </c>
      <c r="F1264" s="41" t="s">
        <v>2949</v>
      </c>
      <c r="G1264" s="41" t="s">
        <v>2950</v>
      </c>
    </row>
    <row r="1265" spans="1:7" x14ac:dyDescent="0.25">
      <c r="A1265" s="41" t="s">
        <v>4392</v>
      </c>
      <c r="B1265" s="41" t="s">
        <v>4375</v>
      </c>
      <c r="C1265" s="41" t="s">
        <v>2928</v>
      </c>
      <c r="D1265" s="41" t="s">
        <v>4374</v>
      </c>
      <c r="E1265" s="41" t="s">
        <v>2929</v>
      </c>
      <c r="F1265" s="41" t="s">
        <v>2949</v>
      </c>
      <c r="G1265" s="41" t="s">
        <v>2950</v>
      </c>
    </row>
    <row r="1266" spans="1:7" x14ac:dyDescent="0.25">
      <c r="A1266" s="41" t="s">
        <v>4393</v>
      </c>
      <c r="B1266" s="41" t="s">
        <v>4375</v>
      </c>
      <c r="C1266" s="41" t="s">
        <v>2928</v>
      </c>
      <c r="D1266" s="41" t="s">
        <v>4374</v>
      </c>
      <c r="E1266" s="41" t="s">
        <v>2929</v>
      </c>
      <c r="F1266" s="41" t="s">
        <v>2949</v>
      </c>
      <c r="G1266" s="41" t="s">
        <v>2950</v>
      </c>
    </row>
    <row r="1267" spans="1:7" x14ac:dyDescent="0.25">
      <c r="A1267" s="41" t="s">
        <v>4394</v>
      </c>
      <c r="B1267" s="41" t="s">
        <v>4375</v>
      </c>
      <c r="C1267" s="41" t="s">
        <v>2928</v>
      </c>
      <c r="D1267" s="41" t="s">
        <v>4374</v>
      </c>
      <c r="E1267" s="41" t="s">
        <v>2929</v>
      </c>
      <c r="F1267" s="41" t="s">
        <v>2949</v>
      </c>
      <c r="G1267" s="41" t="s">
        <v>2950</v>
      </c>
    </row>
    <row r="1268" spans="1:7" x14ac:dyDescent="0.25">
      <c r="A1268" s="41" t="s">
        <v>4395</v>
      </c>
      <c r="B1268" s="41" t="s">
        <v>4375</v>
      </c>
      <c r="C1268" s="41" t="s">
        <v>2928</v>
      </c>
      <c r="D1268" s="41" t="s">
        <v>4374</v>
      </c>
      <c r="E1268" s="41" t="s">
        <v>2929</v>
      </c>
      <c r="F1268" s="41" t="s">
        <v>2949</v>
      </c>
      <c r="G1268" s="41" t="s">
        <v>2950</v>
      </c>
    </row>
    <row r="1269" spans="1:7" x14ac:dyDescent="0.25">
      <c r="A1269" s="41" t="s">
        <v>4396</v>
      </c>
      <c r="B1269" s="41" t="s">
        <v>4375</v>
      </c>
      <c r="C1269" s="41" t="s">
        <v>2928</v>
      </c>
      <c r="D1269" s="41" t="s">
        <v>4374</v>
      </c>
      <c r="E1269" s="41" t="s">
        <v>2929</v>
      </c>
      <c r="F1269" s="41" t="s">
        <v>2949</v>
      </c>
      <c r="G1269" s="41" t="s">
        <v>2950</v>
      </c>
    </row>
    <row r="1270" spans="1:7" x14ac:dyDescent="0.25">
      <c r="A1270" s="41" t="s">
        <v>4397</v>
      </c>
      <c r="B1270" s="41" t="s">
        <v>1065</v>
      </c>
      <c r="C1270" s="41" t="s">
        <v>2928</v>
      </c>
      <c r="D1270" s="41" t="s">
        <v>4397</v>
      </c>
      <c r="E1270" s="41" t="s">
        <v>2929</v>
      </c>
      <c r="F1270" s="41" t="s">
        <v>2930</v>
      </c>
      <c r="G1270" s="41" t="s">
        <v>2931</v>
      </c>
    </row>
    <row r="1271" spans="1:7" x14ac:dyDescent="0.25">
      <c r="A1271" s="41" t="s">
        <v>4398</v>
      </c>
      <c r="B1271" s="41" t="s">
        <v>1065</v>
      </c>
      <c r="C1271" s="41" t="s">
        <v>2928</v>
      </c>
      <c r="D1271" s="41" t="s">
        <v>4397</v>
      </c>
      <c r="E1271" s="41" t="s">
        <v>2929</v>
      </c>
      <c r="F1271" s="41" t="s">
        <v>2933</v>
      </c>
      <c r="G1271" s="41" t="s">
        <v>2934</v>
      </c>
    </row>
    <row r="1272" spans="1:7" x14ac:dyDescent="0.25">
      <c r="A1272" s="41" t="s">
        <v>4399</v>
      </c>
      <c r="B1272" s="41" t="s">
        <v>1065</v>
      </c>
      <c r="C1272" s="41" t="s">
        <v>2928</v>
      </c>
      <c r="D1272" s="41" t="s">
        <v>4397</v>
      </c>
      <c r="E1272" s="41" t="s">
        <v>2929</v>
      </c>
      <c r="F1272" s="41" t="s">
        <v>2933</v>
      </c>
      <c r="G1272" s="41" t="s">
        <v>2934</v>
      </c>
    </row>
    <row r="1273" spans="1:7" x14ac:dyDescent="0.25">
      <c r="A1273" s="41" t="s">
        <v>4400</v>
      </c>
      <c r="B1273" s="41" t="s">
        <v>1065</v>
      </c>
      <c r="C1273" s="41" t="s">
        <v>2928</v>
      </c>
      <c r="D1273" s="41" t="s">
        <v>4397</v>
      </c>
      <c r="E1273" s="41" t="s">
        <v>2929</v>
      </c>
      <c r="F1273" s="41" t="s">
        <v>2949</v>
      </c>
      <c r="G1273" s="41" t="s">
        <v>2950</v>
      </c>
    </row>
    <row r="1274" spans="1:7" x14ac:dyDescent="0.25">
      <c r="A1274" s="41" t="s">
        <v>4401</v>
      </c>
      <c r="B1274" s="41" t="s">
        <v>1065</v>
      </c>
      <c r="C1274" s="41" t="s">
        <v>2928</v>
      </c>
      <c r="D1274" s="41" t="s">
        <v>4397</v>
      </c>
      <c r="E1274" s="41" t="s">
        <v>2929</v>
      </c>
      <c r="F1274" s="41" t="s">
        <v>2949</v>
      </c>
      <c r="G1274" s="41" t="s">
        <v>2950</v>
      </c>
    </row>
    <row r="1275" spans="1:7" x14ac:dyDescent="0.25">
      <c r="A1275" s="41" t="s">
        <v>4402</v>
      </c>
      <c r="B1275" s="41" t="s">
        <v>4403</v>
      </c>
      <c r="C1275" s="41" t="s">
        <v>4366</v>
      </c>
      <c r="D1275" s="41" t="s">
        <v>4404</v>
      </c>
      <c r="E1275" s="41" t="s">
        <v>2929</v>
      </c>
      <c r="F1275" s="41" t="s">
        <v>2933</v>
      </c>
      <c r="G1275" s="41" t="s">
        <v>2934</v>
      </c>
    </row>
    <row r="1276" spans="1:7" x14ac:dyDescent="0.25">
      <c r="A1276" s="41" t="s">
        <v>4405</v>
      </c>
      <c r="B1276" s="41" t="s">
        <v>4406</v>
      </c>
      <c r="C1276" s="41" t="s">
        <v>78</v>
      </c>
      <c r="D1276" s="41" t="s">
        <v>4407</v>
      </c>
      <c r="E1276" s="41" t="s">
        <v>2984</v>
      </c>
      <c r="F1276" s="41" t="s">
        <v>3355</v>
      </c>
      <c r="G1276" s="41" t="s">
        <v>2950</v>
      </c>
    </row>
    <row r="1277" spans="1:7" x14ac:dyDescent="0.25">
      <c r="A1277" s="41" t="s">
        <v>4408</v>
      </c>
      <c r="B1277" s="41" t="s">
        <v>1020</v>
      </c>
      <c r="C1277" s="41" t="s">
        <v>2928</v>
      </c>
      <c r="D1277" s="41" t="s">
        <v>4408</v>
      </c>
      <c r="E1277" s="41" t="s">
        <v>2929</v>
      </c>
      <c r="F1277" s="41" t="s">
        <v>2930</v>
      </c>
      <c r="G1277" s="41" t="s">
        <v>2931</v>
      </c>
    </row>
    <row r="1278" spans="1:7" x14ac:dyDescent="0.25">
      <c r="A1278" s="41" t="s">
        <v>4409</v>
      </c>
      <c r="B1278" s="41" t="s">
        <v>1020</v>
      </c>
      <c r="C1278" s="41" t="s">
        <v>2928</v>
      </c>
      <c r="D1278" s="41" t="s">
        <v>4408</v>
      </c>
      <c r="E1278" s="41" t="s">
        <v>2929</v>
      </c>
      <c r="F1278" s="41" t="s">
        <v>2933</v>
      </c>
      <c r="G1278" s="41" t="s">
        <v>2934</v>
      </c>
    </row>
    <row r="1279" spans="1:7" x14ac:dyDescent="0.25">
      <c r="A1279" s="41" t="s">
        <v>4410</v>
      </c>
      <c r="B1279" s="41" t="s">
        <v>1020</v>
      </c>
      <c r="C1279" s="41" t="s">
        <v>2928</v>
      </c>
      <c r="D1279" s="41" t="s">
        <v>4408</v>
      </c>
      <c r="E1279" s="41" t="s">
        <v>2929</v>
      </c>
      <c r="F1279" s="41" t="s">
        <v>2933</v>
      </c>
      <c r="G1279" s="41" t="s">
        <v>2934</v>
      </c>
    </row>
    <row r="1280" spans="1:7" x14ac:dyDescent="0.25">
      <c r="A1280" s="41" t="s">
        <v>4411</v>
      </c>
      <c r="B1280" s="41" t="s">
        <v>1020</v>
      </c>
      <c r="C1280" s="41" t="s">
        <v>2928</v>
      </c>
      <c r="D1280" s="41" t="s">
        <v>4408</v>
      </c>
      <c r="E1280" s="41" t="s">
        <v>2929</v>
      </c>
      <c r="F1280" s="41" t="s">
        <v>2930</v>
      </c>
      <c r="G1280" s="41" t="s">
        <v>2931</v>
      </c>
    </row>
    <row r="1281" spans="1:7" x14ac:dyDescent="0.25">
      <c r="A1281" s="41" t="s">
        <v>4412</v>
      </c>
      <c r="B1281" s="41" t="s">
        <v>1020</v>
      </c>
      <c r="C1281" s="41" t="s">
        <v>2928</v>
      </c>
      <c r="D1281" s="41" t="s">
        <v>4408</v>
      </c>
      <c r="E1281" s="41" t="s">
        <v>2929</v>
      </c>
      <c r="F1281" s="41" t="s">
        <v>2949</v>
      </c>
      <c r="G1281" s="41" t="s">
        <v>2950</v>
      </c>
    </row>
    <row r="1282" spans="1:7" x14ac:dyDescent="0.25">
      <c r="A1282" s="41" t="s">
        <v>4413</v>
      </c>
      <c r="B1282" s="41" t="s">
        <v>1020</v>
      </c>
      <c r="C1282" s="41" t="s">
        <v>2928</v>
      </c>
      <c r="D1282" s="41" t="s">
        <v>4408</v>
      </c>
      <c r="E1282" s="41" t="s">
        <v>2929</v>
      </c>
      <c r="F1282" s="41" t="s">
        <v>2949</v>
      </c>
      <c r="G1282" s="41" t="s">
        <v>2950</v>
      </c>
    </row>
    <row r="1283" spans="1:7" x14ac:dyDescent="0.25">
      <c r="A1283" s="41" t="s">
        <v>4414</v>
      </c>
      <c r="B1283" s="41" t="s">
        <v>4415</v>
      </c>
      <c r="C1283" s="41" t="s">
        <v>2928</v>
      </c>
      <c r="D1283" s="41" t="s">
        <v>4414</v>
      </c>
      <c r="E1283" s="41" t="s">
        <v>2929</v>
      </c>
      <c r="F1283" s="41" t="s">
        <v>2930</v>
      </c>
      <c r="G1283" s="41" t="s">
        <v>2931</v>
      </c>
    </row>
    <row r="1284" spans="1:7" x14ac:dyDescent="0.25">
      <c r="A1284" s="41" t="s">
        <v>4416</v>
      </c>
      <c r="B1284" s="41" t="s">
        <v>4415</v>
      </c>
      <c r="C1284" s="41" t="s">
        <v>2928</v>
      </c>
      <c r="D1284" s="41" t="s">
        <v>4414</v>
      </c>
      <c r="E1284" s="41" t="s">
        <v>2929</v>
      </c>
      <c r="F1284" s="41" t="s">
        <v>2933</v>
      </c>
      <c r="G1284" s="41" t="s">
        <v>2934</v>
      </c>
    </row>
    <row r="1285" spans="1:7" x14ac:dyDescent="0.25">
      <c r="A1285" s="41" t="s">
        <v>4417</v>
      </c>
      <c r="B1285" s="41" t="s">
        <v>4415</v>
      </c>
      <c r="C1285" s="41" t="s">
        <v>2928</v>
      </c>
      <c r="D1285" s="41" t="s">
        <v>4414</v>
      </c>
      <c r="E1285" s="41" t="s">
        <v>2929</v>
      </c>
      <c r="F1285" s="41" t="s">
        <v>2933</v>
      </c>
      <c r="G1285" s="41" t="s">
        <v>2934</v>
      </c>
    </row>
    <row r="1286" spans="1:7" x14ac:dyDescent="0.25">
      <c r="A1286" s="41" t="s">
        <v>4418</v>
      </c>
      <c r="B1286" s="41" t="s">
        <v>4415</v>
      </c>
      <c r="C1286" s="41" t="s">
        <v>2928</v>
      </c>
      <c r="D1286" s="41" t="s">
        <v>4414</v>
      </c>
      <c r="E1286" s="41" t="s">
        <v>2929</v>
      </c>
      <c r="F1286" s="41" t="s">
        <v>2933</v>
      </c>
      <c r="G1286" s="41" t="s">
        <v>2934</v>
      </c>
    </row>
    <row r="1287" spans="1:7" x14ac:dyDescent="0.25">
      <c r="A1287" s="41" t="s">
        <v>4419</v>
      </c>
      <c r="B1287" s="41" t="s">
        <v>4415</v>
      </c>
      <c r="C1287" s="41" t="s">
        <v>2928</v>
      </c>
      <c r="D1287" s="41" t="s">
        <v>4414</v>
      </c>
      <c r="E1287" s="41" t="s">
        <v>2929</v>
      </c>
      <c r="F1287" s="41" t="s">
        <v>2933</v>
      </c>
      <c r="G1287" s="41" t="s">
        <v>2934</v>
      </c>
    </row>
    <row r="1288" spans="1:7" x14ac:dyDescent="0.25">
      <c r="A1288" s="41" t="s">
        <v>4420</v>
      </c>
      <c r="B1288" s="41" t="s">
        <v>4415</v>
      </c>
      <c r="C1288" s="41" t="s">
        <v>2928</v>
      </c>
      <c r="D1288" s="41" t="s">
        <v>4414</v>
      </c>
      <c r="E1288" s="41" t="s">
        <v>2929</v>
      </c>
      <c r="F1288" s="41" t="s">
        <v>2933</v>
      </c>
      <c r="G1288" s="41" t="s">
        <v>2934</v>
      </c>
    </row>
    <row r="1289" spans="1:7" x14ac:dyDescent="0.25">
      <c r="A1289" s="41" t="s">
        <v>4421</v>
      </c>
      <c r="B1289" s="41" t="s">
        <v>4415</v>
      </c>
      <c r="C1289" s="41" t="s">
        <v>2928</v>
      </c>
      <c r="D1289" s="41" t="s">
        <v>4414</v>
      </c>
      <c r="E1289" s="41" t="s">
        <v>2929</v>
      </c>
      <c r="F1289" s="41" t="s">
        <v>2933</v>
      </c>
      <c r="G1289" s="41" t="s">
        <v>2934</v>
      </c>
    </row>
    <row r="1290" spans="1:7" x14ac:dyDescent="0.25">
      <c r="A1290" s="41" t="s">
        <v>4422</v>
      </c>
      <c r="B1290" s="41" t="s">
        <v>4415</v>
      </c>
      <c r="C1290" s="41" t="s">
        <v>2928</v>
      </c>
      <c r="D1290" s="41" t="s">
        <v>4414</v>
      </c>
      <c r="E1290" s="41" t="s">
        <v>2929</v>
      </c>
      <c r="F1290" s="41" t="s">
        <v>2933</v>
      </c>
      <c r="G1290" s="41" t="s">
        <v>2934</v>
      </c>
    </row>
    <row r="1291" spans="1:7" x14ac:dyDescent="0.25">
      <c r="A1291" s="41" t="s">
        <v>4423</v>
      </c>
      <c r="B1291" s="41" t="s">
        <v>4415</v>
      </c>
      <c r="C1291" s="41" t="s">
        <v>2928</v>
      </c>
      <c r="D1291" s="41" t="s">
        <v>4414</v>
      </c>
      <c r="E1291" s="41" t="s">
        <v>2929</v>
      </c>
      <c r="F1291" s="41" t="s">
        <v>2930</v>
      </c>
      <c r="G1291" s="41" t="s">
        <v>2931</v>
      </c>
    </row>
    <row r="1292" spans="1:7" x14ac:dyDescent="0.25">
      <c r="A1292" s="41" t="s">
        <v>4424</v>
      </c>
      <c r="B1292" s="41" t="s">
        <v>4415</v>
      </c>
      <c r="C1292" s="41" t="s">
        <v>2928</v>
      </c>
      <c r="D1292" s="41" t="s">
        <v>4414</v>
      </c>
      <c r="E1292" s="41" t="s">
        <v>2929</v>
      </c>
      <c r="F1292" s="41" t="s">
        <v>2930</v>
      </c>
      <c r="G1292" s="41" t="s">
        <v>2931</v>
      </c>
    </row>
    <row r="1293" spans="1:7" x14ac:dyDescent="0.25">
      <c r="A1293" s="41" t="s">
        <v>4425</v>
      </c>
      <c r="B1293" s="41" t="s">
        <v>4415</v>
      </c>
      <c r="C1293" s="41" t="s">
        <v>2928</v>
      </c>
      <c r="D1293" s="41" t="s">
        <v>4414</v>
      </c>
      <c r="E1293" s="41" t="s">
        <v>2929</v>
      </c>
      <c r="F1293" s="41" t="s">
        <v>2930</v>
      </c>
      <c r="G1293" s="41" t="s">
        <v>2931</v>
      </c>
    </row>
    <row r="1294" spans="1:7" x14ac:dyDescent="0.25">
      <c r="A1294" s="41" t="s">
        <v>4426</v>
      </c>
      <c r="B1294" s="41" t="s">
        <v>4415</v>
      </c>
      <c r="C1294" s="41" t="s">
        <v>2928</v>
      </c>
      <c r="D1294" s="41" t="s">
        <v>4414</v>
      </c>
      <c r="E1294" s="41" t="s">
        <v>2929</v>
      </c>
      <c r="F1294" s="41" t="s">
        <v>2930</v>
      </c>
      <c r="G1294" s="41" t="s">
        <v>2931</v>
      </c>
    </row>
    <row r="1295" spans="1:7" x14ac:dyDescent="0.25">
      <c r="A1295" s="41" t="s">
        <v>4427</v>
      </c>
      <c r="B1295" s="41" t="s">
        <v>4415</v>
      </c>
      <c r="C1295" s="41" t="s">
        <v>2928</v>
      </c>
      <c r="D1295" s="41" t="s">
        <v>4414</v>
      </c>
      <c r="E1295" s="41" t="s">
        <v>2929</v>
      </c>
      <c r="F1295" s="41" t="s">
        <v>2930</v>
      </c>
      <c r="G1295" s="41" t="s">
        <v>2931</v>
      </c>
    </row>
    <row r="1296" spans="1:7" x14ac:dyDescent="0.25">
      <c r="A1296" s="41" t="s">
        <v>4428</v>
      </c>
      <c r="B1296" s="41" t="s">
        <v>4415</v>
      </c>
      <c r="C1296" s="41" t="s">
        <v>2928</v>
      </c>
      <c r="D1296" s="41" t="s">
        <v>4414</v>
      </c>
      <c r="E1296" s="41" t="s">
        <v>2929</v>
      </c>
      <c r="F1296" s="41" t="s">
        <v>2930</v>
      </c>
      <c r="G1296" s="41" t="s">
        <v>2931</v>
      </c>
    </row>
    <row r="1297" spans="1:7" x14ac:dyDescent="0.25">
      <c r="A1297" s="41" t="s">
        <v>4429</v>
      </c>
      <c r="B1297" s="41" t="s">
        <v>4415</v>
      </c>
      <c r="C1297" s="41" t="s">
        <v>2928</v>
      </c>
      <c r="D1297" s="41" t="s">
        <v>4414</v>
      </c>
      <c r="E1297" s="41" t="s">
        <v>2929</v>
      </c>
      <c r="F1297" s="41" t="s">
        <v>2930</v>
      </c>
      <c r="G1297" s="41" t="s">
        <v>2931</v>
      </c>
    </row>
    <row r="1298" spans="1:7" x14ac:dyDescent="0.25">
      <c r="A1298" s="41" t="s">
        <v>4430</v>
      </c>
      <c r="B1298" s="41" t="s">
        <v>4415</v>
      </c>
      <c r="C1298" s="41" t="s">
        <v>2928</v>
      </c>
      <c r="D1298" s="41" t="s">
        <v>4414</v>
      </c>
      <c r="E1298" s="41" t="s">
        <v>2929</v>
      </c>
      <c r="F1298" s="41" t="s">
        <v>2949</v>
      </c>
      <c r="G1298" s="41" t="s">
        <v>2950</v>
      </c>
    </row>
    <row r="1299" spans="1:7" x14ac:dyDescent="0.25">
      <c r="A1299" s="41" t="s">
        <v>4431</v>
      </c>
      <c r="B1299" s="41" t="s">
        <v>4415</v>
      </c>
      <c r="C1299" s="41" t="s">
        <v>2928</v>
      </c>
      <c r="D1299" s="41" t="s">
        <v>4414</v>
      </c>
      <c r="E1299" s="41" t="s">
        <v>2929</v>
      </c>
      <c r="F1299" s="41" t="s">
        <v>2949</v>
      </c>
      <c r="G1299" s="41" t="s">
        <v>2950</v>
      </c>
    </row>
    <row r="1300" spans="1:7" x14ac:dyDescent="0.25">
      <c r="A1300" s="41" t="s">
        <v>4432</v>
      </c>
      <c r="B1300" s="41" t="s">
        <v>4415</v>
      </c>
      <c r="C1300" s="41" t="s">
        <v>2928</v>
      </c>
      <c r="D1300" s="41" t="s">
        <v>4414</v>
      </c>
      <c r="E1300" s="41" t="s">
        <v>2929</v>
      </c>
      <c r="F1300" s="41" t="s">
        <v>2949</v>
      </c>
      <c r="G1300" s="41" t="s">
        <v>2950</v>
      </c>
    </row>
    <row r="1301" spans="1:7" x14ac:dyDescent="0.25">
      <c r="A1301" s="41" t="s">
        <v>4433</v>
      </c>
      <c r="B1301" s="41" t="s">
        <v>4415</v>
      </c>
      <c r="C1301" s="41" t="s">
        <v>2928</v>
      </c>
      <c r="D1301" s="41" t="s">
        <v>4414</v>
      </c>
      <c r="E1301" s="41" t="s">
        <v>2929</v>
      </c>
      <c r="F1301" s="41" t="s">
        <v>2949</v>
      </c>
      <c r="G1301" s="41" t="s">
        <v>2950</v>
      </c>
    </row>
    <row r="1302" spans="1:7" x14ac:dyDescent="0.25">
      <c r="A1302" s="41" t="s">
        <v>4434</v>
      </c>
      <c r="B1302" s="41" t="s">
        <v>4415</v>
      </c>
      <c r="C1302" s="41" t="s">
        <v>2928</v>
      </c>
      <c r="D1302" s="41" t="s">
        <v>4414</v>
      </c>
      <c r="E1302" s="41" t="s">
        <v>2929</v>
      </c>
      <c r="F1302" s="41" t="s">
        <v>2949</v>
      </c>
      <c r="G1302" s="41" t="s">
        <v>2950</v>
      </c>
    </row>
    <row r="1303" spans="1:7" x14ac:dyDescent="0.25">
      <c r="A1303" s="41" t="s">
        <v>4435</v>
      </c>
      <c r="B1303" s="41" t="s">
        <v>4415</v>
      </c>
      <c r="C1303" s="41" t="s">
        <v>2928</v>
      </c>
      <c r="D1303" s="41" t="s">
        <v>4414</v>
      </c>
      <c r="E1303" s="41" t="s">
        <v>2929</v>
      </c>
      <c r="F1303" s="41" t="s">
        <v>2949</v>
      </c>
      <c r="G1303" s="41" t="s">
        <v>2950</v>
      </c>
    </row>
    <row r="1304" spans="1:7" x14ac:dyDescent="0.25">
      <c r="A1304" s="41" t="s">
        <v>4436</v>
      </c>
      <c r="B1304" s="41" t="s">
        <v>4415</v>
      </c>
      <c r="C1304" s="41" t="s">
        <v>2928</v>
      </c>
      <c r="D1304" s="41" t="s">
        <v>4414</v>
      </c>
      <c r="E1304" s="41" t="s">
        <v>2929</v>
      </c>
      <c r="F1304" s="41" t="s">
        <v>2949</v>
      </c>
      <c r="G1304" s="41" t="s">
        <v>2950</v>
      </c>
    </row>
    <row r="1305" spans="1:7" x14ac:dyDescent="0.25">
      <c r="A1305" s="41" t="s">
        <v>4437</v>
      </c>
      <c r="B1305" s="41" t="s">
        <v>4438</v>
      </c>
      <c r="C1305" s="41" t="s">
        <v>2928</v>
      </c>
      <c r="D1305" s="41" t="s">
        <v>4437</v>
      </c>
      <c r="E1305" s="41" t="s">
        <v>2929</v>
      </c>
      <c r="F1305" s="41" t="s">
        <v>2930</v>
      </c>
      <c r="G1305" s="41" t="s">
        <v>2931</v>
      </c>
    </row>
    <row r="1306" spans="1:7" x14ac:dyDescent="0.25">
      <c r="A1306" s="41" t="s">
        <v>4439</v>
      </c>
      <c r="B1306" s="41" t="s">
        <v>4438</v>
      </c>
      <c r="C1306" s="41" t="s">
        <v>2928</v>
      </c>
      <c r="D1306" s="41" t="s">
        <v>4437</v>
      </c>
      <c r="E1306" s="41" t="s">
        <v>2929</v>
      </c>
      <c r="F1306" s="41" t="s">
        <v>2933</v>
      </c>
      <c r="G1306" s="41" t="s">
        <v>2934</v>
      </c>
    </row>
    <row r="1307" spans="1:7" x14ac:dyDescent="0.25">
      <c r="A1307" s="41" t="s">
        <v>4440</v>
      </c>
      <c r="B1307" s="41" t="s">
        <v>4438</v>
      </c>
      <c r="C1307" s="41" t="s">
        <v>2928</v>
      </c>
      <c r="D1307" s="41" t="s">
        <v>4437</v>
      </c>
      <c r="E1307" s="41" t="s">
        <v>2929</v>
      </c>
      <c r="F1307" s="41" t="s">
        <v>2930</v>
      </c>
      <c r="G1307" s="41" t="s">
        <v>2931</v>
      </c>
    </row>
    <row r="1308" spans="1:7" x14ac:dyDescent="0.25">
      <c r="A1308" s="41" t="s">
        <v>4441</v>
      </c>
      <c r="B1308" s="41" t="s">
        <v>4438</v>
      </c>
      <c r="C1308" s="41" t="s">
        <v>2928</v>
      </c>
      <c r="D1308" s="41" t="s">
        <v>4437</v>
      </c>
      <c r="E1308" s="41" t="s">
        <v>2929</v>
      </c>
      <c r="F1308" s="41" t="s">
        <v>2949</v>
      </c>
      <c r="G1308" s="41" t="s">
        <v>2950</v>
      </c>
    </row>
    <row r="1309" spans="1:7" x14ac:dyDescent="0.25">
      <c r="A1309" s="41" t="s">
        <v>4442</v>
      </c>
      <c r="B1309" s="41" t="s">
        <v>4438</v>
      </c>
      <c r="C1309" s="41" t="s">
        <v>2928</v>
      </c>
      <c r="D1309" s="41" t="s">
        <v>4437</v>
      </c>
      <c r="E1309" s="41" t="s">
        <v>2929</v>
      </c>
      <c r="F1309" s="41" t="s">
        <v>2949</v>
      </c>
      <c r="G1309" s="41" t="s">
        <v>2950</v>
      </c>
    </row>
    <row r="1310" spans="1:7" x14ac:dyDescent="0.25">
      <c r="A1310" s="41" t="s">
        <v>4443</v>
      </c>
      <c r="B1310" s="41" t="s">
        <v>4444</v>
      </c>
      <c r="C1310" s="41" t="s">
        <v>2928</v>
      </c>
      <c r="D1310" s="41" t="s">
        <v>4443</v>
      </c>
      <c r="E1310" s="41" t="s">
        <v>2929</v>
      </c>
      <c r="F1310" s="41" t="s">
        <v>2930</v>
      </c>
      <c r="G1310" s="41" t="s">
        <v>2931</v>
      </c>
    </row>
    <row r="1311" spans="1:7" x14ac:dyDescent="0.25">
      <c r="A1311" s="41" t="s">
        <v>4445</v>
      </c>
      <c r="B1311" s="41" t="s">
        <v>1195</v>
      </c>
      <c r="C1311" s="41" t="s">
        <v>2928</v>
      </c>
      <c r="D1311" s="41" t="s">
        <v>4445</v>
      </c>
      <c r="E1311" s="41" t="s">
        <v>2929</v>
      </c>
      <c r="F1311" s="41" t="s">
        <v>2930</v>
      </c>
      <c r="G1311" s="41" t="s">
        <v>2931</v>
      </c>
    </row>
    <row r="1312" spans="1:7" x14ac:dyDescent="0.25">
      <c r="A1312" s="41" t="s">
        <v>4446</v>
      </c>
      <c r="B1312" s="41" t="s">
        <v>1195</v>
      </c>
      <c r="C1312" s="41" t="s">
        <v>2928</v>
      </c>
      <c r="D1312" s="41" t="s">
        <v>4445</v>
      </c>
      <c r="E1312" s="41" t="s">
        <v>2929</v>
      </c>
      <c r="F1312" s="41" t="s">
        <v>2949</v>
      </c>
      <c r="G1312" s="41" t="s">
        <v>2950</v>
      </c>
    </row>
    <row r="1313" spans="1:7" x14ac:dyDescent="0.25">
      <c r="A1313" s="41" t="s">
        <v>4447</v>
      </c>
      <c r="B1313" s="41" t="s">
        <v>1080</v>
      </c>
      <c r="C1313" s="41" t="s">
        <v>2928</v>
      </c>
      <c r="D1313" s="41" t="s">
        <v>4447</v>
      </c>
      <c r="E1313" s="41" t="s">
        <v>2929</v>
      </c>
      <c r="F1313" s="41" t="s">
        <v>2930</v>
      </c>
      <c r="G1313" s="41" t="s">
        <v>2931</v>
      </c>
    </row>
    <row r="1314" spans="1:7" x14ac:dyDescent="0.25">
      <c r="A1314" s="41" t="s">
        <v>4448</v>
      </c>
      <c r="B1314" s="41" t="s">
        <v>1080</v>
      </c>
      <c r="C1314" s="41" t="s">
        <v>2928</v>
      </c>
      <c r="D1314" s="41" t="s">
        <v>4447</v>
      </c>
      <c r="E1314" s="41" t="s">
        <v>2929</v>
      </c>
      <c r="F1314" s="41" t="s">
        <v>2933</v>
      </c>
      <c r="G1314" s="41" t="s">
        <v>2934</v>
      </c>
    </row>
    <row r="1315" spans="1:7" x14ac:dyDescent="0.25">
      <c r="A1315" s="41" t="s">
        <v>4449</v>
      </c>
      <c r="B1315" s="41" t="s">
        <v>1080</v>
      </c>
      <c r="C1315" s="41" t="s">
        <v>2928</v>
      </c>
      <c r="D1315" s="41" t="s">
        <v>4447</v>
      </c>
      <c r="E1315" s="41" t="s">
        <v>2929</v>
      </c>
      <c r="F1315" s="41" t="s">
        <v>2933</v>
      </c>
      <c r="G1315" s="41" t="s">
        <v>2934</v>
      </c>
    </row>
    <row r="1316" spans="1:7" x14ac:dyDescent="0.25">
      <c r="A1316" s="41" t="s">
        <v>4450</v>
      </c>
      <c r="B1316" s="41" t="s">
        <v>1080</v>
      </c>
      <c r="C1316" s="41" t="s">
        <v>2928</v>
      </c>
      <c r="D1316" s="41" t="s">
        <v>4447</v>
      </c>
      <c r="E1316" s="41" t="s">
        <v>2929</v>
      </c>
      <c r="F1316" s="41" t="s">
        <v>2949</v>
      </c>
      <c r="G1316" s="41" t="s">
        <v>2950</v>
      </c>
    </row>
    <row r="1317" spans="1:7" x14ac:dyDescent="0.25">
      <c r="A1317" s="41" t="s">
        <v>4451</v>
      </c>
      <c r="B1317" s="41" t="s">
        <v>1080</v>
      </c>
      <c r="C1317" s="41" t="s">
        <v>2928</v>
      </c>
      <c r="D1317" s="41" t="s">
        <v>4447</v>
      </c>
      <c r="E1317" s="41" t="s">
        <v>2929</v>
      </c>
      <c r="F1317" s="41" t="s">
        <v>2949</v>
      </c>
      <c r="G1317" s="41" t="s">
        <v>2950</v>
      </c>
    </row>
    <row r="1318" spans="1:7" x14ac:dyDescent="0.25">
      <c r="A1318" s="41" t="s">
        <v>4452</v>
      </c>
      <c r="B1318" s="41" t="s">
        <v>1106</v>
      </c>
      <c r="C1318" s="41" t="s">
        <v>2928</v>
      </c>
      <c r="D1318" s="41" t="s">
        <v>4452</v>
      </c>
      <c r="E1318" s="41" t="s">
        <v>2929</v>
      </c>
      <c r="F1318" s="41" t="s">
        <v>2930</v>
      </c>
      <c r="G1318" s="41" t="s">
        <v>2931</v>
      </c>
    </row>
    <row r="1319" spans="1:7" x14ac:dyDescent="0.25">
      <c r="A1319" s="41" t="s">
        <v>1167</v>
      </c>
      <c r="B1319" s="41" t="s">
        <v>1168</v>
      </c>
      <c r="C1319" s="41" t="s">
        <v>2928</v>
      </c>
      <c r="D1319" s="41" t="s">
        <v>1167</v>
      </c>
      <c r="E1319" s="41" t="s">
        <v>2929</v>
      </c>
      <c r="F1319" s="41" t="s">
        <v>2930</v>
      </c>
      <c r="G1319" s="41" t="s">
        <v>2931</v>
      </c>
    </row>
    <row r="1320" spans="1:7" x14ac:dyDescent="0.25">
      <c r="A1320" s="41" t="s">
        <v>4453</v>
      </c>
      <c r="B1320" s="41" t="s">
        <v>1168</v>
      </c>
      <c r="C1320" s="41" t="s">
        <v>2928</v>
      </c>
      <c r="D1320" s="41" t="s">
        <v>1167</v>
      </c>
      <c r="E1320" s="41" t="s">
        <v>2929</v>
      </c>
      <c r="F1320" s="41" t="s">
        <v>2949</v>
      </c>
      <c r="G1320" s="41" t="s">
        <v>2950</v>
      </c>
    </row>
    <row r="1321" spans="1:7" x14ac:dyDescent="0.25">
      <c r="A1321" s="41" t="s">
        <v>1183</v>
      </c>
      <c r="B1321" s="41" t="s">
        <v>1184</v>
      </c>
      <c r="C1321" s="41" t="s">
        <v>2928</v>
      </c>
      <c r="D1321" s="41" t="s">
        <v>1183</v>
      </c>
      <c r="E1321" s="41" t="s">
        <v>2929</v>
      </c>
      <c r="F1321" s="41" t="s">
        <v>2930</v>
      </c>
      <c r="G1321" s="41" t="s">
        <v>2931</v>
      </c>
    </row>
    <row r="1322" spans="1:7" x14ac:dyDescent="0.25">
      <c r="A1322" s="41" t="s">
        <v>4454</v>
      </c>
      <c r="B1322" s="41" t="s">
        <v>1184</v>
      </c>
      <c r="C1322" s="41" t="s">
        <v>2928</v>
      </c>
      <c r="D1322" s="41" t="s">
        <v>1183</v>
      </c>
      <c r="E1322" s="41" t="s">
        <v>2929</v>
      </c>
      <c r="F1322" s="41" t="s">
        <v>2949</v>
      </c>
      <c r="G1322" s="41" t="s">
        <v>2950</v>
      </c>
    </row>
    <row r="1323" spans="1:7" x14ac:dyDescent="0.25">
      <c r="A1323" s="41" t="s">
        <v>2611</v>
      </c>
      <c r="B1323" s="41" t="s">
        <v>4455</v>
      </c>
      <c r="C1323" s="41" t="s">
        <v>2928</v>
      </c>
      <c r="D1323" s="41" t="s">
        <v>2611</v>
      </c>
      <c r="E1323" s="41" t="s">
        <v>2929</v>
      </c>
      <c r="F1323" s="41" t="s">
        <v>2930</v>
      </c>
      <c r="G1323" s="41" t="s">
        <v>2931</v>
      </c>
    </row>
    <row r="1324" spans="1:7" x14ac:dyDescent="0.25">
      <c r="A1324" s="41" t="s">
        <v>4456</v>
      </c>
      <c r="B1324" s="41" t="s">
        <v>4455</v>
      </c>
      <c r="C1324" s="41" t="s">
        <v>2928</v>
      </c>
      <c r="D1324" s="41" t="s">
        <v>2611</v>
      </c>
      <c r="E1324" s="41" t="s">
        <v>2929</v>
      </c>
      <c r="F1324" s="41" t="s">
        <v>2949</v>
      </c>
      <c r="G1324" s="41" t="s">
        <v>2950</v>
      </c>
    </row>
    <row r="1325" spans="1:7" x14ac:dyDescent="0.25">
      <c r="A1325" s="41" t="s">
        <v>4457</v>
      </c>
      <c r="B1325" s="41" t="s">
        <v>4458</v>
      </c>
      <c r="C1325" s="41" t="s">
        <v>2928</v>
      </c>
      <c r="D1325" s="41" t="s">
        <v>4457</v>
      </c>
      <c r="E1325" s="41" t="s">
        <v>2929</v>
      </c>
      <c r="F1325" s="41" t="s">
        <v>2930</v>
      </c>
      <c r="G1325" s="41" t="s">
        <v>2931</v>
      </c>
    </row>
    <row r="1326" spans="1:7" x14ac:dyDescent="0.25">
      <c r="A1326" s="41" t="s">
        <v>4459</v>
      </c>
      <c r="B1326" s="41" t="s">
        <v>4458</v>
      </c>
      <c r="C1326" s="41" t="s">
        <v>2928</v>
      </c>
      <c r="D1326" s="41" t="s">
        <v>4457</v>
      </c>
      <c r="E1326" s="41" t="s">
        <v>2929</v>
      </c>
      <c r="F1326" s="41" t="s">
        <v>2933</v>
      </c>
      <c r="G1326" s="41" t="s">
        <v>2934</v>
      </c>
    </row>
    <row r="1327" spans="1:7" x14ac:dyDescent="0.25">
      <c r="A1327" s="41" t="s">
        <v>4460</v>
      </c>
      <c r="B1327" s="41" t="s">
        <v>4458</v>
      </c>
      <c r="C1327" s="41" t="s">
        <v>2928</v>
      </c>
      <c r="D1327" s="41" t="s">
        <v>4457</v>
      </c>
      <c r="E1327" s="41" t="s">
        <v>2929</v>
      </c>
      <c r="F1327" s="41" t="s">
        <v>2933</v>
      </c>
      <c r="G1327" s="41" t="s">
        <v>2934</v>
      </c>
    </row>
    <row r="1328" spans="1:7" x14ac:dyDescent="0.25">
      <c r="A1328" s="41" t="s">
        <v>4461</v>
      </c>
      <c r="B1328" s="41" t="s">
        <v>4458</v>
      </c>
      <c r="C1328" s="41" t="s">
        <v>2928</v>
      </c>
      <c r="D1328" s="41" t="s">
        <v>4457</v>
      </c>
      <c r="E1328" s="41" t="s">
        <v>2929</v>
      </c>
      <c r="F1328" s="41" t="s">
        <v>2933</v>
      </c>
      <c r="G1328" s="41" t="s">
        <v>2934</v>
      </c>
    </row>
    <row r="1329" spans="1:7" x14ac:dyDescent="0.25">
      <c r="A1329" s="41" t="s">
        <v>4462</v>
      </c>
      <c r="B1329" s="41" t="s">
        <v>4458</v>
      </c>
      <c r="C1329" s="41" t="s">
        <v>2928</v>
      </c>
      <c r="D1329" s="41" t="s">
        <v>4457</v>
      </c>
      <c r="E1329" s="41" t="s">
        <v>2929</v>
      </c>
      <c r="F1329" s="41" t="s">
        <v>2933</v>
      </c>
      <c r="G1329" s="41" t="s">
        <v>2934</v>
      </c>
    </row>
    <row r="1330" spans="1:7" x14ac:dyDescent="0.25">
      <c r="A1330" s="41" t="s">
        <v>4463</v>
      </c>
      <c r="B1330" s="41" t="s">
        <v>4458</v>
      </c>
      <c r="C1330" s="41" t="s">
        <v>2928</v>
      </c>
      <c r="D1330" s="41" t="s">
        <v>4457</v>
      </c>
      <c r="E1330" s="41" t="s">
        <v>2929</v>
      </c>
      <c r="F1330" s="41" t="s">
        <v>2933</v>
      </c>
      <c r="G1330" s="41" t="s">
        <v>2934</v>
      </c>
    </row>
    <row r="1331" spans="1:7" x14ac:dyDescent="0.25">
      <c r="A1331" s="41" t="s">
        <v>4464</v>
      </c>
      <c r="B1331" s="41" t="s">
        <v>4458</v>
      </c>
      <c r="C1331" s="41" t="s">
        <v>2928</v>
      </c>
      <c r="D1331" s="41" t="s">
        <v>4457</v>
      </c>
      <c r="E1331" s="41" t="s">
        <v>2929</v>
      </c>
      <c r="F1331" s="41" t="s">
        <v>2933</v>
      </c>
      <c r="G1331" s="41" t="s">
        <v>2934</v>
      </c>
    </row>
    <row r="1332" spans="1:7" x14ac:dyDescent="0.25">
      <c r="A1332" s="41" t="s">
        <v>4465</v>
      </c>
      <c r="B1332" s="41" t="s">
        <v>4458</v>
      </c>
      <c r="C1332" s="41" t="s">
        <v>2928</v>
      </c>
      <c r="D1332" s="41" t="s">
        <v>4457</v>
      </c>
      <c r="E1332" s="41" t="s">
        <v>2929</v>
      </c>
      <c r="F1332" s="41" t="s">
        <v>2933</v>
      </c>
      <c r="G1332" s="41" t="s">
        <v>2934</v>
      </c>
    </row>
    <row r="1333" spans="1:7" x14ac:dyDescent="0.25">
      <c r="A1333" s="41" t="s">
        <v>4466</v>
      </c>
      <c r="B1333" s="41" t="s">
        <v>4458</v>
      </c>
      <c r="C1333" s="41" t="s">
        <v>2928</v>
      </c>
      <c r="D1333" s="41" t="s">
        <v>4457</v>
      </c>
      <c r="E1333" s="41" t="s">
        <v>2929</v>
      </c>
      <c r="F1333" s="41" t="s">
        <v>2930</v>
      </c>
      <c r="G1333" s="41" t="s">
        <v>2931</v>
      </c>
    </row>
    <row r="1334" spans="1:7" x14ac:dyDescent="0.25">
      <c r="A1334" s="41" t="s">
        <v>4467</v>
      </c>
      <c r="B1334" s="41" t="s">
        <v>4458</v>
      </c>
      <c r="C1334" s="41" t="s">
        <v>2928</v>
      </c>
      <c r="D1334" s="41" t="s">
        <v>4457</v>
      </c>
      <c r="E1334" s="41" t="s">
        <v>2929</v>
      </c>
      <c r="F1334" s="41" t="s">
        <v>2930</v>
      </c>
      <c r="G1334" s="41" t="s">
        <v>2931</v>
      </c>
    </row>
    <row r="1335" spans="1:7" x14ac:dyDescent="0.25">
      <c r="A1335" s="41" t="s">
        <v>4468</v>
      </c>
      <c r="B1335" s="41" t="s">
        <v>4458</v>
      </c>
      <c r="C1335" s="41" t="s">
        <v>2928</v>
      </c>
      <c r="D1335" s="41" t="s">
        <v>4457</v>
      </c>
      <c r="E1335" s="41" t="s">
        <v>2929</v>
      </c>
      <c r="F1335" s="41" t="s">
        <v>2930</v>
      </c>
      <c r="G1335" s="41" t="s">
        <v>2931</v>
      </c>
    </row>
    <row r="1336" spans="1:7" x14ac:dyDescent="0.25">
      <c r="A1336" s="41" t="s">
        <v>4469</v>
      </c>
      <c r="B1336" s="41" t="s">
        <v>4458</v>
      </c>
      <c r="C1336" s="41" t="s">
        <v>2928</v>
      </c>
      <c r="D1336" s="41" t="s">
        <v>4457</v>
      </c>
      <c r="E1336" s="41" t="s">
        <v>2929</v>
      </c>
      <c r="F1336" s="41" t="s">
        <v>2930</v>
      </c>
      <c r="G1336" s="41" t="s">
        <v>2931</v>
      </c>
    </row>
    <row r="1337" spans="1:7" x14ac:dyDescent="0.25">
      <c r="A1337" s="41" t="s">
        <v>4470</v>
      </c>
      <c r="B1337" s="41" t="s">
        <v>4458</v>
      </c>
      <c r="C1337" s="41" t="s">
        <v>2928</v>
      </c>
      <c r="D1337" s="41" t="s">
        <v>4457</v>
      </c>
      <c r="E1337" s="41" t="s">
        <v>2929</v>
      </c>
      <c r="F1337" s="41" t="s">
        <v>2930</v>
      </c>
      <c r="G1337" s="41" t="s">
        <v>2931</v>
      </c>
    </row>
    <row r="1338" spans="1:7" x14ac:dyDescent="0.25">
      <c r="A1338" s="41" t="s">
        <v>4471</v>
      </c>
      <c r="B1338" s="41" t="s">
        <v>4458</v>
      </c>
      <c r="C1338" s="41" t="s">
        <v>2928</v>
      </c>
      <c r="D1338" s="41" t="s">
        <v>4457</v>
      </c>
      <c r="E1338" s="41" t="s">
        <v>2929</v>
      </c>
      <c r="F1338" s="41" t="s">
        <v>2930</v>
      </c>
      <c r="G1338" s="41" t="s">
        <v>2931</v>
      </c>
    </row>
    <row r="1339" spans="1:7" x14ac:dyDescent="0.25">
      <c r="A1339" s="41" t="s">
        <v>4472</v>
      </c>
      <c r="B1339" s="41" t="s">
        <v>4458</v>
      </c>
      <c r="C1339" s="41" t="s">
        <v>2928</v>
      </c>
      <c r="D1339" s="41" t="s">
        <v>4457</v>
      </c>
      <c r="E1339" s="41" t="s">
        <v>2929</v>
      </c>
      <c r="F1339" s="41" t="s">
        <v>2930</v>
      </c>
      <c r="G1339" s="41" t="s">
        <v>2931</v>
      </c>
    </row>
    <row r="1340" spans="1:7" x14ac:dyDescent="0.25">
      <c r="A1340" s="41" t="s">
        <v>4473</v>
      </c>
      <c r="B1340" s="41" t="s">
        <v>4458</v>
      </c>
      <c r="C1340" s="41" t="s">
        <v>2928</v>
      </c>
      <c r="D1340" s="41" t="s">
        <v>4457</v>
      </c>
      <c r="E1340" s="41" t="s">
        <v>2929</v>
      </c>
      <c r="F1340" s="41" t="s">
        <v>2949</v>
      </c>
      <c r="G1340" s="41" t="s">
        <v>2950</v>
      </c>
    </row>
    <row r="1341" spans="1:7" x14ac:dyDescent="0.25">
      <c r="A1341" s="41" t="s">
        <v>4474</v>
      </c>
      <c r="B1341" s="41" t="s">
        <v>4458</v>
      </c>
      <c r="C1341" s="41" t="s">
        <v>2928</v>
      </c>
      <c r="D1341" s="41" t="s">
        <v>4457</v>
      </c>
      <c r="E1341" s="41" t="s">
        <v>2929</v>
      </c>
      <c r="F1341" s="41" t="s">
        <v>2949</v>
      </c>
      <c r="G1341" s="41" t="s">
        <v>2950</v>
      </c>
    </row>
    <row r="1342" spans="1:7" x14ac:dyDescent="0.25">
      <c r="A1342" s="41" t="s">
        <v>4475</v>
      </c>
      <c r="B1342" s="41" t="s">
        <v>4458</v>
      </c>
      <c r="C1342" s="41" t="s">
        <v>2928</v>
      </c>
      <c r="D1342" s="41" t="s">
        <v>4457</v>
      </c>
      <c r="E1342" s="41" t="s">
        <v>2929</v>
      </c>
      <c r="F1342" s="41" t="s">
        <v>2949</v>
      </c>
      <c r="G1342" s="41" t="s">
        <v>2950</v>
      </c>
    </row>
    <row r="1343" spans="1:7" x14ac:dyDescent="0.25">
      <c r="A1343" s="41" t="s">
        <v>4476</v>
      </c>
      <c r="B1343" s="41" t="s">
        <v>4458</v>
      </c>
      <c r="C1343" s="41" t="s">
        <v>2928</v>
      </c>
      <c r="D1343" s="41" t="s">
        <v>4457</v>
      </c>
      <c r="E1343" s="41" t="s">
        <v>2929</v>
      </c>
      <c r="F1343" s="41" t="s">
        <v>2949</v>
      </c>
      <c r="G1343" s="41" t="s">
        <v>2950</v>
      </c>
    </row>
    <row r="1344" spans="1:7" x14ac:dyDescent="0.25">
      <c r="A1344" s="41" t="s">
        <v>4477</v>
      </c>
      <c r="B1344" s="41" t="s">
        <v>4458</v>
      </c>
      <c r="C1344" s="41" t="s">
        <v>2928</v>
      </c>
      <c r="D1344" s="41" t="s">
        <v>4457</v>
      </c>
      <c r="E1344" s="41" t="s">
        <v>2929</v>
      </c>
      <c r="F1344" s="41" t="s">
        <v>2949</v>
      </c>
      <c r="G1344" s="41" t="s">
        <v>2950</v>
      </c>
    </row>
    <row r="1345" spans="1:7" x14ac:dyDescent="0.25">
      <c r="A1345" s="41" t="s">
        <v>4478</v>
      </c>
      <c r="B1345" s="41" t="s">
        <v>4458</v>
      </c>
      <c r="C1345" s="41" t="s">
        <v>2928</v>
      </c>
      <c r="D1345" s="41" t="s">
        <v>4457</v>
      </c>
      <c r="E1345" s="41" t="s">
        <v>2929</v>
      </c>
      <c r="F1345" s="41" t="s">
        <v>2949</v>
      </c>
      <c r="G1345" s="41" t="s">
        <v>2950</v>
      </c>
    </row>
    <row r="1346" spans="1:7" x14ac:dyDescent="0.25">
      <c r="A1346" s="41" t="s">
        <v>4479</v>
      </c>
      <c r="B1346" s="41" t="s">
        <v>4458</v>
      </c>
      <c r="C1346" s="41" t="s">
        <v>2928</v>
      </c>
      <c r="D1346" s="41" t="s">
        <v>4457</v>
      </c>
      <c r="E1346" s="41" t="s">
        <v>2929</v>
      </c>
      <c r="F1346" s="41" t="s">
        <v>2949</v>
      </c>
      <c r="G1346" s="41" t="s">
        <v>2950</v>
      </c>
    </row>
    <row r="1347" spans="1:7" x14ac:dyDescent="0.25">
      <c r="A1347" s="41" t="s">
        <v>4480</v>
      </c>
      <c r="B1347" s="41" t="s">
        <v>909</v>
      </c>
      <c r="C1347" s="41" t="s">
        <v>2928</v>
      </c>
      <c r="D1347" s="41" t="s">
        <v>4480</v>
      </c>
      <c r="E1347" s="41" t="s">
        <v>2929</v>
      </c>
      <c r="F1347" s="41" t="s">
        <v>2930</v>
      </c>
      <c r="G1347" s="41" t="s">
        <v>2931</v>
      </c>
    </row>
    <row r="1348" spans="1:7" x14ac:dyDescent="0.25">
      <c r="A1348" s="41" t="s">
        <v>4481</v>
      </c>
      <c r="B1348" s="41" t="s">
        <v>909</v>
      </c>
      <c r="C1348" s="41" t="s">
        <v>2928</v>
      </c>
      <c r="D1348" s="41" t="s">
        <v>4480</v>
      </c>
      <c r="E1348" s="41" t="s">
        <v>2929</v>
      </c>
      <c r="F1348" s="41" t="s">
        <v>2933</v>
      </c>
      <c r="G1348" s="41" t="s">
        <v>2934</v>
      </c>
    </row>
    <row r="1349" spans="1:7" x14ac:dyDescent="0.25">
      <c r="A1349" s="41" t="s">
        <v>4482</v>
      </c>
      <c r="B1349" s="41" t="s">
        <v>3316</v>
      </c>
      <c r="C1349" s="41" t="s">
        <v>78</v>
      </c>
      <c r="D1349" s="41" t="s">
        <v>3317</v>
      </c>
      <c r="E1349" s="41" t="s">
        <v>2929</v>
      </c>
      <c r="F1349" s="41" t="s">
        <v>2930</v>
      </c>
      <c r="G1349" s="41" t="s">
        <v>2931</v>
      </c>
    </row>
    <row r="1350" spans="1:7" x14ac:dyDescent="0.25">
      <c r="A1350" s="41" t="s">
        <v>4483</v>
      </c>
      <c r="B1350" s="41" t="s">
        <v>4484</v>
      </c>
      <c r="C1350" s="41" t="s">
        <v>2928</v>
      </c>
      <c r="D1350" s="41" t="s">
        <v>4483</v>
      </c>
      <c r="E1350" s="41" t="s">
        <v>2929</v>
      </c>
      <c r="F1350" s="41" t="s">
        <v>2930</v>
      </c>
      <c r="G1350" s="41" t="s">
        <v>2931</v>
      </c>
    </row>
    <row r="1351" spans="1:7" x14ac:dyDescent="0.25">
      <c r="A1351" s="41" t="s">
        <v>4485</v>
      </c>
      <c r="B1351" s="41" t="s">
        <v>4484</v>
      </c>
      <c r="C1351" s="41" t="s">
        <v>2928</v>
      </c>
      <c r="D1351" s="41" t="s">
        <v>4483</v>
      </c>
      <c r="E1351" s="41" t="s">
        <v>2929</v>
      </c>
      <c r="F1351" s="41" t="s">
        <v>2933</v>
      </c>
      <c r="G1351" s="41" t="s">
        <v>2934</v>
      </c>
    </row>
    <row r="1352" spans="1:7" x14ac:dyDescent="0.25">
      <c r="A1352" s="41" t="s">
        <v>4486</v>
      </c>
      <c r="B1352" s="41" t="s">
        <v>4484</v>
      </c>
      <c r="C1352" s="41" t="s">
        <v>2928</v>
      </c>
      <c r="D1352" s="41" t="s">
        <v>4483</v>
      </c>
      <c r="E1352" s="41" t="s">
        <v>2929</v>
      </c>
      <c r="F1352" s="41" t="s">
        <v>2933</v>
      </c>
      <c r="G1352" s="41" t="s">
        <v>2934</v>
      </c>
    </row>
    <row r="1353" spans="1:7" x14ac:dyDescent="0.25">
      <c r="A1353" s="41" t="s">
        <v>4487</v>
      </c>
      <c r="B1353" s="41" t="s">
        <v>4484</v>
      </c>
      <c r="C1353" s="41" t="s">
        <v>2928</v>
      </c>
      <c r="D1353" s="41" t="s">
        <v>4483</v>
      </c>
      <c r="E1353" s="41" t="s">
        <v>2929</v>
      </c>
      <c r="F1353" s="41" t="s">
        <v>2933</v>
      </c>
      <c r="G1353" s="41" t="s">
        <v>2934</v>
      </c>
    </row>
    <row r="1354" spans="1:7" x14ac:dyDescent="0.25">
      <c r="A1354" s="41" t="s">
        <v>4488</v>
      </c>
      <c r="B1354" s="41" t="s">
        <v>4484</v>
      </c>
      <c r="C1354" s="41" t="s">
        <v>2928</v>
      </c>
      <c r="D1354" s="41" t="s">
        <v>4483</v>
      </c>
      <c r="E1354" s="41" t="s">
        <v>2929</v>
      </c>
      <c r="F1354" s="41" t="s">
        <v>2933</v>
      </c>
      <c r="G1354" s="41" t="s">
        <v>2934</v>
      </c>
    </row>
    <row r="1355" spans="1:7" x14ac:dyDescent="0.25">
      <c r="A1355" s="41" t="s">
        <v>4489</v>
      </c>
      <c r="B1355" s="41" t="s">
        <v>4484</v>
      </c>
      <c r="C1355" s="41" t="s">
        <v>2928</v>
      </c>
      <c r="D1355" s="41" t="s">
        <v>4483</v>
      </c>
      <c r="E1355" s="41" t="s">
        <v>2929</v>
      </c>
      <c r="F1355" s="41" t="s">
        <v>2933</v>
      </c>
      <c r="G1355" s="41" t="s">
        <v>2934</v>
      </c>
    </row>
    <row r="1356" spans="1:7" x14ac:dyDescent="0.25">
      <c r="A1356" s="41" t="s">
        <v>4490</v>
      </c>
      <c r="B1356" s="41" t="s">
        <v>4484</v>
      </c>
      <c r="C1356" s="41" t="s">
        <v>2928</v>
      </c>
      <c r="D1356" s="41" t="s">
        <v>4483</v>
      </c>
      <c r="E1356" s="41" t="s">
        <v>2929</v>
      </c>
      <c r="F1356" s="41" t="s">
        <v>2933</v>
      </c>
      <c r="G1356" s="41" t="s">
        <v>2934</v>
      </c>
    </row>
    <row r="1357" spans="1:7" x14ac:dyDescent="0.25">
      <c r="A1357" s="41" t="s">
        <v>4491</v>
      </c>
      <c r="B1357" s="41" t="s">
        <v>4484</v>
      </c>
      <c r="C1357" s="41" t="s">
        <v>2928</v>
      </c>
      <c r="D1357" s="41" t="s">
        <v>4483</v>
      </c>
      <c r="E1357" s="41" t="s">
        <v>2929</v>
      </c>
      <c r="F1357" s="41" t="s">
        <v>2933</v>
      </c>
      <c r="G1357" s="41" t="s">
        <v>2934</v>
      </c>
    </row>
    <row r="1358" spans="1:7" x14ac:dyDescent="0.25">
      <c r="A1358" s="41" t="s">
        <v>4492</v>
      </c>
      <c r="B1358" s="41" t="s">
        <v>4484</v>
      </c>
      <c r="C1358" s="41" t="s">
        <v>2928</v>
      </c>
      <c r="D1358" s="41" t="s">
        <v>4483</v>
      </c>
      <c r="E1358" s="41" t="s">
        <v>2929</v>
      </c>
      <c r="F1358" s="41" t="s">
        <v>2930</v>
      </c>
      <c r="G1358" s="41" t="s">
        <v>2931</v>
      </c>
    </row>
    <row r="1359" spans="1:7" x14ac:dyDescent="0.25">
      <c r="A1359" s="41" t="s">
        <v>4493</v>
      </c>
      <c r="B1359" s="41" t="s">
        <v>4484</v>
      </c>
      <c r="C1359" s="41" t="s">
        <v>2928</v>
      </c>
      <c r="D1359" s="41" t="s">
        <v>4483</v>
      </c>
      <c r="E1359" s="41" t="s">
        <v>2929</v>
      </c>
      <c r="F1359" s="41" t="s">
        <v>2930</v>
      </c>
      <c r="G1359" s="41" t="s">
        <v>2931</v>
      </c>
    </row>
    <row r="1360" spans="1:7" x14ac:dyDescent="0.25">
      <c r="A1360" s="41" t="s">
        <v>4494</v>
      </c>
      <c r="B1360" s="41" t="s">
        <v>4484</v>
      </c>
      <c r="C1360" s="41" t="s">
        <v>2928</v>
      </c>
      <c r="D1360" s="41" t="s">
        <v>4483</v>
      </c>
      <c r="E1360" s="41" t="s">
        <v>2929</v>
      </c>
      <c r="F1360" s="41" t="s">
        <v>2930</v>
      </c>
      <c r="G1360" s="41" t="s">
        <v>2931</v>
      </c>
    </row>
    <row r="1361" spans="1:7" x14ac:dyDescent="0.25">
      <c r="A1361" s="41" t="s">
        <v>4495</v>
      </c>
      <c r="B1361" s="41" t="s">
        <v>4484</v>
      </c>
      <c r="C1361" s="41" t="s">
        <v>2928</v>
      </c>
      <c r="D1361" s="41" t="s">
        <v>4483</v>
      </c>
      <c r="E1361" s="41" t="s">
        <v>2929</v>
      </c>
      <c r="F1361" s="41" t="s">
        <v>2930</v>
      </c>
      <c r="G1361" s="41" t="s">
        <v>2931</v>
      </c>
    </row>
    <row r="1362" spans="1:7" x14ac:dyDescent="0.25">
      <c r="A1362" s="41" t="s">
        <v>4496</v>
      </c>
      <c r="B1362" s="41" t="s">
        <v>4484</v>
      </c>
      <c r="C1362" s="41" t="s">
        <v>2928</v>
      </c>
      <c r="D1362" s="41" t="s">
        <v>4483</v>
      </c>
      <c r="E1362" s="41" t="s">
        <v>2929</v>
      </c>
      <c r="F1362" s="41" t="s">
        <v>2930</v>
      </c>
      <c r="G1362" s="41" t="s">
        <v>2931</v>
      </c>
    </row>
    <row r="1363" spans="1:7" x14ac:dyDescent="0.25">
      <c r="A1363" s="41" t="s">
        <v>4497</v>
      </c>
      <c r="B1363" s="41" t="s">
        <v>4484</v>
      </c>
      <c r="C1363" s="41" t="s">
        <v>2928</v>
      </c>
      <c r="D1363" s="41" t="s">
        <v>4483</v>
      </c>
      <c r="E1363" s="41" t="s">
        <v>2929</v>
      </c>
      <c r="F1363" s="41" t="s">
        <v>2930</v>
      </c>
      <c r="G1363" s="41" t="s">
        <v>2931</v>
      </c>
    </row>
    <row r="1364" spans="1:7" x14ac:dyDescent="0.25">
      <c r="A1364" s="41" t="s">
        <v>4498</v>
      </c>
      <c r="B1364" s="41" t="s">
        <v>4484</v>
      </c>
      <c r="C1364" s="41" t="s">
        <v>2928</v>
      </c>
      <c r="D1364" s="41" t="s">
        <v>4483</v>
      </c>
      <c r="E1364" s="41" t="s">
        <v>2929</v>
      </c>
      <c r="F1364" s="41" t="s">
        <v>2930</v>
      </c>
      <c r="G1364" s="41" t="s">
        <v>2931</v>
      </c>
    </row>
    <row r="1365" spans="1:7" x14ac:dyDescent="0.25">
      <c r="A1365" s="41" t="s">
        <v>4499</v>
      </c>
      <c r="B1365" s="41" t="s">
        <v>4484</v>
      </c>
      <c r="C1365" s="41" t="s">
        <v>2928</v>
      </c>
      <c r="D1365" s="41" t="s">
        <v>4483</v>
      </c>
      <c r="E1365" s="41" t="s">
        <v>2929</v>
      </c>
      <c r="F1365" s="41" t="s">
        <v>2949</v>
      </c>
      <c r="G1365" s="41" t="s">
        <v>2950</v>
      </c>
    </row>
    <row r="1366" spans="1:7" x14ac:dyDescent="0.25">
      <c r="A1366" s="41" t="s">
        <v>4500</v>
      </c>
      <c r="B1366" s="41" t="s">
        <v>4484</v>
      </c>
      <c r="C1366" s="41" t="s">
        <v>2928</v>
      </c>
      <c r="D1366" s="41" t="s">
        <v>4483</v>
      </c>
      <c r="E1366" s="41" t="s">
        <v>2929</v>
      </c>
      <c r="F1366" s="41" t="s">
        <v>2949</v>
      </c>
      <c r="G1366" s="41" t="s">
        <v>2950</v>
      </c>
    </row>
    <row r="1367" spans="1:7" x14ac:dyDescent="0.25">
      <c r="A1367" s="41" t="s">
        <v>4501</v>
      </c>
      <c r="B1367" s="41" t="s">
        <v>4484</v>
      </c>
      <c r="C1367" s="41" t="s">
        <v>2928</v>
      </c>
      <c r="D1367" s="41" t="s">
        <v>4483</v>
      </c>
      <c r="E1367" s="41" t="s">
        <v>2929</v>
      </c>
      <c r="F1367" s="41" t="s">
        <v>2949</v>
      </c>
      <c r="G1367" s="41" t="s">
        <v>2950</v>
      </c>
    </row>
    <row r="1368" spans="1:7" x14ac:dyDescent="0.25">
      <c r="A1368" s="41" t="s">
        <v>4502</v>
      </c>
      <c r="B1368" s="41" t="s">
        <v>4484</v>
      </c>
      <c r="C1368" s="41" t="s">
        <v>2928</v>
      </c>
      <c r="D1368" s="41" t="s">
        <v>4483</v>
      </c>
      <c r="E1368" s="41" t="s">
        <v>2929</v>
      </c>
      <c r="F1368" s="41" t="s">
        <v>2949</v>
      </c>
      <c r="G1368" s="41" t="s">
        <v>2950</v>
      </c>
    </row>
    <row r="1369" spans="1:7" x14ac:dyDescent="0.25">
      <c r="A1369" s="41" t="s">
        <v>4503</v>
      </c>
      <c r="B1369" s="41" t="s">
        <v>4484</v>
      </c>
      <c r="C1369" s="41" t="s">
        <v>2928</v>
      </c>
      <c r="D1369" s="41" t="s">
        <v>4483</v>
      </c>
      <c r="E1369" s="41" t="s">
        <v>2929</v>
      </c>
      <c r="F1369" s="41" t="s">
        <v>2949</v>
      </c>
      <c r="G1369" s="41" t="s">
        <v>2950</v>
      </c>
    </row>
    <row r="1370" spans="1:7" x14ac:dyDescent="0.25">
      <c r="A1370" s="41" t="s">
        <v>4504</v>
      </c>
      <c r="B1370" s="41" t="s">
        <v>4484</v>
      </c>
      <c r="C1370" s="41" t="s">
        <v>2928</v>
      </c>
      <c r="D1370" s="41" t="s">
        <v>4483</v>
      </c>
      <c r="E1370" s="41" t="s">
        <v>2929</v>
      </c>
      <c r="F1370" s="41" t="s">
        <v>2949</v>
      </c>
      <c r="G1370" s="41" t="s">
        <v>2950</v>
      </c>
    </row>
    <row r="1371" spans="1:7" x14ac:dyDescent="0.25">
      <c r="A1371" s="41" t="s">
        <v>4505</v>
      </c>
      <c r="B1371" s="41" t="s">
        <v>4484</v>
      </c>
      <c r="C1371" s="41" t="s">
        <v>2928</v>
      </c>
      <c r="D1371" s="41" t="s">
        <v>4483</v>
      </c>
      <c r="E1371" s="41" t="s">
        <v>2929</v>
      </c>
      <c r="F1371" s="41" t="s">
        <v>2949</v>
      </c>
      <c r="G1371" s="41" t="s">
        <v>2950</v>
      </c>
    </row>
    <row r="1372" spans="1:7" x14ac:dyDescent="0.25">
      <c r="A1372" s="41" t="s">
        <v>4506</v>
      </c>
      <c r="B1372" s="41" t="s">
        <v>4507</v>
      </c>
      <c r="C1372" s="41" t="s">
        <v>2928</v>
      </c>
      <c r="D1372" s="41" t="s">
        <v>4506</v>
      </c>
      <c r="E1372" s="41" t="s">
        <v>2929</v>
      </c>
      <c r="F1372" s="41" t="s">
        <v>2930</v>
      </c>
      <c r="G1372" s="41" t="s">
        <v>2931</v>
      </c>
    </row>
    <row r="1373" spans="1:7" x14ac:dyDescent="0.25">
      <c r="A1373" s="41" t="s">
        <v>4508</v>
      </c>
      <c r="B1373" s="41" t="s">
        <v>4507</v>
      </c>
      <c r="C1373" s="41" t="s">
        <v>2928</v>
      </c>
      <c r="D1373" s="41" t="s">
        <v>4506</v>
      </c>
      <c r="E1373" s="41" t="s">
        <v>2929</v>
      </c>
      <c r="F1373" s="41" t="s">
        <v>2933</v>
      </c>
      <c r="G1373" s="41" t="s">
        <v>2934</v>
      </c>
    </row>
    <row r="1374" spans="1:7" x14ac:dyDescent="0.25">
      <c r="A1374" s="41" t="s">
        <v>4509</v>
      </c>
      <c r="B1374" s="41" t="s">
        <v>4507</v>
      </c>
      <c r="C1374" s="41" t="s">
        <v>2928</v>
      </c>
      <c r="D1374" s="41" t="s">
        <v>4506</v>
      </c>
      <c r="E1374" s="41" t="s">
        <v>2929</v>
      </c>
      <c r="F1374" s="41" t="s">
        <v>2930</v>
      </c>
      <c r="G1374" s="41" t="s">
        <v>2931</v>
      </c>
    </row>
    <row r="1375" spans="1:7" x14ac:dyDescent="0.25">
      <c r="A1375" s="41" t="s">
        <v>4510</v>
      </c>
      <c r="B1375" s="41" t="s">
        <v>4507</v>
      </c>
      <c r="C1375" s="41" t="s">
        <v>2928</v>
      </c>
      <c r="D1375" s="41" t="s">
        <v>4506</v>
      </c>
      <c r="E1375" s="41" t="s">
        <v>2929</v>
      </c>
      <c r="F1375" s="41" t="s">
        <v>2949</v>
      </c>
      <c r="G1375" s="41" t="s">
        <v>2950</v>
      </c>
    </row>
    <row r="1376" spans="1:7" x14ac:dyDescent="0.25">
      <c r="A1376" s="41" t="s">
        <v>4511</v>
      </c>
      <c r="B1376" s="41" t="s">
        <v>4507</v>
      </c>
      <c r="C1376" s="41" t="s">
        <v>2928</v>
      </c>
      <c r="D1376" s="41" t="s">
        <v>4506</v>
      </c>
      <c r="E1376" s="41" t="s">
        <v>2929</v>
      </c>
      <c r="F1376" s="41" t="s">
        <v>2949</v>
      </c>
      <c r="G1376" s="41" t="s">
        <v>2950</v>
      </c>
    </row>
    <row r="1377" spans="1:7" x14ac:dyDescent="0.25">
      <c r="A1377" s="41" t="s">
        <v>4512</v>
      </c>
      <c r="B1377" s="41" t="s">
        <v>4507</v>
      </c>
      <c r="C1377" s="41" t="s">
        <v>2928</v>
      </c>
      <c r="D1377" s="41" t="s">
        <v>4506</v>
      </c>
      <c r="E1377" s="41" t="s">
        <v>2929</v>
      </c>
      <c r="F1377" s="41" t="s">
        <v>2949</v>
      </c>
      <c r="G1377" s="41" t="s">
        <v>2950</v>
      </c>
    </row>
    <row r="1378" spans="1:7" x14ac:dyDescent="0.25">
      <c r="A1378" s="41" t="s">
        <v>4513</v>
      </c>
      <c r="B1378" s="41" t="s">
        <v>4514</v>
      </c>
      <c r="C1378" s="41" t="s">
        <v>2928</v>
      </c>
      <c r="D1378" s="41" t="s">
        <v>4513</v>
      </c>
      <c r="E1378" s="41" t="s">
        <v>2929</v>
      </c>
      <c r="F1378" s="41" t="s">
        <v>2930</v>
      </c>
      <c r="G1378" s="41" t="s">
        <v>2931</v>
      </c>
    </row>
    <row r="1379" spans="1:7" x14ac:dyDescent="0.25">
      <c r="A1379" s="41" t="s">
        <v>4515</v>
      </c>
      <c r="B1379" s="41" t="s">
        <v>4514</v>
      </c>
      <c r="C1379" s="41" t="s">
        <v>2928</v>
      </c>
      <c r="D1379" s="41" t="s">
        <v>4513</v>
      </c>
      <c r="E1379" s="41" t="s">
        <v>2929</v>
      </c>
      <c r="F1379" s="41" t="s">
        <v>2933</v>
      </c>
      <c r="G1379" s="41" t="s">
        <v>2934</v>
      </c>
    </row>
    <row r="1380" spans="1:7" x14ac:dyDescent="0.25">
      <c r="A1380" s="41" t="s">
        <v>4516</v>
      </c>
      <c r="B1380" s="41" t="s">
        <v>4514</v>
      </c>
      <c r="C1380" s="41" t="s">
        <v>2928</v>
      </c>
      <c r="D1380" s="41" t="s">
        <v>4513</v>
      </c>
      <c r="E1380" s="41" t="s">
        <v>2929</v>
      </c>
      <c r="F1380" s="41" t="s">
        <v>2930</v>
      </c>
      <c r="G1380" s="41" t="s">
        <v>2931</v>
      </c>
    </row>
    <row r="1381" spans="1:7" x14ac:dyDescent="0.25">
      <c r="A1381" s="41" t="s">
        <v>4517</v>
      </c>
      <c r="B1381" s="41" t="s">
        <v>4514</v>
      </c>
      <c r="C1381" s="41" t="s">
        <v>2928</v>
      </c>
      <c r="D1381" s="41" t="s">
        <v>4513</v>
      </c>
      <c r="E1381" s="41" t="s">
        <v>2929</v>
      </c>
      <c r="F1381" s="41" t="s">
        <v>2949</v>
      </c>
      <c r="G1381" s="41" t="s">
        <v>2950</v>
      </c>
    </row>
    <row r="1382" spans="1:7" x14ac:dyDescent="0.25">
      <c r="A1382" s="41" t="s">
        <v>4518</v>
      </c>
      <c r="B1382" s="41" t="s">
        <v>4514</v>
      </c>
      <c r="C1382" s="41" t="s">
        <v>2928</v>
      </c>
      <c r="D1382" s="41" t="s">
        <v>4513</v>
      </c>
      <c r="E1382" s="41" t="s">
        <v>2929</v>
      </c>
      <c r="F1382" s="41" t="s">
        <v>2949</v>
      </c>
      <c r="G1382" s="41" t="s">
        <v>2950</v>
      </c>
    </row>
    <row r="1383" spans="1:7" x14ac:dyDescent="0.25">
      <c r="A1383" s="41" t="s">
        <v>4519</v>
      </c>
      <c r="B1383" s="41" t="s">
        <v>4514</v>
      </c>
      <c r="C1383" s="41" t="s">
        <v>2928</v>
      </c>
      <c r="D1383" s="41" t="s">
        <v>4513</v>
      </c>
      <c r="E1383" s="41" t="s">
        <v>2929</v>
      </c>
      <c r="F1383" s="41" t="s">
        <v>2949</v>
      </c>
      <c r="G1383" s="41" t="s">
        <v>2950</v>
      </c>
    </row>
    <row r="1384" spans="1:7" x14ac:dyDescent="0.25">
      <c r="A1384" s="41" t="s">
        <v>174</v>
      </c>
      <c r="B1384" s="41" t="s">
        <v>175</v>
      </c>
      <c r="C1384" s="41" t="s">
        <v>2928</v>
      </c>
      <c r="D1384" s="41" t="s">
        <v>174</v>
      </c>
      <c r="E1384" s="41" t="s">
        <v>3756</v>
      </c>
      <c r="F1384" s="41" t="s">
        <v>2930</v>
      </c>
      <c r="G1384" s="41" t="s">
        <v>2931</v>
      </c>
    </row>
    <row r="1385" spans="1:7" x14ac:dyDescent="0.25">
      <c r="A1385" s="41" t="s">
        <v>4520</v>
      </c>
      <c r="B1385" s="41" t="s">
        <v>175</v>
      </c>
      <c r="C1385" s="41" t="s">
        <v>2928</v>
      </c>
      <c r="D1385" s="41" t="s">
        <v>174</v>
      </c>
      <c r="E1385" s="41" t="s">
        <v>2929</v>
      </c>
      <c r="F1385" s="41" t="s">
        <v>2933</v>
      </c>
      <c r="G1385" s="41" t="s">
        <v>2934</v>
      </c>
    </row>
    <row r="1386" spans="1:7" x14ac:dyDescent="0.25">
      <c r="A1386" s="41" t="s">
        <v>4521</v>
      </c>
      <c r="B1386" s="41" t="s">
        <v>175</v>
      </c>
      <c r="C1386" s="41" t="s">
        <v>2928</v>
      </c>
      <c r="D1386" s="41" t="s">
        <v>174</v>
      </c>
      <c r="E1386" s="41" t="s">
        <v>2929</v>
      </c>
      <c r="F1386" s="41" t="s">
        <v>2933</v>
      </c>
      <c r="G1386" s="41" t="s">
        <v>2934</v>
      </c>
    </row>
    <row r="1387" spans="1:7" x14ac:dyDescent="0.25">
      <c r="A1387" s="41" t="s">
        <v>4522</v>
      </c>
      <c r="B1387" s="41" t="s">
        <v>175</v>
      </c>
      <c r="C1387" s="41" t="s">
        <v>2928</v>
      </c>
      <c r="D1387" s="41" t="s">
        <v>174</v>
      </c>
      <c r="E1387" s="41" t="s">
        <v>2929</v>
      </c>
      <c r="F1387" s="41" t="s">
        <v>2933</v>
      </c>
      <c r="G1387" s="41" t="s">
        <v>2934</v>
      </c>
    </row>
    <row r="1388" spans="1:7" x14ac:dyDescent="0.25">
      <c r="A1388" s="41" t="s">
        <v>4523</v>
      </c>
      <c r="B1388" s="41" t="s">
        <v>175</v>
      </c>
      <c r="C1388" s="41" t="s">
        <v>2928</v>
      </c>
      <c r="D1388" s="41" t="s">
        <v>174</v>
      </c>
      <c r="E1388" s="41" t="s">
        <v>2929</v>
      </c>
      <c r="F1388" s="41" t="s">
        <v>2930</v>
      </c>
      <c r="G1388" s="41" t="s">
        <v>2931</v>
      </c>
    </row>
    <row r="1389" spans="1:7" x14ac:dyDescent="0.25">
      <c r="A1389" s="41" t="s">
        <v>4524</v>
      </c>
      <c r="B1389" s="41" t="s">
        <v>175</v>
      </c>
      <c r="C1389" s="41" t="s">
        <v>2928</v>
      </c>
      <c r="D1389" s="41" t="s">
        <v>174</v>
      </c>
      <c r="E1389" s="41" t="s">
        <v>2929</v>
      </c>
      <c r="F1389" s="41" t="s">
        <v>2930</v>
      </c>
      <c r="G1389" s="41" t="s">
        <v>2931</v>
      </c>
    </row>
    <row r="1390" spans="1:7" x14ac:dyDescent="0.25">
      <c r="A1390" s="41" t="s">
        <v>4525</v>
      </c>
      <c r="B1390" s="41" t="s">
        <v>175</v>
      </c>
      <c r="C1390" s="41" t="s">
        <v>2928</v>
      </c>
      <c r="D1390" s="41" t="s">
        <v>174</v>
      </c>
      <c r="E1390" s="41" t="s">
        <v>2929</v>
      </c>
      <c r="F1390" s="41" t="s">
        <v>2930</v>
      </c>
      <c r="G1390" s="41" t="s">
        <v>2931</v>
      </c>
    </row>
    <row r="1391" spans="1:7" x14ac:dyDescent="0.25">
      <c r="A1391" s="41" t="s">
        <v>4526</v>
      </c>
      <c r="B1391" s="41" t="s">
        <v>175</v>
      </c>
      <c r="C1391" s="41" t="s">
        <v>2928</v>
      </c>
      <c r="D1391" s="41" t="s">
        <v>174</v>
      </c>
      <c r="E1391" s="41" t="s">
        <v>2929</v>
      </c>
      <c r="F1391" s="41" t="s">
        <v>2930</v>
      </c>
      <c r="G1391" s="41" t="s">
        <v>2931</v>
      </c>
    </row>
    <row r="1392" spans="1:7" x14ac:dyDescent="0.25">
      <c r="A1392" s="41" t="s">
        <v>4527</v>
      </c>
      <c r="B1392" s="41" t="s">
        <v>175</v>
      </c>
      <c r="C1392" s="41" t="s">
        <v>2928</v>
      </c>
      <c r="D1392" s="41" t="s">
        <v>174</v>
      </c>
      <c r="E1392" s="41" t="s">
        <v>2929</v>
      </c>
      <c r="F1392" s="41" t="s">
        <v>2949</v>
      </c>
      <c r="G1392" s="41" t="s">
        <v>2950</v>
      </c>
    </row>
    <row r="1393" spans="1:7" x14ac:dyDescent="0.25">
      <c r="A1393" s="41" t="s">
        <v>4528</v>
      </c>
      <c r="B1393" s="41" t="s">
        <v>175</v>
      </c>
      <c r="C1393" s="41" t="s">
        <v>2928</v>
      </c>
      <c r="D1393" s="41" t="s">
        <v>174</v>
      </c>
      <c r="E1393" s="41" t="s">
        <v>2929</v>
      </c>
      <c r="F1393" s="41" t="s">
        <v>2949</v>
      </c>
      <c r="G1393" s="41" t="s">
        <v>2950</v>
      </c>
    </row>
    <row r="1394" spans="1:7" x14ac:dyDescent="0.25">
      <c r="A1394" s="41" t="s">
        <v>187</v>
      </c>
      <c r="B1394" s="41" t="s">
        <v>4529</v>
      </c>
      <c r="C1394" s="41" t="s">
        <v>2928</v>
      </c>
      <c r="D1394" s="41" t="s">
        <v>187</v>
      </c>
      <c r="E1394" s="41" t="s">
        <v>2929</v>
      </c>
      <c r="F1394" s="41" t="s">
        <v>2930</v>
      </c>
      <c r="G1394" s="41" t="s">
        <v>2931</v>
      </c>
    </row>
    <row r="1395" spans="1:7" x14ac:dyDescent="0.25">
      <c r="A1395" s="41" t="s">
        <v>4530</v>
      </c>
      <c r="B1395" s="41" t="s">
        <v>4529</v>
      </c>
      <c r="C1395" s="41" t="s">
        <v>2928</v>
      </c>
      <c r="D1395" s="41" t="s">
        <v>187</v>
      </c>
      <c r="E1395" s="41" t="s">
        <v>2929</v>
      </c>
      <c r="F1395" s="41" t="s">
        <v>2933</v>
      </c>
      <c r="G1395" s="41" t="s">
        <v>2934</v>
      </c>
    </row>
    <row r="1396" spans="1:7" x14ac:dyDescent="0.25">
      <c r="A1396" s="41" t="s">
        <v>4531</v>
      </c>
      <c r="B1396" s="41" t="s">
        <v>4529</v>
      </c>
      <c r="C1396" s="41" t="s">
        <v>2928</v>
      </c>
      <c r="D1396" s="41" t="s">
        <v>187</v>
      </c>
      <c r="E1396" s="41" t="s">
        <v>4532</v>
      </c>
      <c r="F1396" s="41" t="s">
        <v>2933</v>
      </c>
      <c r="G1396" s="41" t="s">
        <v>2934</v>
      </c>
    </row>
    <row r="1397" spans="1:7" x14ac:dyDescent="0.25">
      <c r="A1397" s="41" t="s">
        <v>4533</v>
      </c>
      <c r="B1397" s="41" t="s">
        <v>4529</v>
      </c>
      <c r="C1397" s="41" t="s">
        <v>2928</v>
      </c>
      <c r="D1397" s="41" t="s">
        <v>187</v>
      </c>
      <c r="E1397" s="41" t="s">
        <v>2929</v>
      </c>
      <c r="F1397" s="41" t="s">
        <v>2933</v>
      </c>
      <c r="G1397" s="41" t="s">
        <v>2934</v>
      </c>
    </row>
    <row r="1398" spans="1:7" x14ac:dyDescent="0.25">
      <c r="A1398" s="41" t="s">
        <v>4534</v>
      </c>
      <c r="B1398" s="41" t="s">
        <v>4529</v>
      </c>
      <c r="C1398" s="41" t="s">
        <v>2928</v>
      </c>
      <c r="D1398" s="41" t="s">
        <v>187</v>
      </c>
      <c r="E1398" s="41" t="s">
        <v>2929</v>
      </c>
      <c r="F1398" s="41" t="s">
        <v>2930</v>
      </c>
      <c r="G1398" s="41" t="s">
        <v>2931</v>
      </c>
    </row>
    <row r="1399" spans="1:7" x14ac:dyDescent="0.25">
      <c r="A1399" s="41" t="s">
        <v>4535</v>
      </c>
      <c r="B1399" s="41" t="s">
        <v>4529</v>
      </c>
      <c r="C1399" s="41" t="s">
        <v>2928</v>
      </c>
      <c r="D1399" s="41" t="s">
        <v>187</v>
      </c>
      <c r="E1399" s="41" t="s">
        <v>2929</v>
      </c>
      <c r="F1399" s="41" t="s">
        <v>2930</v>
      </c>
      <c r="G1399" s="41" t="s">
        <v>2931</v>
      </c>
    </row>
    <row r="1400" spans="1:7" x14ac:dyDescent="0.25">
      <c r="A1400" s="41" t="s">
        <v>4536</v>
      </c>
      <c r="B1400" s="41" t="s">
        <v>4529</v>
      </c>
      <c r="C1400" s="41" t="s">
        <v>2928</v>
      </c>
      <c r="D1400" s="41" t="s">
        <v>187</v>
      </c>
      <c r="E1400" s="41" t="s">
        <v>2929</v>
      </c>
      <c r="F1400" s="41" t="s">
        <v>2930</v>
      </c>
      <c r="G1400" s="41" t="s">
        <v>2931</v>
      </c>
    </row>
    <row r="1401" spans="1:7" x14ac:dyDescent="0.25">
      <c r="A1401" s="41" t="s">
        <v>4537</v>
      </c>
      <c r="B1401" s="41" t="s">
        <v>4529</v>
      </c>
      <c r="C1401" s="41" t="s">
        <v>2928</v>
      </c>
      <c r="D1401" s="41" t="s">
        <v>187</v>
      </c>
      <c r="E1401" s="41" t="s">
        <v>2929</v>
      </c>
      <c r="F1401" s="41" t="s">
        <v>2930</v>
      </c>
      <c r="G1401" s="41" t="s">
        <v>2931</v>
      </c>
    </row>
    <row r="1402" spans="1:7" x14ac:dyDescent="0.25">
      <c r="A1402" s="41" t="s">
        <v>4538</v>
      </c>
      <c r="B1402" s="41" t="s">
        <v>4529</v>
      </c>
      <c r="C1402" s="41" t="s">
        <v>2928</v>
      </c>
      <c r="D1402" s="41" t="s">
        <v>187</v>
      </c>
      <c r="E1402" s="41" t="s">
        <v>2929</v>
      </c>
      <c r="F1402" s="41" t="s">
        <v>2949</v>
      </c>
      <c r="G1402" s="41" t="s">
        <v>2950</v>
      </c>
    </row>
    <row r="1403" spans="1:7" x14ac:dyDescent="0.25">
      <c r="A1403" s="41" t="s">
        <v>4539</v>
      </c>
      <c r="B1403" s="41" t="s">
        <v>4529</v>
      </c>
      <c r="C1403" s="41" t="s">
        <v>2928</v>
      </c>
      <c r="D1403" s="41" t="s">
        <v>187</v>
      </c>
      <c r="E1403" s="41" t="s">
        <v>2929</v>
      </c>
      <c r="F1403" s="41" t="s">
        <v>2949</v>
      </c>
      <c r="G1403" s="41" t="s">
        <v>2950</v>
      </c>
    </row>
    <row r="1404" spans="1:7" x14ac:dyDescent="0.25">
      <c r="A1404" s="41" t="s">
        <v>230</v>
      </c>
      <c r="B1404" s="41" t="s">
        <v>4540</v>
      </c>
      <c r="C1404" s="41" t="s">
        <v>2928</v>
      </c>
      <c r="D1404" s="41" t="s">
        <v>230</v>
      </c>
      <c r="E1404" s="41" t="s">
        <v>2929</v>
      </c>
      <c r="F1404" s="41" t="s">
        <v>2930</v>
      </c>
      <c r="G1404" s="41" t="s">
        <v>2931</v>
      </c>
    </row>
    <row r="1405" spans="1:7" x14ac:dyDescent="0.25">
      <c r="A1405" s="41" t="s">
        <v>4541</v>
      </c>
      <c r="B1405" s="41" t="s">
        <v>4540</v>
      </c>
      <c r="C1405" s="41" t="s">
        <v>2928</v>
      </c>
      <c r="D1405" s="41" t="s">
        <v>230</v>
      </c>
      <c r="E1405" s="41" t="s">
        <v>2929</v>
      </c>
      <c r="F1405" s="41" t="s">
        <v>2933</v>
      </c>
      <c r="G1405" s="41" t="s">
        <v>2934</v>
      </c>
    </row>
    <row r="1406" spans="1:7" x14ac:dyDescent="0.25">
      <c r="A1406" s="41" t="s">
        <v>4542</v>
      </c>
      <c r="B1406" s="41" t="s">
        <v>4540</v>
      </c>
      <c r="C1406" s="41" t="s">
        <v>2928</v>
      </c>
      <c r="D1406" s="41" t="s">
        <v>230</v>
      </c>
      <c r="E1406" s="41" t="s">
        <v>2929</v>
      </c>
      <c r="F1406" s="41" t="s">
        <v>2933</v>
      </c>
      <c r="G1406" s="41" t="s">
        <v>2934</v>
      </c>
    </row>
    <row r="1407" spans="1:7" x14ac:dyDescent="0.25">
      <c r="A1407" s="41" t="s">
        <v>4543</v>
      </c>
      <c r="B1407" s="41" t="s">
        <v>4540</v>
      </c>
      <c r="C1407" s="41" t="s">
        <v>2928</v>
      </c>
      <c r="D1407" s="41" t="s">
        <v>230</v>
      </c>
      <c r="E1407" s="41" t="s">
        <v>2929</v>
      </c>
      <c r="F1407" s="41" t="s">
        <v>2933</v>
      </c>
      <c r="G1407" s="41" t="s">
        <v>2934</v>
      </c>
    </row>
    <row r="1408" spans="1:7" x14ac:dyDescent="0.25">
      <c r="A1408" s="41" t="s">
        <v>4544</v>
      </c>
      <c r="B1408" s="41" t="s">
        <v>4540</v>
      </c>
      <c r="C1408" s="41" t="s">
        <v>2928</v>
      </c>
      <c r="D1408" s="41" t="s">
        <v>230</v>
      </c>
      <c r="E1408" s="41" t="s">
        <v>2929</v>
      </c>
      <c r="F1408" s="41" t="s">
        <v>2930</v>
      </c>
      <c r="G1408" s="41" t="s">
        <v>2931</v>
      </c>
    </row>
    <row r="1409" spans="1:7" x14ac:dyDescent="0.25">
      <c r="A1409" s="41" t="s">
        <v>4545</v>
      </c>
      <c r="B1409" s="41" t="s">
        <v>4540</v>
      </c>
      <c r="C1409" s="41" t="s">
        <v>2928</v>
      </c>
      <c r="D1409" s="41" t="s">
        <v>230</v>
      </c>
      <c r="E1409" s="41" t="s">
        <v>2929</v>
      </c>
      <c r="F1409" s="41" t="s">
        <v>2930</v>
      </c>
      <c r="G1409" s="41" t="s">
        <v>2931</v>
      </c>
    </row>
    <row r="1410" spans="1:7" x14ac:dyDescent="0.25">
      <c r="A1410" s="41" t="s">
        <v>4546</v>
      </c>
      <c r="B1410" s="41" t="s">
        <v>4540</v>
      </c>
      <c r="C1410" s="41" t="s">
        <v>2928</v>
      </c>
      <c r="D1410" s="41" t="s">
        <v>230</v>
      </c>
      <c r="E1410" s="41" t="s">
        <v>2929</v>
      </c>
      <c r="F1410" s="41" t="s">
        <v>2930</v>
      </c>
      <c r="G1410" s="41" t="s">
        <v>2931</v>
      </c>
    </row>
    <row r="1411" spans="1:7" x14ac:dyDescent="0.25">
      <c r="A1411" s="41" t="s">
        <v>4547</v>
      </c>
      <c r="B1411" s="41" t="s">
        <v>4540</v>
      </c>
      <c r="C1411" s="41" t="s">
        <v>2928</v>
      </c>
      <c r="D1411" s="41" t="s">
        <v>230</v>
      </c>
      <c r="E1411" s="41" t="s">
        <v>2929</v>
      </c>
      <c r="F1411" s="41" t="s">
        <v>2930</v>
      </c>
      <c r="G1411" s="41" t="s">
        <v>2931</v>
      </c>
    </row>
    <row r="1412" spans="1:7" x14ac:dyDescent="0.25">
      <c r="A1412" s="41" t="s">
        <v>4548</v>
      </c>
      <c r="B1412" s="41" t="s">
        <v>4540</v>
      </c>
      <c r="C1412" s="41" t="s">
        <v>2928</v>
      </c>
      <c r="D1412" s="41" t="s">
        <v>230</v>
      </c>
      <c r="E1412" s="41" t="s">
        <v>2929</v>
      </c>
      <c r="F1412" s="41" t="s">
        <v>2949</v>
      </c>
      <c r="G1412" s="41" t="s">
        <v>2950</v>
      </c>
    </row>
    <row r="1413" spans="1:7" x14ac:dyDescent="0.25">
      <c r="A1413" s="41" t="s">
        <v>4549</v>
      </c>
      <c r="B1413" s="41" t="s">
        <v>4540</v>
      </c>
      <c r="C1413" s="41" t="s">
        <v>2928</v>
      </c>
      <c r="D1413" s="41" t="s">
        <v>230</v>
      </c>
      <c r="E1413" s="41" t="s">
        <v>2929</v>
      </c>
      <c r="F1413" s="41" t="s">
        <v>2949</v>
      </c>
      <c r="G1413" s="41" t="s">
        <v>2950</v>
      </c>
    </row>
    <row r="1414" spans="1:7" x14ac:dyDescent="0.25">
      <c r="A1414" s="41" t="s">
        <v>220</v>
      </c>
      <c r="B1414" s="41" t="s">
        <v>4550</v>
      </c>
      <c r="C1414" s="41" t="s">
        <v>2928</v>
      </c>
      <c r="D1414" s="41" t="s">
        <v>220</v>
      </c>
      <c r="E1414" s="41" t="s">
        <v>2929</v>
      </c>
      <c r="F1414" s="41" t="s">
        <v>2930</v>
      </c>
      <c r="G1414" s="41" t="s">
        <v>2931</v>
      </c>
    </row>
    <row r="1415" spans="1:7" x14ac:dyDescent="0.25">
      <c r="A1415" s="41" t="s">
        <v>4551</v>
      </c>
      <c r="B1415" s="41" t="s">
        <v>4550</v>
      </c>
      <c r="C1415" s="41" t="s">
        <v>2928</v>
      </c>
      <c r="D1415" s="41" t="s">
        <v>220</v>
      </c>
      <c r="E1415" s="41" t="s">
        <v>2929</v>
      </c>
      <c r="F1415" s="41" t="s">
        <v>2933</v>
      </c>
      <c r="G1415" s="41" t="s">
        <v>2934</v>
      </c>
    </row>
    <row r="1416" spans="1:7" x14ac:dyDescent="0.25">
      <c r="A1416" s="41" t="s">
        <v>4552</v>
      </c>
      <c r="B1416" s="41" t="s">
        <v>4550</v>
      </c>
      <c r="C1416" s="41" t="s">
        <v>2928</v>
      </c>
      <c r="D1416" s="41" t="s">
        <v>220</v>
      </c>
      <c r="E1416" s="41" t="s">
        <v>2929</v>
      </c>
      <c r="F1416" s="41" t="s">
        <v>2933</v>
      </c>
      <c r="G1416" s="41" t="s">
        <v>2934</v>
      </c>
    </row>
    <row r="1417" spans="1:7" x14ac:dyDescent="0.25">
      <c r="A1417" s="41" t="s">
        <v>4553</v>
      </c>
      <c r="B1417" s="41" t="s">
        <v>4550</v>
      </c>
      <c r="C1417" s="41" t="s">
        <v>2928</v>
      </c>
      <c r="D1417" s="41" t="s">
        <v>220</v>
      </c>
      <c r="E1417" s="41" t="s">
        <v>2929</v>
      </c>
      <c r="F1417" s="41" t="s">
        <v>2933</v>
      </c>
      <c r="G1417" s="41" t="s">
        <v>2934</v>
      </c>
    </row>
    <row r="1418" spans="1:7" x14ac:dyDescent="0.25">
      <c r="A1418" s="41" t="s">
        <v>4554</v>
      </c>
      <c r="B1418" s="41" t="s">
        <v>4550</v>
      </c>
      <c r="C1418" s="41" t="s">
        <v>2928</v>
      </c>
      <c r="D1418" s="41" t="s">
        <v>220</v>
      </c>
      <c r="E1418" s="41" t="s">
        <v>2929</v>
      </c>
      <c r="F1418" s="41" t="s">
        <v>2930</v>
      </c>
      <c r="G1418" s="41" t="s">
        <v>2931</v>
      </c>
    </row>
    <row r="1419" spans="1:7" x14ac:dyDescent="0.25">
      <c r="A1419" s="41" t="s">
        <v>4555</v>
      </c>
      <c r="B1419" s="41" t="s">
        <v>4550</v>
      </c>
      <c r="C1419" s="41" t="s">
        <v>2928</v>
      </c>
      <c r="D1419" s="41" t="s">
        <v>220</v>
      </c>
      <c r="E1419" s="41" t="s">
        <v>2929</v>
      </c>
      <c r="F1419" s="41" t="s">
        <v>2930</v>
      </c>
      <c r="G1419" s="41" t="s">
        <v>2931</v>
      </c>
    </row>
    <row r="1420" spans="1:7" x14ac:dyDescent="0.25">
      <c r="A1420" s="41" t="s">
        <v>4556</v>
      </c>
      <c r="B1420" s="41" t="s">
        <v>4550</v>
      </c>
      <c r="C1420" s="41" t="s">
        <v>2928</v>
      </c>
      <c r="D1420" s="41" t="s">
        <v>220</v>
      </c>
      <c r="E1420" s="41" t="s">
        <v>2929</v>
      </c>
      <c r="F1420" s="41" t="s">
        <v>2930</v>
      </c>
      <c r="G1420" s="41" t="s">
        <v>2931</v>
      </c>
    </row>
    <row r="1421" spans="1:7" x14ac:dyDescent="0.25">
      <c r="A1421" s="41" t="s">
        <v>4557</v>
      </c>
      <c r="B1421" s="41" t="s">
        <v>4550</v>
      </c>
      <c r="C1421" s="41" t="s">
        <v>2928</v>
      </c>
      <c r="D1421" s="41" t="s">
        <v>220</v>
      </c>
      <c r="E1421" s="41" t="s">
        <v>2929</v>
      </c>
      <c r="F1421" s="41" t="s">
        <v>2930</v>
      </c>
      <c r="G1421" s="41" t="s">
        <v>2931</v>
      </c>
    </row>
    <row r="1422" spans="1:7" x14ac:dyDescent="0.25">
      <c r="A1422" s="41" t="s">
        <v>4558</v>
      </c>
      <c r="B1422" s="41" t="s">
        <v>4550</v>
      </c>
      <c r="C1422" s="41" t="s">
        <v>2928</v>
      </c>
      <c r="D1422" s="41" t="s">
        <v>220</v>
      </c>
      <c r="E1422" s="41" t="s">
        <v>2929</v>
      </c>
      <c r="F1422" s="41" t="s">
        <v>2949</v>
      </c>
      <c r="G1422" s="41" t="s">
        <v>2950</v>
      </c>
    </row>
    <row r="1423" spans="1:7" x14ac:dyDescent="0.25">
      <c r="A1423" s="41" t="s">
        <v>4559</v>
      </c>
      <c r="B1423" s="41" t="s">
        <v>4550</v>
      </c>
      <c r="C1423" s="41" t="s">
        <v>2928</v>
      </c>
      <c r="D1423" s="41" t="s">
        <v>220</v>
      </c>
      <c r="E1423" s="41" t="s">
        <v>2929</v>
      </c>
      <c r="F1423" s="41" t="s">
        <v>2949</v>
      </c>
      <c r="G1423" s="41" t="s">
        <v>2950</v>
      </c>
    </row>
    <row r="1424" spans="1:7" x14ac:dyDescent="0.25">
      <c r="A1424" s="41" t="s">
        <v>4560</v>
      </c>
      <c r="B1424" s="41" t="s">
        <v>4561</v>
      </c>
      <c r="C1424" s="41" t="s">
        <v>2928</v>
      </c>
      <c r="D1424" s="41" t="s">
        <v>4560</v>
      </c>
      <c r="E1424" s="41" t="s">
        <v>2929</v>
      </c>
      <c r="F1424" s="41" t="s">
        <v>2930</v>
      </c>
      <c r="G1424" s="41" t="s">
        <v>2931</v>
      </c>
    </row>
    <row r="1425" spans="1:7" x14ac:dyDescent="0.25">
      <c r="A1425" s="41" t="s">
        <v>4562</v>
      </c>
      <c r="B1425" s="41" t="s">
        <v>4561</v>
      </c>
      <c r="C1425" s="41" t="s">
        <v>2928</v>
      </c>
      <c r="D1425" s="41" t="s">
        <v>4560</v>
      </c>
      <c r="E1425" s="41" t="s">
        <v>2929</v>
      </c>
      <c r="F1425" s="41" t="s">
        <v>2933</v>
      </c>
      <c r="G1425" s="41" t="s">
        <v>2934</v>
      </c>
    </row>
    <row r="1426" spans="1:7" x14ac:dyDescent="0.25">
      <c r="A1426" s="41" t="s">
        <v>4563</v>
      </c>
      <c r="B1426" s="41" t="s">
        <v>1160</v>
      </c>
      <c r="C1426" s="41" t="s">
        <v>2928</v>
      </c>
      <c r="D1426" s="41" t="s">
        <v>4563</v>
      </c>
      <c r="E1426" s="41" t="s">
        <v>2929</v>
      </c>
      <c r="F1426" s="41" t="s">
        <v>2930</v>
      </c>
      <c r="G1426" s="41" t="s">
        <v>2931</v>
      </c>
    </row>
    <row r="1427" spans="1:7" x14ac:dyDescent="0.25">
      <c r="A1427" s="41" t="s">
        <v>4564</v>
      </c>
      <c r="B1427" s="41" t="s">
        <v>1160</v>
      </c>
      <c r="C1427" s="41" t="s">
        <v>2928</v>
      </c>
      <c r="D1427" s="41" t="s">
        <v>4563</v>
      </c>
      <c r="E1427" s="41" t="s">
        <v>2929</v>
      </c>
      <c r="F1427" s="41" t="s">
        <v>2949</v>
      </c>
      <c r="G1427" s="41" t="s">
        <v>2950</v>
      </c>
    </row>
    <row r="1428" spans="1:7" x14ac:dyDescent="0.25">
      <c r="A1428" s="41" t="s">
        <v>4565</v>
      </c>
      <c r="B1428" s="41" t="s">
        <v>4566</v>
      </c>
      <c r="C1428" s="41" t="s">
        <v>2928</v>
      </c>
      <c r="D1428" s="41" t="s">
        <v>4565</v>
      </c>
      <c r="E1428" s="41" t="s">
        <v>2929</v>
      </c>
      <c r="F1428" s="41" t="s">
        <v>2930</v>
      </c>
      <c r="G1428" s="41" t="s">
        <v>2931</v>
      </c>
    </row>
    <row r="1429" spans="1:7" x14ac:dyDescent="0.25">
      <c r="A1429" s="41" t="s">
        <v>4567</v>
      </c>
      <c r="B1429" s="41" t="s">
        <v>4566</v>
      </c>
      <c r="C1429" s="41" t="s">
        <v>2928</v>
      </c>
      <c r="D1429" s="41" t="s">
        <v>4565</v>
      </c>
      <c r="E1429" s="41" t="s">
        <v>2929</v>
      </c>
      <c r="F1429" s="41" t="s">
        <v>2933</v>
      </c>
      <c r="G1429" s="41" t="s">
        <v>2934</v>
      </c>
    </row>
    <row r="1430" spans="1:7" x14ac:dyDescent="0.25">
      <c r="A1430" s="41" t="s">
        <v>4568</v>
      </c>
      <c r="B1430" s="41" t="s">
        <v>4566</v>
      </c>
      <c r="C1430" s="41" t="s">
        <v>2928</v>
      </c>
      <c r="D1430" s="41" t="s">
        <v>4565</v>
      </c>
      <c r="E1430" s="41" t="s">
        <v>2929</v>
      </c>
      <c r="F1430" s="41" t="s">
        <v>2949</v>
      </c>
      <c r="G1430" s="41" t="s">
        <v>2950</v>
      </c>
    </row>
    <row r="1431" spans="1:7" x14ac:dyDescent="0.25">
      <c r="A1431" s="41" t="s">
        <v>4569</v>
      </c>
      <c r="B1431" s="41" t="s">
        <v>824</v>
      </c>
      <c r="C1431" s="41" t="s">
        <v>2928</v>
      </c>
      <c r="D1431" s="41" t="s">
        <v>4569</v>
      </c>
      <c r="E1431" s="41" t="s">
        <v>2929</v>
      </c>
      <c r="F1431" s="41" t="s">
        <v>2930</v>
      </c>
      <c r="G1431" s="41" t="s">
        <v>2931</v>
      </c>
    </row>
    <row r="1432" spans="1:7" x14ac:dyDescent="0.25">
      <c r="A1432" s="41" t="s">
        <v>4570</v>
      </c>
      <c r="B1432" s="41" t="s">
        <v>824</v>
      </c>
      <c r="C1432" s="41" t="s">
        <v>2928</v>
      </c>
      <c r="D1432" s="41" t="s">
        <v>4569</v>
      </c>
      <c r="E1432" s="41" t="s">
        <v>2929</v>
      </c>
      <c r="F1432" s="41" t="s">
        <v>2933</v>
      </c>
      <c r="G1432" s="41" t="s">
        <v>2934</v>
      </c>
    </row>
    <row r="1433" spans="1:7" x14ac:dyDescent="0.25">
      <c r="A1433" s="41" t="s">
        <v>4571</v>
      </c>
      <c r="B1433" s="41" t="s">
        <v>824</v>
      </c>
      <c r="C1433" s="41" t="s">
        <v>2928</v>
      </c>
      <c r="D1433" s="41" t="s">
        <v>4569</v>
      </c>
      <c r="E1433" s="41" t="s">
        <v>2929</v>
      </c>
      <c r="F1433" s="41" t="s">
        <v>2933</v>
      </c>
      <c r="G1433" s="41" t="s">
        <v>2934</v>
      </c>
    </row>
    <row r="1434" spans="1:7" x14ac:dyDescent="0.25">
      <c r="A1434" s="41" t="s">
        <v>4572</v>
      </c>
      <c r="B1434" s="41" t="s">
        <v>824</v>
      </c>
      <c r="C1434" s="41" t="s">
        <v>2928</v>
      </c>
      <c r="D1434" s="41" t="s">
        <v>4569</v>
      </c>
      <c r="E1434" s="41" t="s">
        <v>2929</v>
      </c>
      <c r="F1434" s="41" t="s">
        <v>2933</v>
      </c>
      <c r="G1434" s="41" t="s">
        <v>2934</v>
      </c>
    </row>
    <row r="1435" spans="1:7" x14ac:dyDescent="0.25">
      <c r="A1435" s="41" t="s">
        <v>4573</v>
      </c>
      <c r="B1435" s="41" t="s">
        <v>824</v>
      </c>
      <c r="C1435" s="41" t="s">
        <v>2928</v>
      </c>
      <c r="D1435" s="41" t="s">
        <v>4569</v>
      </c>
      <c r="E1435" s="41" t="s">
        <v>2929</v>
      </c>
      <c r="F1435" s="41" t="s">
        <v>2933</v>
      </c>
      <c r="G1435" s="41" t="s">
        <v>2934</v>
      </c>
    </row>
    <row r="1436" spans="1:7" x14ac:dyDescent="0.25">
      <c r="A1436" s="41" t="s">
        <v>4574</v>
      </c>
      <c r="B1436" s="41" t="s">
        <v>824</v>
      </c>
      <c r="C1436" s="41" t="s">
        <v>2928</v>
      </c>
      <c r="D1436" s="41" t="s">
        <v>4569</v>
      </c>
      <c r="E1436" s="41" t="s">
        <v>2929</v>
      </c>
      <c r="F1436" s="41" t="s">
        <v>2930</v>
      </c>
      <c r="G1436" s="41" t="s">
        <v>2931</v>
      </c>
    </row>
    <row r="1437" spans="1:7" x14ac:dyDescent="0.25">
      <c r="A1437" s="41" t="s">
        <v>4575</v>
      </c>
      <c r="B1437" s="41" t="s">
        <v>824</v>
      </c>
      <c r="C1437" s="41" t="s">
        <v>2928</v>
      </c>
      <c r="D1437" s="41" t="s">
        <v>4569</v>
      </c>
      <c r="E1437" s="41" t="s">
        <v>2929</v>
      </c>
      <c r="F1437" s="41" t="s">
        <v>2930</v>
      </c>
      <c r="G1437" s="41" t="s">
        <v>2931</v>
      </c>
    </row>
    <row r="1438" spans="1:7" x14ac:dyDescent="0.25">
      <c r="A1438" s="41" t="s">
        <v>4576</v>
      </c>
      <c r="B1438" s="41" t="s">
        <v>824</v>
      </c>
      <c r="C1438" s="41" t="s">
        <v>2928</v>
      </c>
      <c r="D1438" s="41" t="s">
        <v>4569</v>
      </c>
      <c r="E1438" s="41" t="s">
        <v>2929</v>
      </c>
      <c r="F1438" s="41" t="s">
        <v>2949</v>
      </c>
      <c r="G1438" s="41" t="s">
        <v>2950</v>
      </c>
    </row>
    <row r="1439" spans="1:7" x14ac:dyDescent="0.25">
      <c r="A1439" s="41" t="s">
        <v>4577</v>
      </c>
      <c r="B1439" s="41" t="s">
        <v>824</v>
      </c>
      <c r="C1439" s="41" t="s">
        <v>2928</v>
      </c>
      <c r="D1439" s="41" t="s">
        <v>4569</v>
      </c>
      <c r="E1439" s="41" t="s">
        <v>2929</v>
      </c>
      <c r="F1439" s="41" t="s">
        <v>2949</v>
      </c>
      <c r="G1439" s="41" t="s">
        <v>2950</v>
      </c>
    </row>
    <row r="1440" spans="1:7" x14ac:dyDescent="0.25">
      <c r="A1440" s="41" t="s">
        <v>4578</v>
      </c>
      <c r="B1440" s="41" t="s">
        <v>824</v>
      </c>
      <c r="C1440" s="41" t="s">
        <v>2928</v>
      </c>
      <c r="D1440" s="41" t="s">
        <v>4569</v>
      </c>
      <c r="E1440" s="41" t="s">
        <v>2929</v>
      </c>
      <c r="F1440" s="41" t="s">
        <v>2949</v>
      </c>
      <c r="G1440" s="41" t="s">
        <v>2950</v>
      </c>
    </row>
    <row r="1441" spans="1:7" x14ac:dyDescent="0.25">
      <c r="A1441" s="41" t="s">
        <v>4579</v>
      </c>
      <c r="B1441" s="41" t="s">
        <v>888</v>
      </c>
      <c r="C1441" s="41" t="s">
        <v>2928</v>
      </c>
      <c r="D1441" s="41" t="s">
        <v>4579</v>
      </c>
      <c r="E1441" s="41" t="s">
        <v>2929</v>
      </c>
      <c r="F1441" s="41" t="s">
        <v>2930</v>
      </c>
      <c r="G1441" s="41" t="s">
        <v>2931</v>
      </c>
    </row>
    <row r="1442" spans="1:7" x14ac:dyDescent="0.25">
      <c r="A1442" s="41" t="s">
        <v>4580</v>
      </c>
      <c r="B1442" s="41" t="s">
        <v>888</v>
      </c>
      <c r="C1442" s="41" t="s">
        <v>2928</v>
      </c>
      <c r="D1442" s="41" t="s">
        <v>4579</v>
      </c>
      <c r="E1442" s="41" t="s">
        <v>2929</v>
      </c>
      <c r="F1442" s="41" t="s">
        <v>2933</v>
      </c>
      <c r="G1442" s="41" t="s">
        <v>2934</v>
      </c>
    </row>
    <row r="1443" spans="1:7" x14ac:dyDescent="0.25">
      <c r="A1443" s="41" t="s">
        <v>4581</v>
      </c>
      <c r="B1443" s="41" t="s">
        <v>4582</v>
      </c>
      <c r="C1443" s="41" t="s">
        <v>2928</v>
      </c>
      <c r="D1443" s="41" t="s">
        <v>4581</v>
      </c>
      <c r="E1443" s="41" t="s">
        <v>2929</v>
      </c>
      <c r="F1443" s="41" t="s">
        <v>2930</v>
      </c>
      <c r="G1443" s="41" t="s">
        <v>2931</v>
      </c>
    </row>
    <row r="1444" spans="1:7" x14ac:dyDescent="0.25">
      <c r="A1444" s="41" t="s">
        <v>4583</v>
      </c>
      <c r="B1444" s="41" t="s">
        <v>4582</v>
      </c>
      <c r="C1444" s="41" t="s">
        <v>2928</v>
      </c>
      <c r="D1444" s="41" t="s">
        <v>4581</v>
      </c>
      <c r="E1444" s="41" t="s">
        <v>2929</v>
      </c>
      <c r="F1444" s="41" t="s">
        <v>2933</v>
      </c>
      <c r="G1444" s="41" t="s">
        <v>2934</v>
      </c>
    </row>
    <row r="1445" spans="1:7" x14ac:dyDescent="0.25">
      <c r="A1445" s="41" t="s">
        <v>4584</v>
      </c>
      <c r="B1445" s="41" t="s">
        <v>4582</v>
      </c>
      <c r="C1445" s="41" t="s">
        <v>2928</v>
      </c>
      <c r="D1445" s="41" t="s">
        <v>4581</v>
      </c>
      <c r="E1445" s="41" t="s">
        <v>2929</v>
      </c>
      <c r="F1445" s="41" t="s">
        <v>2933</v>
      </c>
      <c r="G1445" s="41" t="s">
        <v>2934</v>
      </c>
    </row>
    <row r="1446" spans="1:7" x14ac:dyDescent="0.25">
      <c r="A1446" s="41" t="s">
        <v>4585</v>
      </c>
      <c r="B1446" s="41" t="s">
        <v>4582</v>
      </c>
      <c r="C1446" s="41" t="s">
        <v>2928</v>
      </c>
      <c r="D1446" s="41" t="s">
        <v>4581</v>
      </c>
      <c r="E1446" s="41" t="s">
        <v>2929</v>
      </c>
      <c r="F1446" s="41" t="s">
        <v>2933</v>
      </c>
      <c r="G1446" s="41" t="s">
        <v>2934</v>
      </c>
    </row>
    <row r="1447" spans="1:7" x14ac:dyDescent="0.25">
      <c r="A1447" s="41" t="s">
        <v>4586</v>
      </c>
      <c r="B1447" s="41" t="s">
        <v>4582</v>
      </c>
      <c r="C1447" s="41" t="s">
        <v>2928</v>
      </c>
      <c r="D1447" s="41" t="s">
        <v>4581</v>
      </c>
      <c r="E1447" s="41" t="s">
        <v>2929</v>
      </c>
      <c r="F1447" s="41" t="s">
        <v>2933</v>
      </c>
      <c r="G1447" s="41" t="s">
        <v>2934</v>
      </c>
    </row>
    <row r="1448" spans="1:7" x14ac:dyDescent="0.25">
      <c r="A1448" s="41" t="s">
        <v>4587</v>
      </c>
      <c r="B1448" s="41" t="s">
        <v>4582</v>
      </c>
      <c r="C1448" s="41" t="s">
        <v>2928</v>
      </c>
      <c r="D1448" s="41" t="s">
        <v>4581</v>
      </c>
      <c r="E1448" s="41" t="s">
        <v>2929</v>
      </c>
      <c r="F1448" s="41" t="s">
        <v>2933</v>
      </c>
      <c r="G1448" s="41" t="s">
        <v>2934</v>
      </c>
    </row>
    <row r="1449" spans="1:7" x14ac:dyDescent="0.25">
      <c r="A1449" s="41" t="s">
        <v>4588</v>
      </c>
      <c r="B1449" s="41" t="s">
        <v>4582</v>
      </c>
      <c r="C1449" s="41" t="s">
        <v>2928</v>
      </c>
      <c r="D1449" s="41" t="s">
        <v>4581</v>
      </c>
      <c r="E1449" s="41" t="s">
        <v>2929</v>
      </c>
      <c r="F1449" s="41" t="s">
        <v>2933</v>
      </c>
      <c r="G1449" s="41" t="s">
        <v>2934</v>
      </c>
    </row>
    <row r="1450" spans="1:7" x14ac:dyDescent="0.25">
      <c r="A1450" s="41" t="s">
        <v>4589</v>
      </c>
      <c r="B1450" s="41" t="s">
        <v>4582</v>
      </c>
      <c r="C1450" s="41" t="s">
        <v>2928</v>
      </c>
      <c r="D1450" s="41" t="s">
        <v>4581</v>
      </c>
      <c r="E1450" s="41" t="s">
        <v>2929</v>
      </c>
      <c r="F1450" s="41" t="s">
        <v>2933</v>
      </c>
      <c r="G1450" s="41" t="s">
        <v>2934</v>
      </c>
    </row>
    <row r="1451" spans="1:7" x14ac:dyDescent="0.25">
      <c r="A1451" s="41" t="s">
        <v>4590</v>
      </c>
      <c r="B1451" s="41" t="s">
        <v>4582</v>
      </c>
      <c r="C1451" s="41" t="s">
        <v>2928</v>
      </c>
      <c r="D1451" s="41" t="s">
        <v>4581</v>
      </c>
      <c r="E1451" s="41" t="s">
        <v>2929</v>
      </c>
      <c r="F1451" s="41" t="s">
        <v>2930</v>
      </c>
      <c r="G1451" s="41" t="s">
        <v>2931</v>
      </c>
    </row>
    <row r="1452" spans="1:7" x14ac:dyDescent="0.25">
      <c r="A1452" s="41" t="s">
        <v>4591</v>
      </c>
      <c r="B1452" s="41" t="s">
        <v>4582</v>
      </c>
      <c r="C1452" s="41" t="s">
        <v>2928</v>
      </c>
      <c r="D1452" s="41" t="s">
        <v>4581</v>
      </c>
      <c r="E1452" s="41" t="s">
        <v>2929</v>
      </c>
      <c r="F1452" s="41" t="s">
        <v>2930</v>
      </c>
      <c r="G1452" s="41" t="s">
        <v>2931</v>
      </c>
    </row>
    <row r="1453" spans="1:7" x14ac:dyDescent="0.25">
      <c r="A1453" s="41" t="s">
        <v>4592</v>
      </c>
      <c r="B1453" s="41" t="s">
        <v>4582</v>
      </c>
      <c r="C1453" s="41" t="s">
        <v>2928</v>
      </c>
      <c r="D1453" s="41" t="s">
        <v>4581</v>
      </c>
      <c r="E1453" s="41" t="s">
        <v>2929</v>
      </c>
      <c r="F1453" s="41" t="s">
        <v>2930</v>
      </c>
      <c r="G1453" s="41" t="s">
        <v>2931</v>
      </c>
    </row>
    <row r="1454" spans="1:7" x14ac:dyDescent="0.25">
      <c r="A1454" s="41" t="s">
        <v>4593</v>
      </c>
      <c r="B1454" s="41" t="s">
        <v>4582</v>
      </c>
      <c r="C1454" s="41" t="s">
        <v>2928</v>
      </c>
      <c r="D1454" s="41" t="s">
        <v>4581</v>
      </c>
      <c r="E1454" s="41" t="s">
        <v>2929</v>
      </c>
      <c r="F1454" s="41" t="s">
        <v>2930</v>
      </c>
      <c r="G1454" s="41" t="s">
        <v>2931</v>
      </c>
    </row>
    <row r="1455" spans="1:7" x14ac:dyDescent="0.25">
      <c r="A1455" s="41" t="s">
        <v>4594</v>
      </c>
      <c r="B1455" s="41" t="s">
        <v>4582</v>
      </c>
      <c r="C1455" s="41" t="s">
        <v>2928</v>
      </c>
      <c r="D1455" s="41" t="s">
        <v>4581</v>
      </c>
      <c r="E1455" s="41" t="s">
        <v>2929</v>
      </c>
      <c r="F1455" s="41" t="s">
        <v>2930</v>
      </c>
      <c r="G1455" s="41" t="s">
        <v>2931</v>
      </c>
    </row>
    <row r="1456" spans="1:7" x14ac:dyDescent="0.25">
      <c r="A1456" s="41" t="s">
        <v>4595</v>
      </c>
      <c r="B1456" s="41" t="s">
        <v>4582</v>
      </c>
      <c r="C1456" s="41" t="s">
        <v>2928</v>
      </c>
      <c r="D1456" s="41" t="s">
        <v>4581</v>
      </c>
      <c r="E1456" s="41" t="s">
        <v>2929</v>
      </c>
      <c r="F1456" s="41" t="s">
        <v>2930</v>
      </c>
      <c r="G1456" s="41" t="s">
        <v>2931</v>
      </c>
    </row>
    <row r="1457" spans="1:7" x14ac:dyDescent="0.25">
      <c r="A1457" s="41" t="s">
        <v>4596</v>
      </c>
      <c r="B1457" s="41" t="s">
        <v>4582</v>
      </c>
      <c r="C1457" s="41" t="s">
        <v>2928</v>
      </c>
      <c r="D1457" s="41" t="s">
        <v>4581</v>
      </c>
      <c r="E1457" s="41" t="s">
        <v>2929</v>
      </c>
      <c r="F1457" s="41" t="s">
        <v>2930</v>
      </c>
      <c r="G1457" s="41" t="s">
        <v>2931</v>
      </c>
    </row>
    <row r="1458" spans="1:7" x14ac:dyDescent="0.25">
      <c r="A1458" s="41" t="s">
        <v>4597</v>
      </c>
      <c r="B1458" s="41" t="s">
        <v>4582</v>
      </c>
      <c r="C1458" s="41" t="s">
        <v>2928</v>
      </c>
      <c r="D1458" s="41" t="s">
        <v>4581</v>
      </c>
      <c r="E1458" s="41" t="s">
        <v>2929</v>
      </c>
      <c r="F1458" s="41" t="s">
        <v>2949</v>
      </c>
      <c r="G1458" s="41" t="s">
        <v>2950</v>
      </c>
    </row>
    <row r="1459" spans="1:7" x14ac:dyDescent="0.25">
      <c r="A1459" s="41" t="s">
        <v>4598</v>
      </c>
      <c r="B1459" s="41" t="s">
        <v>4582</v>
      </c>
      <c r="C1459" s="41" t="s">
        <v>2928</v>
      </c>
      <c r="D1459" s="41" t="s">
        <v>4581</v>
      </c>
      <c r="E1459" s="41" t="s">
        <v>2929</v>
      </c>
      <c r="F1459" s="41" t="s">
        <v>2949</v>
      </c>
      <c r="G1459" s="41" t="s">
        <v>2950</v>
      </c>
    </row>
    <row r="1460" spans="1:7" x14ac:dyDescent="0.25">
      <c r="A1460" s="41" t="s">
        <v>4599</v>
      </c>
      <c r="B1460" s="41" t="s">
        <v>4582</v>
      </c>
      <c r="C1460" s="41" t="s">
        <v>2928</v>
      </c>
      <c r="D1460" s="41" t="s">
        <v>4581</v>
      </c>
      <c r="E1460" s="41" t="s">
        <v>2929</v>
      </c>
      <c r="F1460" s="41" t="s">
        <v>2949</v>
      </c>
      <c r="G1460" s="41" t="s">
        <v>2950</v>
      </c>
    </row>
    <row r="1461" spans="1:7" x14ac:dyDescent="0.25">
      <c r="A1461" s="41" t="s">
        <v>4600</v>
      </c>
      <c r="B1461" s="41" t="s">
        <v>4582</v>
      </c>
      <c r="C1461" s="41" t="s">
        <v>2928</v>
      </c>
      <c r="D1461" s="41" t="s">
        <v>4581</v>
      </c>
      <c r="E1461" s="41" t="s">
        <v>2929</v>
      </c>
      <c r="F1461" s="41" t="s">
        <v>2949</v>
      </c>
      <c r="G1461" s="41" t="s">
        <v>2950</v>
      </c>
    </row>
    <row r="1462" spans="1:7" x14ac:dyDescent="0.25">
      <c r="A1462" s="41" t="s">
        <v>4601</v>
      </c>
      <c r="B1462" s="41" t="s">
        <v>4582</v>
      </c>
      <c r="C1462" s="41" t="s">
        <v>2928</v>
      </c>
      <c r="D1462" s="41" t="s">
        <v>4581</v>
      </c>
      <c r="E1462" s="41" t="s">
        <v>2929</v>
      </c>
      <c r="F1462" s="41" t="s">
        <v>2949</v>
      </c>
      <c r="G1462" s="41" t="s">
        <v>2950</v>
      </c>
    </row>
    <row r="1463" spans="1:7" x14ac:dyDescent="0.25">
      <c r="A1463" s="41" t="s">
        <v>4602</v>
      </c>
      <c r="B1463" s="41" t="s">
        <v>4582</v>
      </c>
      <c r="C1463" s="41" t="s">
        <v>2928</v>
      </c>
      <c r="D1463" s="41" t="s">
        <v>4581</v>
      </c>
      <c r="E1463" s="41" t="s">
        <v>2929</v>
      </c>
      <c r="F1463" s="41" t="s">
        <v>2949</v>
      </c>
      <c r="G1463" s="41" t="s">
        <v>2950</v>
      </c>
    </row>
    <row r="1464" spans="1:7" x14ac:dyDescent="0.25">
      <c r="A1464" s="41" t="s">
        <v>4603</v>
      </c>
      <c r="B1464" s="41" t="s">
        <v>4582</v>
      </c>
      <c r="C1464" s="41" t="s">
        <v>2928</v>
      </c>
      <c r="D1464" s="41" t="s">
        <v>4581</v>
      </c>
      <c r="E1464" s="41" t="s">
        <v>2929</v>
      </c>
      <c r="F1464" s="41" t="s">
        <v>2949</v>
      </c>
      <c r="G1464" s="41" t="s">
        <v>2950</v>
      </c>
    </row>
    <row r="1465" spans="1:7" x14ac:dyDescent="0.25">
      <c r="A1465" s="41" t="s">
        <v>4604</v>
      </c>
      <c r="B1465" s="41" t="s">
        <v>4605</v>
      </c>
      <c r="C1465" s="41" t="s">
        <v>2928</v>
      </c>
      <c r="D1465" s="41" t="s">
        <v>4604</v>
      </c>
      <c r="E1465" s="41" t="s">
        <v>2929</v>
      </c>
      <c r="F1465" s="41" t="s">
        <v>2930</v>
      </c>
      <c r="G1465" s="41" t="s">
        <v>2931</v>
      </c>
    </row>
    <row r="1466" spans="1:7" x14ac:dyDescent="0.25">
      <c r="A1466" s="41" t="s">
        <v>4606</v>
      </c>
      <c r="B1466" s="41" t="s">
        <v>4605</v>
      </c>
      <c r="C1466" s="41" t="s">
        <v>2928</v>
      </c>
      <c r="D1466" s="41" t="s">
        <v>4604</v>
      </c>
      <c r="E1466" s="41" t="s">
        <v>2929</v>
      </c>
      <c r="F1466" s="41" t="s">
        <v>2933</v>
      </c>
      <c r="G1466" s="41" t="s">
        <v>2934</v>
      </c>
    </row>
    <row r="1467" spans="1:7" x14ac:dyDescent="0.25">
      <c r="A1467" s="41" t="s">
        <v>4607</v>
      </c>
      <c r="B1467" s="41" t="s">
        <v>4605</v>
      </c>
      <c r="C1467" s="41" t="s">
        <v>2928</v>
      </c>
      <c r="D1467" s="41" t="s">
        <v>4604</v>
      </c>
      <c r="E1467" s="41" t="s">
        <v>2929</v>
      </c>
      <c r="F1467" s="41" t="s">
        <v>2933</v>
      </c>
      <c r="G1467" s="41" t="s">
        <v>2934</v>
      </c>
    </row>
    <row r="1468" spans="1:7" x14ac:dyDescent="0.25">
      <c r="A1468" s="41" t="s">
        <v>4608</v>
      </c>
      <c r="B1468" s="41" t="s">
        <v>4605</v>
      </c>
      <c r="C1468" s="41" t="s">
        <v>2928</v>
      </c>
      <c r="D1468" s="41" t="s">
        <v>4604</v>
      </c>
      <c r="E1468" s="41" t="s">
        <v>2929</v>
      </c>
      <c r="F1468" s="41" t="s">
        <v>2933</v>
      </c>
      <c r="G1468" s="41" t="s">
        <v>2934</v>
      </c>
    </row>
    <row r="1469" spans="1:7" x14ac:dyDescent="0.25">
      <c r="A1469" s="41" t="s">
        <v>4609</v>
      </c>
      <c r="B1469" s="41" t="s">
        <v>4605</v>
      </c>
      <c r="C1469" s="41" t="s">
        <v>2928</v>
      </c>
      <c r="D1469" s="41" t="s">
        <v>4604</v>
      </c>
      <c r="E1469" s="41" t="s">
        <v>2929</v>
      </c>
      <c r="F1469" s="41" t="s">
        <v>2933</v>
      </c>
      <c r="G1469" s="41" t="s">
        <v>2934</v>
      </c>
    </row>
    <row r="1470" spans="1:7" x14ac:dyDescent="0.25">
      <c r="A1470" s="41" t="s">
        <v>4610</v>
      </c>
      <c r="B1470" s="41" t="s">
        <v>4605</v>
      </c>
      <c r="C1470" s="41" t="s">
        <v>2928</v>
      </c>
      <c r="D1470" s="41" t="s">
        <v>4604</v>
      </c>
      <c r="E1470" s="41" t="s">
        <v>2929</v>
      </c>
      <c r="F1470" s="41" t="s">
        <v>2933</v>
      </c>
      <c r="G1470" s="41" t="s">
        <v>2934</v>
      </c>
    </row>
    <row r="1471" spans="1:7" x14ac:dyDescent="0.25">
      <c r="A1471" s="41" t="s">
        <v>4611</v>
      </c>
      <c r="B1471" s="41" t="s">
        <v>4605</v>
      </c>
      <c r="C1471" s="41" t="s">
        <v>2928</v>
      </c>
      <c r="D1471" s="41" t="s">
        <v>4604</v>
      </c>
      <c r="E1471" s="41" t="s">
        <v>2929</v>
      </c>
      <c r="F1471" s="41" t="s">
        <v>2933</v>
      </c>
      <c r="G1471" s="41" t="s">
        <v>2934</v>
      </c>
    </row>
    <row r="1472" spans="1:7" x14ac:dyDescent="0.25">
      <c r="A1472" s="41" t="s">
        <v>4612</v>
      </c>
      <c r="B1472" s="41" t="s">
        <v>4605</v>
      </c>
      <c r="C1472" s="41" t="s">
        <v>2928</v>
      </c>
      <c r="D1472" s="41" t="s">
        <v>4604</v>
      </c>
      <c r="E1472" s="41" t="s">
        <v>2929</v>
      </c>
      <c r="F1472" s="41" t="s">
        <v>2933</v>
      </c>
      <c r="G1472" s="41" t="s">
        <v>2934</v>
      </c>
    </row>
    <row r="1473" spans="1:7" x14ac:dyDescent="0.25">
      <c r="A1473" s="41" t="s">
        <v>4613</v>
      </c>
      <c r="B1473" s="41" t="s">
        <v>4605</v>
      </c>
      <c r="C1473" s="41" t="s">
        <v>2928</v>
      </c>
      <c r="D1473" s="41" t="s">
        <v>4604</v>
      </c>
      <c r="E1473" s="41" t="s">
        <v>2929</v>
      </c>
      <c r="F1473" s="41" t="s">
        <v>2930</v>
      </c>
      <c r="G1473" s="41" t="s">
        <v>2931</v>
      </c>
    </row>
    <row r="1474" spans="1:7" x14ac:dyDescent="0.25">
      <c r="A1474" s="41" t="s">
        <v>4614</v>
      </c>
      <c r="B1474" s="41" t="s">
        <v>4605</v>
      </c>
      <c r="C1474" s="41" t="s">
        <v>2928</v>
      </c>
      <c r="D1474" s="41" t="s">
        <v>4604</v>
      </c>
      <c r="E1474" s="41" t="s">
        <v>2929</v>
      </c>
      <c r="F1474" s="41" t="s">
        <v>2930</v>
      </c>
      <c r="G1474" s="41" t="s">
        <v>2931</v>
      </c>
    </row>
    <row r="1475" spans="1:7" x14ac:dyDescent="0.25">
      <c r="A1475" s="41" t="s">
        <v>4615</v>
      </c>
      <c r="B1475" s="41" t="s">
        <v>4605</v>
      </c>
      <c r="C1475" s="41" t="s">
        <v>2928</v>
      </c>
      <c r="D1475" s="41" t="s">
        <v>4604</v>
      </c>
      <c r="E1475" s="41" t="s">
        <v>2929</v>
      </c>
      <c r="F1475" s="41" t="s">
        <v>2930</v>
      </c>
      <c r="G1475" s="41" t="s">
        <v>2931</v>
      </c>
    </row>
    <row r="1476" spans="1:7" x14ac:dyDescent="0.25">
      <c r="A1476" s="41" t="s">
        <v>4616</v>
      </c>
      <c r="B1476" s="41" t="s">
        <v>4605</v>
      </c>
      <c r="C1476" s="41" t="s">
        <v>2928</v>
      </c>
      <c r="D1476" s="41" t="s">
        <v>4604</v>
      </c>
      <c r="E1476" s="41" t="s">
        <v>2929</v>
      </c>
      <c r="F1476" s="41" t="s">
        <v>2930</v>
      </c>
      <c r="G1476" s="41" t="s">
        <v>2931</v>
      </c>
    </row>
    <row r="1477" spans="1:7" x14ac:dyDescent="0.25">
      <c r="A1477" s="41" t="s">
        <v>4617</v>
      </c>
      <c r="B1477" s="41" t="s">
        <v>4605</v>
      </c>
      <c r="C1477" s="41" t="s">
        <v>2928</v>
      </c>
      <c r="D1477" s="41" t="s">
        <v>4604</v>
      </c>
      <c r="E1477" s="41" t="s">
        <v>2929</v>
      </c>
      <c r="F1477" s="41" t="s">
        <v>2930</v>
      </c>
      <c r="G1477" s="41" t="s">
        <v>2931</v>
      </c>
    </row>
    <row r="1478" spans="1:7" x14ac:dyDescent="0.25">
      <c r="A1478" s="41" t="s">
        <v>4618</v>
      </c>
      <c r="B1478" s="41" t="s">
        <v>4605</v>
      </c>
      <c r="C1478" s="41" t="s">
        <v>2928</v>
      </c>
      <c r="D1478" s="41" t="s">
        <v>4604</v>
      </c>
      <c r="E1478" s="41" t="s">
        <v>2929</v>
      </c>
      <c r="F1478" s="41" t="s">
        <v>2930</v>
      </c>
      <c r="G1478" s="41" t="s">
        <v>2931</v>
      </c>
    </row>
    <row r="1479" spans="1:7" x14ac:dyDescent="0.25">
      <c r="A1479" s="41" t="s">
        <v>4619</v>
      </c>
      <c r="B1479" s="41" t="s">
        <v>4605</v>
      </c>
      <c r="C1479" s="41" t="s">
        <v>2928</v>
      </c>
      <c r="D1479" s="41" t="s">
        <v>4604</v>
      </c>
      <c r="E1479" s="41" t="s">
        <v>2929</v>
      </c>
      <c r="F1479" s="41" t="s">
        <v>2930</v>
      </c>
      <c r="G1479" s="41" t="s">
        <v>2931</v>
      </c>
    </row>
    <row r="1480" spans="1:7" x14ac:dyDescent="0.25">
      <c r="A1480" s="41" t="s">
        <v>4620</v>
      </c>
      <c r="B1480" s="41" t="s">
        <v>4605</v>
      </c>
      <c r="C1480" s="41" t="s">
        <v>2928</v>
      </c>
      <c r="D1480" s="41" t="s">
        <v>4604</v>
      </c>
      <c r="E1480" s="41" t="s">
        <v>2929</v>
      </c>
      <c r="F1480" s="41" t="s">
        <v>2949</v>
      </c>
      <c r="G1480" s="41" t="s">
        <v>2950</v>
      </c>
    </row>
    <row r="1481" spans="1:7" x14ac:dyDescent="0.25">
      <c r="A1481" s="41" t="s">
        <v>4621</v>
      </c>
      <c r="B1481" s="41" t="s">
        <v>4605</v>
      </c>
      <c r="C1481" s="41" t="s">
        <v>2928</v>
      </c>
      <c r="D1481" s="41" t="s">
        <v>4604</v>
      </c>
      <c r="E1481" s="41" t="s">
        <v>2929</v>
      </c>
      <c r="F1481" s="41" t="s">
        <v>2949</v>
      </c>
      <c r="G1481" s="41" t="s">
        <v>2950</v>
      </c>
    </row>
    <row r="1482" spans="1:7" x14ac:dyDescent="0.25">
      <c r="A1482" s="41" t="s">
        <v>4622</v>
      </c>
      <c r="B1482" s="41" t="s">
        <v>4605</v>
      </c>
      <c r="C1482" s="41" t="s">
        <v>2928</v>
      </c>
      <c r="D1482" s="41" t="s">
        <v>4604</v>
      </c>
      <c r="E1482" s="41" t="s">
        <v>2929</v>
      </c>
      <c r="F1482" s="41" t="s">
        <v>2949</v>
      </c>
      <c r="G1482" s="41" t="s">
        <v>2950</v>
      </c>
    </row>
    <row r="1483" spans="1:7" x14ac:dyDescent="0.25">
      <c r="A1483" s="41" t="s">
        <v>4623</v>
      </c>
      <c r="B1483" s="41" t="s">
        <v>4605</v>
      </c>
      <c r="C1483" s="41" t="s">
        <v>2928</v>
      </c>
      <c r="D1483" s="41" t="s">
        <v>4604</v>
      </c>
      <c r="E1483" s="41" t="s">
        <v>2929</v>
      </c>
      <c r="F1483" s="41" t="s">
        <v>2949</v>
      </c>
      <c r="G1483" s="41" t="s">
        <v>2950</v>
      </c>
    </row>
    <row r="1484" spans="1:7" x14ac:dyDescent="0.25">
      <c r="A1484" s="41" t="s">
        <v>4624</v>
      </c>
      <c r="B1484" s="41" t="s">
        <v>4605</v>
      </c>
      <c r="C1484" s="41" t="s">
        <v>2928</v>
      </c>
      <c r="D1484" s="41" t="s">
        <v>4604</v>
      </c>
      <c r="E1484" s="41" t="s">
        <v>2929</v>
      </c>
      <c r="F1484" s="41" t="s">
        <v>2949</v>
      </c>
      <c r="G1484" s="41" t="s">
        <v>2950</v>
      </c>
    </row>
    <row r="1485" spans="1:7" x14ac:dyDescent="0.25">
      <c r="A1485" s="41" t="s">
        <v>4625</v>
      </c>
      <c r="B1485" s="41" t="s">
        <v>4605</v>
      </c>
      <c r="C1485" s="41" t="s">
        <v>2928</v>
      </c>
      <c r="D1485" s="41" t="s">
        <v>4604</v>
      </c>
      <c r="E1485" s="41" t="s">
        <v>2929</v>
      </c>
      <c r="F1485" s="41" t="s">
        <v>2949</v>
      </c>
      <c r="G1485" s="41" t="s">
        <v>2950</v>
      </c>
    </row>
    <row r="1486" spans="1:7" x14ac:dyDescent="0.25">
      <c r="A1486" s="41" t="s">
        <v>4626</v>
      </c>
      <c r="B1486" s="41" t="s">
        <v>4605</v>
      </c>
      <c r="C1486" s="41" t="s">
        <v>2928</v>
      </c>
      <c r="D1486" s="41" t="s">
        <v>4604</v>
      </c>
      <c r="E1486" s="41" t="s">
        <v>2929</v>
      </c>
      <c r="F1486" s="41" t="s">
        <v>2949</v>
      </c>
      <c r="G1486" s="41" t="s">
        <v>2950</v>
      </c>
    </row>
    <row r="1487" spans="1:7" x14ac:dyDescent="0.25">
      <c r="A1487" s="41" t="s">
        <v>4627</v>
      </c>
      <c r="B1487" s="41" t="s">
        <v>544</v>
      </c>
      <c r="C1487" s="41" t="s">
        <v>2928</v>
      </c>
      <c r="D1487" s="41" t="s">
        <v>4627</v>
      </c>
      <c r="E1487" s="41" t="s">
        <v>2929</v>
      </c>
      <c r="F1487" s="41" t="s">
        <v>2930</v>
      </c>
      <c r="G1487" s="41" t="s">
        <v>2931</v>
      </c>
    </row>
    <row r="1488" spans="1:7" x14ac:dyDescent="0.25">
      <c r="A1488" s="41" t="s">
        <v>4628</v>
      </c>
      <c r="B1488" s="41" t="s">
        <v>544</v>
      </c>
      <c r="C1488" s="41" t="s">
        <v>2928</v>
      </c>
      <c r="D1488" s="41" t="s">
        <v>4627</v>
      </c>
      <c r="E1488" s="41" t="s">
        <v>2929</v>
      </c>
      <c r="F1488" s="41" t="s">
        <v>2933</v>
      </c>
      <c r="G1488" s="41" t="s">
        <v>2934</v>
      </c>
    </row>
    <row r="1489" spans="1:7" x14ac:dyDescent="0.25">
      <c r="A1489" s="41" t="s">
        <v>4629</v>
      </c>
      <c r="B1489" s="41" t="s">
        <v>544</v>
      </c>
      <c r="C1489" s="41" t="s">
        <v>2928</v>
      </c>
      <c r="D1489" s="41" t="s">
        <v>4627</v>
      </c>
      <c r="E1489" s="41" t="s">
        <v>2929</v>
      </c>
      <c r="F1489" s="41" t="s">
        <v>2933</v>
      </c>
      <c r="G1489" s="41" t="s">
        <v>2934</v>
      </c>
    </row>
    <row r="1490" spans="1:7" x14ac:dyDescent="0.25">
      <c r="A1490" s="41" t="s">
        <v>4630</v>
      </c>
      <c r="B1490" s="41" t="s">
        <v>544</v>
      </c>
      <c r="C1490" s="41" t="s">
        <v>2928</v>
      </c>
      <c r="D1490" s="41" t="s">
        <v>4627</v>
      </c>
      <c r="E1490" s="41" t="s">
        <v>2929</v>
      </c>
      <c r="F1490" s="41" t="s">
        <v>2933</v>
      </c>
      <c r="G1490" s="41" t="s">
        <v>2934</v>
      </c>
    </row>
    <row r="1491" spans="1:7" x14ac:dyDescent="0.25">
      <c r="A1491" s="41" t="s">
        <v>4631</v>
      </c>
      <c r="B1491" s="41" t="s">
        <v>544</v>
      </c>
      <c r="C1491" s="41" t="s">
        <v>2928</v>
      </c>
      <c r="D1491" s="41" t="s">
        <v>4627</v>
      </c>
      <c r="E1491" s="41" t="s">
        <v>2929</v>
      </c>
      <c r="F1491" s="41" t="s">
        <v>2933</v>
      </c>
      <c r="G1491" s="41" t="s">
        <v>2934</v>
      </c>
    </row>
    <row r="1492" spans="1:7" x14ac:dyDescent="0.25">
      <c r="A1492" s="41" t="s">
        <v>4632</v>
      </c>
      <c r="B1492" s="41" t="s">
        <v>544</v>
      </c>
      <c r="C1492" s="41" t="s">
        <v>2928</v>
      </c>
      <c r="D1492" s="41" t="s">
        <v>4627</v>
      </c>
      <c r="E1492" s="41" t="s">
        <v>2929</v>
      </c>
      <c r="F1492" s="41" t="s">
        <v>2933</v>
      </c>
      <c r="G1492" s="41" t="s">
        <v>2934</v>
      </c>
    </row>
    <row r="1493" spans="1:7" x14ac:dyDescent="0.25">
      <c r="A1493" s="41" t="s">
        <v>4633</v>
      </c>
      <c r="B1493" s="41" t="s">
        <v>544</v>
      </c>
      <c r="C1493" s="41" t="s">
        <v>2928</v>
      </c>
      <c r="D1493" s="41" t="s">
        <v>4627</v>
      </c>
      <c r="E1493" s="41" t="s">
        <v>2929</v>
      </c>
      <c r="F1493" s="41" t="s">
        <v>2933</v>
      </c>
      <c r="G1493" s="41" t="s">
        <v>2934</v>
      </c>
    </row>
    <row r="1494" spans="1:7" x14ac:dyDescent="0.25">
      <c r="A1494" s="41" t="s">
        <v>4634</v>
      </c>
      <c r="B1494" s="41" t="s">
        <v>544</v>
      </c>
      <c r="C1494" s="41" t="s">
        <v>2928</v>
      </c>
      <c r="D1494" s="41" t="s">
        <v>4627</v>
      </c>
      <c r="E1494" s="41" t="s">
        <v>2929</v>
      </c>
      <c r="F1494" s="41" t="s">
        <v>2933</v>
      </c>
      <c r="G1494" s="41" t="s">
        <v>2934</v>
      </c>
    </row>
    <row r="1495" spans="1:7" x14ac:dyDescent="0.25">
      <c r="A1495" s="41" t="s">
        <v>4635</v>
      </c>
      <c r="B1495" s="41" t="s">
        <v>544</v>
      </c>
      <c r="C1495" s="41" t="s">
        <v>2928</v>
      </c>
      <c r="D1495" s="41" t="s">
        <v>4627</v>
      </c>
      <c r="E1495" s="41" t="s">
        <v>2929</v>
      </c>
      <c r="F1495" s="41" t="s">
        <v>2930</v>
      </c>
      <c r="G1495" s="41" t="s">
        <v>2931</v>
      </c>
    </row>
    <row r="1496" spans="1:7" x14ac:dyDescent="0.25">
      <c r="A1496" s="41" t="s">
        <v>4636</v>
      </c>
      <c r="B1496" s="41" t="s">
        <v>544</v>
      </c>
      <c r="C1496" s="41" t="s">
        <v>2928</v>
      </c>
      <c r="D1496" s="41" t="s">
        <v>4627</v>
      </c>
      <c r="E1496" s="41" t="s">
        <v>2929</v>
      </c>
      <c r="F1496" s="41" t="s">
        <v>2930</v>
      </c>
      <c r="G1496" s="41" t="s">
        <v>2931</v>
      </c>
    </row>
    <row r="1497" spans="1:7" x14ac:dyDescent="0.25">
      <c r="A1497" s="41" t="s">
        <v>4637</v>
      </c>
      <c r="B1497" s="41" t="s">
        <v>544</v>
      </c>
      <c r="C1497" s="41" t="s">
        <v>2928</v>
      </c>
      <c r="D1497" s="41" t="s">
        <v>4627</v>
      </c>
      <c r="E1497" s="41" t="s">
        <v>2929</v>
      </c>
      <c r="F1497" s="41" t="s">
        <v>2930</v>
      </c>
      <c r="G1497" s="41" t="s">
        <v>2931</v>
      </c>
    </row>
    <row r="1498" spans="1:7" x14ac:dyDescent="0.25">
      <c r="A1498" s="41" t="s">
        <v>4638</v>
      </c>
      <c r="B1498" s="41" t="s">
        <v>544</v>
      </c>
      <c r="C1498" s="41" t="s">
        <v>2928</v>
      </c>
      <c r="D1498" s="41" t="s">
        <v>4627</v>
      </c>
      <c r="E1498" s="41" t="s">
        <v>2929</v>
      </c>
      <c r="F1498" s="41" t="s">
        <v>2930</v>
      </c>
      <c r="G1498" s="41" t="s">
        <v>2931</v>
      </c>
    </row>
    <row r="1499" spans="1:7" x14ac:dyDescent="0.25">
      <c r="A1499" s="41" t="s">
        <v>4639</v>
      </c>
      <c r="B1499" s="41" t="s">
        <v>544</v>
      </c>
      <c r="C1499" s="41" t="s">
        <v>2928</v>
      </c>
      <c r="D1499" s="41" t="s">
        <v>4627</v>
      </c>
      <c r="E1499" s="41" t="s">
        <v>2929</v>
      </c>
      <c r="F1499" s="41" t="s">
        <v>2930</v>
      </c>
      <c r="G1499" s="41" t="s">
        <v>2931</v>
      </c>
    </row>
    <row r="1500" spans="1:7" x14ac:dyDescent="0.25">
      <c r="A1500" s="41" t="s">
        <v>4640</v>
      </c>
      <c r="B1500" s="41" t="s">
        <v>544</v>
      </c>
      <c r="C1500" s="41" t="s">
        <v>2928</v>
      </c>
      <c r="D1500" s="41" t="s">
        <v>4627</v>
      </c>
      <c r="E1500" s="41" t="s">
        <v>2929</v>
      </c>
      <c r="F1500" s="41" t="s">
        <v>2930</v>
      </c>
      <c r="G1500" s="41" t="s">
        <v>2931</v>
      </c>
    </row>
    <row r="1501" spans="1:7" x14ac:dyDescent="0.25">
      <c r="A1501" s="41" t="s">
        <v>4641</v>
      </c>
      <c r="B1501" s="41" t="s">
        <v>544</v>
      </c>
      <c r="C1501" s="41" t="s">
        <v>2928</v>
      </c>
      <c r="D1501" s="41" t="s">
        <v>4627</v>
      </c>
      <c r="E1501" s="41" t="s">
        <v>2929</v>
      </c>
      <c r="F1501" s="41" t="s">
        <v>2930</v>
      </c>
      <c r="G1501" s="41" t="s">
        <v>2931</v>
      </c>
    </row>
    <row r="1502" spans="1:7" x14ac:dyDescent="0.25">
      <c r="A1502" s="41" t="s">
        <v>4642</v>
      </c>
      <c r="B1502" s="41" t="s">
        <v>544</v>
      </c>
      <c r="C1502" s="41" t="s">
        <v>2928</v>
      </c>
      <c r="D1502" s="41" t="s">
        <v>4627</v>
      </c>
      <c r="E1502" s="41" t="s">
        <v>2929</v>
      </c>
      <c r="F1502" s="41" t="s">
        <v>2949</v>
      </c>
      <c r="G1502" s="41" t="s">
        <v>2950</v>
      </c>
    </row>
    <row r="1503" spans="1:7" x14ac:dyDescent="0.25">
      <c r="A1503" s="41" t="s">
        <v>4643</v>
      </c>
      <c r="B1503" s="41" t="s">
        <v>544</v>
      </c>
      <c r="C1503" s="41" t="s">
        <v>2928</v>
      </c>
      <c r="D1503" s="41" t="s">
        <v>4627</v>
      </c>
      <c r="E1503" s="41" t="s">
        <v>2929</v>
      </c>
      <c r="F1503" s="41" t="s">
        <v>2949</v>
      </c>
      <c r="G1503" s="41" t="s">
        <v>2950</v>
      </c>
    </row>
    <row r="1504" spans="1:7" x14ac:dyDescent="0.25">
      <c r="A1504" s="41" t="s">
        <v>4644</v>
      </c>
      <c r="B1504" s="41" t="s">
        <v>544</v>
      </c>
      <c r="C1504" s="41" t="s">
        <v>2928</v>
      </c>
      <c r="D1504" s="41" t="s">
        <v>4627</v>
      </c>
      <c r="E1504" s="41" t="s">
        <v>2929</v>
      </c>
      <c r="F1504" s="41" t="s">
        <v>2949</v>
      </c>
      <c r="G1504" s="41" t="s">
        <v>2950</v>
      </c>
    </row>
    <row r="1505" spans="1:7" x14ac:dyDescent="0.25">
      <c r="A1505" s="41" t="s">
        <v>4645</v>
      </c>
      <c r="B1505" s="41" t="s">
        <v>544</v>
      </c>
      <c r="C1505" s="41" t="s">
        <v>2928</v>
      </c>
      <c r="D1505" s="41" t="s">
        <v>4627</v>
      </c>
      <c r="E1505" s="41" t="s">
        <v>2929</v>
      </c>
      <c r="F1505" s="41" t="s">
        <v>2949</v>
      </c>
      <c r="G1505" s="41" t="s">
        <v>2950</v>
      </c>
    </row>
    <row r="1506" spans="1:7" x14ac:dyDescent="0.25">
      <c r="A1506" s="41" t="s">
        <v>4646</v>
      </c>
      <c r="B1506" s="41" t="s">
        <v>544</v>
      </c>
      <c r="C1506" s="41" t="s">
        <v>2928</v>
      </c>
      <c r="D1506" s="41" t="s">
        <v>4627</v>
      </c>
      <c r="E1506" s="41" t="s">
        <v>2929</v>
      </c>
      <c r="F1506" s="41" t="s">
        <v>2949</v>
      </c>
      <c r="G1506" s="41" t="s">
        <v>2950</v>
      </c>
    </row>
    <row r="1507" spans="1:7" x14ac:dyDescent="0.25">
      <c r="A1507" s="41" t="s">
        <v>4647</v>
      </c>
      <c r="B1507" s="41" t="s">
        <v>544</v>
      </c>
      <c r="C1507" s="41" t="s">
        <v>2928</v>
      </c>
      <c r="D1507" s="41" t="s">
        <v>4627</v>
      </c>
      <c r="E1507" s="41" t="s">
        <v>2929</v>
      </c>
      <c r="F1507" s="41" t="s">
        <v>2949</v>
      </c>
      <c r="G1507" s="41" t="s">
        <v>2950</v>
      </c>
    </row>
    <row r="1508" spans="1:7" x14ac:dyDescent="0.25">
      <c r="A1508" s="41" t="s">
        <v>4648</v>
      </c>
      <c r="B1508" s="41" t="s">
        <v>544</v>
      </c>
      <c r="C1508" s="41" t="s">
        <v>2928</v>
      </c>
      <c r="D1508" s="41" t="s">
        <v>4627</v>
      </c>
      <c r="E1508" s="41" t="s">
        <v>2929</v>
      </c>
      <c r="F1508" s="41" t="s">
        <v>2949</v>
      </c>
      <c r="G1508" s="41" t="s">
        <v>2950</v>
      </c>
    </row>
    <row r="1509" spans="1:7" x14ac:dyDescent="0.25">
      <c r="A1509" s="41" t="s">
        <v>4649</v>
      </c>
      <c r="B1509" s="41" t="s">
        <v>4650</v>
      </c>
      <c r="C1509" s="41" t="s">
        <v>2928</v>
      </c>
      <c r="D1509" s="41" t="s">
        <v>4649</v>
      </c>
      <c r="E1509" s="41" t="s">
        <v>2929</v>
      </c>
      <c r="F1509" s="41" t="s">
        <v>2930</v>
      </c>
      <c r="G1509" s="41" t="s">
        <v>2931</v>
      </c>
    </row>
    <row r="1510" spans="1:7" x14ac:dyDescent="0.25">
      <c r="A1510" s="41" t="s">
        <v>4651</v>
      </c>
      <c r="B1510" s="41" t="s">
        <v>4650</v>
      </c>
      <c r="C1510" s="41" t="s">
        <v>2928</v>
      </c>
      <c r="D1510" s="41" t="s">
        <v>4649</v>
      </c>
      <c r="E1510" s="41" t="s">
        <v>2929</v>
      </c>
      <c r="F1510" s="41" t="s">
        <v>2933</v>
      </c>
      <c r="G1510" s="41" t="s">
        <v>2934</v>
      </c>
    </row>
    <row r="1511" spans="1:7" x14ac:dyDescent="0.25">
      <c r="A1511" s="41" t="s">
        <v>4652</v>
      </c>
      <c r="B1511" s="41" t="s">
        <v>4650</v>
      </c>
      <c r="C1511" s="41" t="s">
        <v>2928</v>
      </c>
      <c r="D1511" s="41" t="s">
        <v>4649</v>
      </c>
      <c r="E1511" s="41" t="s">
        <v>2929</v>
      </c>
      <c r="F1511" s="41" t="s">
        <v>2933</v>
      </c>
      <c r="G1511" s="41" t="s">
        <v>2934</v>
      </c>
    </row>
    <row r="1512" spans="1:7" x14ac:dyDescent="0.25">
      <c r="A1512" s="41" t="s">
        <v>4653</v>
      </c>
      <c r="B1512" s="41" t="s">
        <v>4650</v>
      </c>
      <c r="C1512" s="41" t="s">
        <v>2928</v>
      </c>
      <c r="D1512" s="41" t="s">
        <v>4649</v>
      </c>
      <c r="E1512" s="41" t="s">
        <v>2929</v>
      </c>
      <c r="F1512" s="41" t="s">
        <v>2933</v>
      </c>
      <c r="G1512" s="41" t="s">
        <v>2934</v>
      </c>
    </row>
    <row r="1513" spans="1:7" x14ac:dyDescent="0.25">
      <c r="A1513" s="41" t="s">
        <v>4654</v>
      </c>
      <c r="B1513" s="41" t="s">
        <v>4650</v>
      </c>
      <c r="C1513" s="41" t="s">
        <v>2928</v>
      </c>
      <c r="D1513" s="41" t="s">
        <v>4649</v>
      </c>
      <c r="E1513" s="41" t="s">
        <v>2929</v>
      </c>
      <c r="F1513" s="41" t="s">
        <v>2933</v>
      </c>
      <c r="G1513" s="41" t="s">
        <v>2934</v>
      </c>
    </row>
    <row r="1514" spans="1:7" x14ac:dyDescent="0.25">
      <c r="A1514" s="41" t="s">
        <v>4655</v>
      </c>
      <c r="B1514" s="41" t="s">
        <v>4650</v>
      </c>
      <c r="C1514" s="41" t="s">
        <v>2928</v>
      </c>
      <c r="D1514" s="41" t="s">
        <v>4649</v>
      </c>
      <c r="E1514" s="41" t="s">
        <v>2929</v>
      </c>
      <c r="F1514" s="41" t="s">
        <v>2933</v>
      </c>
      <c r="G1514" s="41" t="s">
        <v>2934</v>
      </c>
    </row>
    <row r="1515" spans="1:7" x14ac:dyDescent="0.25">
      <c r="A1515" s="41" t="s">
        <v>4656</v>
      </c>
      <c r="B1515" s="41" t="s">
        <v>4650</v>
      </c>
      <c r="C1515" s="41" t="s">
        <v>2928</v>
      </c>
      <c r="D1515" s="41" t="s">
        <v>4649</v>
      </c>
      <c r="E1515" s="41" t="s">
        <v>2929</v>
      </c>
      <c r="F1515" s="41" t="s">
        <v>2933</v>
      </c>
      <c r="G1515" s="41" t="s">
        <v>2934</v>
      </c>
    </row>
    <row r="1516" spans="1:7" x14ac:dyDescent="0.25">
      <c r="A1516" s="41" t="s">
        <v>4657</v>
      </c>
      <c r="B1516" s="41" t="s">
        <v>4650</v>
      </c>
      <c r="C1516" s="41" t="s">
        <v>2928</v>
      </c>
      <c r="D1516" s="41" t="s">
        <v>4649</v>
      </c>
      <c r="E1516" s="41" t="s">
        <v>2929</v>
      </c>
      <c r="F1516" s="41" t="s">
        <v>2933</v>
      </c>
      <c r="G1516" s="41" t="s">
        <v>2934</v>
      </c>
    </row>
    <row r="1517" spans="1:7" x14ac:dyDescent="0.25">
      <c r="A1517" s="41" t="s">
        <v>4658</v>
      </c>
      <c r="B1517" s="41" t="s">
        <v>4650</v>
      </c>
      <c r="C1517" s="41" t="s">
        <v>2928</v>
      </c>
      <c r="D1517" s="41" t="s">
        <v>4649</v>
      </c>
      <c r="E1517" s="41" t="s">
        <v>2929</v>
      </c>
      <c r="F1517" s="41" t="s">
        <v>2930</v>
      </c>
      <c r="G1517" s="41" t="s">
        <v>2931</v>
      </c>
    </row>
    <row r="1518" spans="1:7" x14ac:dyDescent="0.25">
      <c r="A1518" s="41" t="s">
        <v>4659</v>
      </c>
      <c r="B1518" s="41" t="s">
        <v>4650</v>
      </c>
      <c r="C1518" s="41" t="s">
        <v>2928</v>
      </c>
      <c r="D1518" s="41" t="s">
        <v>4649</v>
      </c>
      <c r="E1518" s="41" t="s">
        <v>2929</v>
      </c>
      <c r="F1518" s="41" t="s">
        <v>2930</v>
      </c>
      <c r="G1518" s="41" t="s">
        <v>2931</v>
      </c>
    </row>
    <row r="1519" spans="1:7" x14ac:dyDescent="0.25">
      <c r="A1519" s="41" t="s">
        <v>4660</v>
      </c>
      <c r="B1519" s="41" t="s">
        <v>4650</v>
      </c>
      <c r="C1519" s="41" t="s">
        <v>2928</v>
      </c>
      <c r="D1519" s="41" t="s">
        <v>4649</v>
      </c>
      <c r="E1519" s="41" t="s">
        <v>2929</v>
      </c>
      <c r="F1519" s="41" t="s">
        <v>2930</v>
      </c>
      <c r="G1519" s="41" t="s">
        <v>2931</v>
      </c>
    </row>
    <row r="1520" spans="1:7" x14ac:dyDescent="0.25">
      <c r="A1520" s="41" t="s">
        <v>4661</v>
      </c>
      <c r="B1520" s="41" t="s">
        <v>4650</v>
      </c>
      <c r="C1520" s="41" t="s">
        <v>2928</v>
      </c>
      <c r="D1520" s="41" t="s">
        <v>4649</v>
      </c>
      <c r="E1520" s="41" t="s">
        <v>2929</v>
      </c>
      <c r="F1520" s="41" t="s">
        <v>2930</v>
      </c>
      <c r="G1520" s="41" t="s">
        <v>2931</v>
      </c>
    </row>
    <row r="1521" spans="1:7" x14ac:dyDescent="0.25">
      <c r="A1521" s="41" t="s">
        <v>4662</v>
      </c>
      <c r="B1521" s="41" t="s">
        <v>4650</v>
      </c>
      <c r="C1521" s="41" t="s">
        <v>2928</v>
      </c>
      <c r="D1521" s="41" t="s">
        <v>4649</v>
      </c>
      <c r="E1521" s="41" t="s">
        <v>2929</v>
      </c>
      <c r="F1521" s="41" t="s">
        <v>2930</v>
      </c>
      <c r="G1521" s="41" t="s">
        <v>2931</v>
      </c>
    </row>
    <row r="1522" spans="1:7" x14ac:dyDescent="0.25">
      <c r="A1522" s="41" t="s">
        <v>4663</v>
      </c>
      <c r="B1522" s="41" t="s">
        <v>4650</v>
      </c>
      <c r="C1522" s="41" t="s">
        <v>2928</v>
      </c>
      <c r="D1522" s="41" t="s">
        <v>4649</v>
      </c>
      <c r="E1522" s="41" t="s">
        <v>2929</v>
      </c>
      <c r="F1522" s="41" t="s">
        <v>2930</v>
      </c>
      <c r="G1522" s="41" t="s">
        <v>2931</v>
      </c>
    </row>
    <row r="1523" spans="1:7" x14ac:dyDescent="0.25">
      <c r="A1523" s="41" t="s">
        <v>4664</v>
      </c>
      <c r="B1523" s="41" t="s">
        <v>4650</v>
      </c>
      <c r="C1523" s="41" t="s">
        <v>2928</v>
      </c>
      <c r="D1523" s="41" t="s">
        <v>4649</v>
      </c>
      <c r="E1523" s="41" t="s">
        <v>2929</v>
      </c>
      <c r="F1523" s="41" t="s">
        <v>2930</v>
      </c>
      <c r="G1523" s="41" t="s">
        <v>2931</v>
      </c>
    </row>
    <row r="1524" spans="1:7" x14ac:dyDescent="0.25">
      <c r="A1524" s="41" t="s">
        <v>4665</v>
      </c>
      <c r="B1524" s="41" t="s">
        <v>4650</v>
      </c>
      <c r="C1524" s="41" t="s">
        <v>2928</v>
      </c>
      <c r="D1524" s="41" t="s">
        <v>4649</v>
      </c>
      <c r="E1524" s="41" t="s">
        <v>2929</v>
      </c>
      <c r="F1524" s="41" t="s">
        <v>2949</v>
      </c>
      <c r="G1524" s="41" t="s">
        <v>2950</v>
      </c>
    </row>
    <row r="1525" spans="1:7" x14ac:dyDescent="0.25">
      <c r="A1525" s="41" t="s">
        <v>4666</v>
      </c>
      <c r="B1525" s="41" t="s">
        <v>4650</v>
      </c>
      <c r="C1525" s="41" t="s">
        <v>2928</v>
      </c>
      <c r="D1525" s="41" t="s">
        <v>4649</v>
      </c>
      <c r="E1525" s="41" t="s">
        <v>2929</v>
      </c>
      <c r="F1525" s="41" t="s">
        <v>2949</v>
      </c>
      <c r="G1525" s="41" t="s">
        <v>2950</v>
      </c>
    </row>
    <row r="1526" spans="1:7" x14ac:dyDescent="0.25">
      <c r="A1526" s="41" t="s">
        <v>4667</v>
      </c>
      <c r="B1526" s="41" t="s">
        <v>4650</v>
      </c>
      <c r="C1526" s="41" t="s">
        <v>2928</v>
      </c>
      <c r="D1526" s="41" t="s">
        <v>4649</v>
      </c>
      <c r="E1526" s="41" t="s">
        <v>2929</v>
      </c>
      <c r="F1526" s="41" t="s">
        <v>2949</v>
      </c>
      <c r="G1526" s="41" t="s">
        <v>2950</v>
      </c>
    </row>
    <row r="1527" spans="1:7" x14ac:dyDescent="0.25">
      <c r="A1527" s="41" t="s">
        <v>4668</v>
      </c>
      <c r="B1527" s="41" t="s">
        <v>4650</v>
      </c>
      <c r="C1527" s="41" t="s">
        <v>2928</v>
      </c>
      <c r="D1527" s="41" t="s">
        <v>4649</v>
      </c>
      <c r="E1527" s="41" t="s">
        <v>2929</v>
      </c>
      <c r="F1527" s="41" t="s">
        <v>2949</v>
      </c>
      <c r="G1527" s="41" t="s">
        <v>2950</v>
      </c>
    </row>
    <row r="1528" spans="1:7" x14ac:dyDescent="0.25">
      <c r="A1528" s="41" t="s">
        <v>4669</v>
      </c>
      <c r="B1528" s="41" t="s">
        <v>4650</v>
      </c>
      <c r="C1528" s="41" t="s">
        <v>2928</v>
      </c>
      <c r="D1528" s="41" t="s">
        <v>4649</v>
      </c>
      <c r="E1528" s="41" t="s">
        <v>2929</v>
      </c>
      <c r="F1528" s="41" t="s">
        <v>2949</v>
      </c>
      <c r="G1528" s="41" t="s">
        <v>2950</v>
      </c>
    </row>
    <row r="1529" spans="1:7" x14ac:dyDescent="0.25">
      <c r="A1529" s="41" t="s">
        <v>4670</v>
      </c>
      <c r="B1529" s="41" t="s">
        <v>4650</v>
      </c>
      <c r="C1529" s="41" t="s">
        <v>2928</v>
      </c>
      <c r="D1529" s="41" t="s">
        <v>4649</v>
      </c>
      <c r="E1529" s="41" t="s">
        <v>2929</v>
      </c>
      <c r="F1529" s="41" t="s">
        <v>2949</v>
      </c>
      <c r="G1529" s="41" t="s">
        <v>2950</v>
      </c>
    </row>
    <row r="1530" spans="1:7" x14ac:dyDescent="0.25">
      <c r="A1530" s="41" t="s">
        <v>4671</v>
      </c>
      <c r="B1530" s="41" t="s">
        <v>4650</v>
      </c>
      <c r="C1530" s="41" t="s">
        <v>2928</v>
      </c>
      <c r="D1530" s="41" t="s">
        <v>4649</v>
      </c>
      <c r="E1530" s="41" t="s">
        <v>2929</v>
      </c>
      <c r="F1530" s="41" t="s">
        <v>2949</v>
      </c>
      <c r="G1530" s="41" t="s">
        <v>2950</v>
      </c>
    </row>
    <row r="1531" spans="1:7" x14ac:dyDescent="0.25">
      <c r="A1531" s="41" t="s">
        <v>4672</v>
      </c>
      <c r="B1531" s="41" t="s">
        <v>4673</v>
      </c>
      <c r="C1531" s="41" t="s">
        <v>2928</v>
      </c>
      <c r="D1531" s="41" t="s">
        <v>4672</v>
      </c>
      <c r="E1531" s="41" t="s">
        <v>2929</v>
      </c>
      <c r="F1531" s="41" t="s">
        <v>2930</v>
      </c>
      <c r="G1531" s="41" t="s">
        <v>2931</v>
      </c>
    </row>
    <row r="1532" spans="1:7" x14ac:dyDescent="0.25">
      <c r="A1532" s="41" t="s">
        <v>4674</v>
      </c>
      <c r="B1532" s="41" t="s">
        <v>4673</v>
      </c>
      <c r="C1532" s="41" t="s">
        <v>2928</v>
      </c>
      <c r="D1532" s="41" t="s">
        <v>4672</v>
      </c>
      <c r="E1532" s="41" t="s">
        <v>2929</v>
      </c>
      <c r="F1532" s="41" t="s">
        <v>2933</v>
      </c>
      <c r="G1532" s="41" t="s">
        <v>2934</v>
      </c>
    </row>
    <row r="1533" spans="1:7" x14ac:dyDescent="0.25">
      <c r="A1533" s="41" t="s">
        <v>4675</v>
      </c>
      <c r="B1533" s="41" t="s">
        <v>4673</v>
      </c>
      <c r="C1533" s="41" t="s">
        <v>2928</v>
      </c>
      <c r="D1533" s="41" t="s">
        <v>4672</v>
      </c>
      <c r="E1533" s="41" t="s">
        <v>2929</v>
      </c>
      <c r="F1533" s="41" t="s">
        <v>2930</v>
      </c>
      <c r="G1533" s="41" t="s">
        <v>2931</v>
      </c>
    </row>
    <row r="1534" spans="1:7" x14ac:dyDescent="0.25">
      <c r="A1534" s="41" t="s">
        <v>4676</v>
      </c>
      <c r="B1534" s="41" t="s">
        <v>4673</v>
      </c>
      <c r="C1534" s="41" t="s">
        <v>2928</v>
      </c>
      <c r="D1534" s="41" t="s">
        <v>4672</v>
      </c>
      <c r="E1534" s="41" t="s">
        <v>2929</v>
      </c>
      <c r="F1534" s="41" t="s">
        <v>2949</v>
      </c>
      <c r="G1534" s="41" t="s">
        <v>2950</v>
      </c>
    </row>
    <row r="1535" spans="1:7" x14ac:dyDescent="0.25">
      <c r="A1535" s="41" t="s">
        <v>4677</v>
      </c>
      <c r="B1535" s="41" t="s">
        <v>4678</v>
      </c>
      <c r="C1535" s="41" t="s">
        <v>2928</v>
      </c>
      <c r="D1535" s="41" t="s">
        <v>4677</v>
      </c>
      <c r="E1535" s="41" t="s">
        <v>2929</v>
      </c>
      <c r="F1535" s="41" t="s">
        <v>2930</v>
      </c>
      <c r="G1535" s="41" t="s">
        <v>2931</v>
      </c>
    </row>
    <row r="1536" spans="1:7" x14ac:dyDescent="0.25">
      <c r="A1536" s="41" t="s">
        <v>4679</v>
      </c>
      <c r="B1536" s="41" t="s">
        <v>4678</v>
      </c>
      <c r="C1536" s="41" t="s">
        <v>2928</v>
      </c>
      <c r="D1536" s="41" t="s">
        <v>4677</v>
      </c>
      <c r="E1536" s="41" t="s">
        <v>2929</v>
      </c>
      <c r="F1536" s="41" t="s">
        <v>2949</v>
      </c>
      <c r="G1536" s="41" t="s">
        <v>2950</v>
      </c>
    </row>
    <row r="1537" spans="1:7" x14ac:dyDescent="0.25">
      <c r="A1537" s="41" t="s">
        <v>4680</v>
      </c>
      <c r="B1537" s="41" t="s">
        <v>4681</v>
      </c>
      <c r="C1537" s="41" t="s">
        <v>2928</v>
      </c>
      <c r="D1537" s="41" t="s">
        <v>4680</v>
      </c>
      <c r="E1537" s="41" t="s">
        <v>2929</v>
      </c>
      <c r="F1537" s="41" t="s">
        <v>2930</v>
      </c>
      <c r="G1537" s="41" t="s">
        <v>2931</v>
      </c>
    </row>
    <row r="1538" spans="1:7" x14ac:dyDescent="0.25">
      <c r="A1538" s="41" t="s">
        <v>4682</v>
      </c>
      <c r="B1538" s="41" t="s">
        <v>4681</v>
      </c>
      <c r="C1538" s="41" t="s">
        <v>2928</v>
      </c>
      <c r="D1538" s="41" t="s">
        <v>4680</v>
      </c>
      <c r="E1538" s="41" t="s">
        <v>2929</v>
      </c>
      <c r="F1538" s="41" t="s">
        <v>2933</v>
      </c>
      <c r="G1538" s="41" t="s">
        <v>2934</v>
      </c>
    </row>
    <row r="1539" spans="1:7" x14ac:dyDescent="0.25">
      <c r="A1539" s="41" t="s">
        <v>4683</v>
      </c>
      <c r="B1539" s="41" t="s">
        <v>4681</v>
      </c>
      <c r="C1539" s="41" t="s">
        <v>2928</v>
      </c>
      <c r="D1539" s="41" t="s">
        <v>4680</v>
      </c>
      <c r="E1539" s="41" t="s">
        <v>2929</v>
      </c>
      <c r="F1539" s="41" t="s">
        <v>2933</v>
      </c>
      <c r="G1539" s="41" t="s">
        <v>2934</v>
      </c>
    </row>
    <row r="1540" spans="1:7" x14ac:dyDescent="0.25">
      <c r="A1540" s="41" t="s">
        <v>4684</v>
      </c>
      <c r="B1540" s="41" t="s">
        <v>4681</v>
      </c>
      <c r="C1540" s="41" t="s">
        <v>2928</v>
      </c>
      <c r="D1540" s="41" t="s">
        <v>4680</v>
      </c>
      <c r="E1540" s="41" t="s">
        <v>2929</v>
      </c>
      <c r="F1540" s="41" t="s">
        <v>2949</v>
      </c>
      <c r="G1540" s="41" t="s">
        <v>2950</v>
      </c>
    </row>
    <row r="1541" spans="1:7" x14ac:dyDescent="0.25">
      <c r="A1541" s="41" t="s">
        <v>4685</v>
      </c>
      <c r="B1541" s="41" t="s">
        <v>1074</v>
      </c>
      <c r="C1541" s="41" t="s">
        <v>2928</v>
      </c>
      <c r="D1541" s="41" t="s">
        <v>4685</v>
      </c>
      <c r="E1541" s="41" t="s">
        <v>2929</v>
      </c>
      <c r="F1541" s="41" t="s">
        <v>2930</v>
      </c>
      <c r="G1541" s="41" t="s">
        <v>2931</v>
      </c>
    </row>
    <row r="1542" spans="1:7" x14ac:dyDescent="0.25">
      <c r="A1542" s="41" t="s">
        <v>4686</v>
      </c>
      <c r="B1542" s="41" t="s">
        <v>1074</v>
      </c>
      <c r="C1542" s="41" t="s">
        <v>2928</v>
      </c>
      <c r="D1542" s="41" t="s">
        <v>4685</v>
      </c>
      <c r="E1542" s="41" t="s">
        <v>2929</v>
      </c>
      <c r="F1542" s="41" t="s">
        <v>2933</v>
      </c>
      <c r="G1542" s="41" t="s">
        <v>2934</v>
      </c>
    </row>
    <row r="1543" spans="1:7" x14ac:dyDescent="0.25">
      <c r="A1543" s="41" t="s">
        <v>4687</v>
      </c>
      <c r="B1543" s="41" t="s">
        <v>1074</v>
      </c>
      <c r="C1543" s="41" t="s">
        <v>2928</v>
      </c>
      <c r="D1543" s="41" t="s">
        <v>4685</v>
      </c>
      <c r="E1543" s="41" t="s">
        <v>2929</v>
      </c>
      <c r="F1543" s="41" t="s">
        <v>2933</v>
      </c>
      <c r="G1543" s="41" t="s">
        <v>2934</v>
      </c>
    </row>
    <row r="1544" spans="1:7" x14ac:dyDescent="0.25">
      <c r="A1544" s="41" t="s">
        <v>4688</v>
      </c>
      <c r="B1544" s="41" t="s">
        <v>1074</v>
      </c>
      <c r="C1544" s="41" t="s">
        <v>2928</v>
      </c>
      <c r="D1544" s="41" t="s">
        <v>4685</v>
      </c>
      <c r="E1544" s="41" t="s">
        <v>2929</v>
      </c>
      <c r="F1544" s="41" t="s">
        <v>2949</v>
      </c>
      <c r="G1544" s="41" t="s">
        <v>2950</v>
      </c>
    </row>
    <row r="1545" spans="1:7" x14ac:dyDescent="0.25">
      <c r="A1545" s="41" t="s">
        <v>4689</v>
      </c>
      <c r="B1545" s="41" t="s">
        <v>1074</v>
      </c>
      <c r="C1545" s="41" t="s">
        <v>2928</v>
      </c>
      <c r="D1545" s="41" t="s">
        <v>4685</v>
      </c>
      <c r="E1545" s="41" t="s">
        <v>2929</v>
      </c>
      <c r="F1545" s="41" t="s">
        <v>2949</v>
      </c>
      <c r="G1545" s="41" t="s">
        <v>2950</v>
      </c>
    </row>
    <row r="1546" spans="1:7" x14ac:dyDescent="0.25">
      <c r="A1546" s="41" t="s">
        <v>4690</v>
      </c>
      <c r="B1546" s="41" t="s">
        <v>4691</v>
      </c>
      <c r="C1546" s="41" t="s">
        <v>2928</v>
      </c>
      <c r="D1546" s="41" t="s">
        <v>4690</v>
      </c>
      <c r="E1546" s="41" t="s">
        <v>2929</v>
      </c>
      <c r="F1546" s="41" t="s">
        <v>2930</v>
      </c>
      <c r="G1546" s="41" t="s">
        <v>2931</v>
      </c>
    </row>
    <row r="1547" spans="1:7" x14ac:dyDescent="0.25">
      <c r="A1547" s="41" t="s">
        <v>4692</v>
      </c>
      <c r="B1547" s="41" t="s">
        <v>4691</v>
      </c>
      <c r="C1547" s="41" t="s">
        <v>2928</v>
      </c>
      <c r="D1547" s="41" t="s">
        <v>4690</v>
      </c>
      <c r="E1547" s="41" t="s">
        <v>2929</v>
      </c>
      <c r="F1547" s="41" t="s">
        <v>2933</v>
      </c>
      <c r="G1547" s="41" t="s">
        <v>2934</v>
      </c>
    </row>
    <row r="1548" spans="1:7" x14ac:dyDescent="0.25">
      <c r="A1548" s="41" t="s">
        <v>4693</v>
      </c>
      <c r="B1548" s="41" t="s">
        <v>4691</v>
      </c>
      <c r="C1548" s="41" t="s">
        <v>2928</v>
      </c>
      <c r="D1548" s="41" t="s">
        <v>4690</v>
      </c>
      <c r="E1548" s="41" t="s">
        <v>2929</v>
      </c>
      <c r="F1548" s="41" t="s">
        <v>2933</v>
      </c>
      <c r="G1548" s="41" t="s">
        <v>2934</v>
      </c>
    </row>
    <row r="1549" spans="1:7" x14ac:dyDescent="0.25">
      <c r="A1549" s="41" t="s">
        <v>4694</v>
      </c>
      <c r="B1549" s="41" t="s">
        <v>4691</v>
      </c>
      <c r="C1549" s="41" t="s">
        <v>2928</v>
      </c>
      <c r="D1549" s="41" t="s">
        <v>4690</v>
      </c>
      <c r="E1549" s="41" t="s">
        <v>2929</v>
      </c>
      <c r="F1549" s="41" t="s">
        <v>2933</v>
      </c>
      <c r="G1549" s="41" t="s">
        <v>2934</v>
      </c>
    </row>
    <row r="1550" spans="1:7" x14ac:dyDescent="0.25">
      <c r="A1550" s="41" t="s">
        <v>4695</v>
      </c>
      <c r="B1550" s="41" t="s">
        <v>4691</v>
      </c>
      <c r="C1550" s="41" t="s">
        <v>2928</v>
      </c>
      <c r="D1550" s="41" t="s">
        <v>4690</v>
      </c>
      <c r="E1550" s="41" t="s">
        <v>2929</v>
      </c>
      <c r="F1550" s="41" t="s">
        <v>2933</v>
      </c>
      <c r="G1550" s="41" t="s">
        <v>2934</v>
      </c>
    </row>
    <row r="1551" spans="1:7" x14ac:dyDescent="0.25">
      <c r="A1551" s="41" t="s">
        <v>4696</v>
      </c>
      <c r="B1551" s="41" t="s">
        <v>4691</v>
      </c>
      <c r="C1551" s="41" t="s">
        <v>2928</v>
      </c>
      <c r="D1551" s="41" t="s">
        <v>4690</v>
      </c>
      <c r="E1551" s="41" t="s">
        <v>2929</v>
      </c>
      <c r="F1551" s="41" t="s">
        <v>2933</v>
      </c>
      <c r="G1551" s="41" t="s">
        <v>2934</v>
      </c>
    </row>
    <row r="1552" spans="1:7" x14ac:dyDescent="0.25">
      <c r="A1552" s="41" t="s">
        <v>4697</v>
      </c>
      <c r="B1552" s="41" t="s">
        <v>4691</v>
      </c>
      <c r="C1552" s="41" t="s">
        <v>2928</v>
      </c>
      <c r="D1552" s="41" t="s">
        <v>4690</v>
      </c>
      <c r="E1552" s="41" t="s">
        <v>2929</v>
      </c>
      <c r="F1552" s="41" t="s">
        <v>2933</v>
      </c>
      <c r="G1552" s="41" t="s">
        <v>2934</v>
      </c>
    </row>
    <row r="1553" spans="1:7" x14ac:dyDescent="0.25">
      <c r="A1553" s="41" t="s">
        <v>4698</v>
      </c>
      <c r="B1553" s="41" t="s">
        <v>4691</v>
      </c>
      <c r="C1553" s="41" t="s">
        <v>2928</v>
      </c>
      <c r="D1553" s="41" t="s">
        <v>4690</v>
      </c>
      <c r="E1553" s="41" t="s">
        <v>2929</v>
      </c>
      <c r="F1553" s="41" t="s">
        <v>2933</v>
      </c>
      <c r="G1553" s="41" t="s">
        <v>2934</v>
      </c>
    </row>
    <row r="1554" spans="1:7" x14ac:dyDescent="0.25">
      <c r="A1554" s="41" t="s">
        <v>4699</v>
      </c>
      <c r="B1554" s="41" t="s">
        <v>4691</v>
      </c>
      <c r="C1554" s="41" t="s">
        <v>2928</v>
      </c>
      <c r="D1554" s="41" t="s">
        <v>4690</v>
      </c>
      <c r="E1554" s="41" t="s">
        <v>2929</v>
      </c>
      <c r="F1554" s="41" t="s">
        <v>2930</v>
      </c>
      <c r="G1554" s="41" t="s">
        <v>2931</v>
      </c>
    </row>
    <row r="1555" spans="1:7" x14ac:dyDescent="0.25">
      <c r="A1555" s="41" t="s">
        <v>4700</v>
      </c>
      <c r="B1555" s="41" t="s">
        <v>4691</v>
      </c>
      <c r="C1555" s="41" t="s">
        <v>2928</v>
      </c>
      <c r="D1555" s="41" t="s">
        <v>4690</v>
      </c>
      <c r="E1555" s="41" t="s">
        <v>2929</v>
      </c>
      <c r="F1555" s="41" t="s">
        <v>2930</v>
      </c>
      <c r="G1555" s="41" t="s">
        <v>2931</v>
      </c>
    </row>
    <row r="1556" spans="1:7" x14ac:dyDescent="0.25">
      <c r="A1556" s="41" t="s">
        <v>4701</v>
      </c>
      <c r="B1556" s="41" t="s">
        <v>4691</v>
      </c>
      <c r="C1556" s="41" t="s">
        <v>2928</v>
      </c>
      <c r="D1556" s="41" t="s">
        <v>4690</v>
      </c>
      <c r="E1556" s="41" t="s">
        <v>2929</v>
      </c>
      <c r="F1556" s="41" t="s">
        <v>2930</v>
      </c>
      <c r="G1556" s="41" t="s">
        <v>2931</v>
      </c>
    </row>
    <row r="1557" spans="1:7" x14ac:dyDescent="0.25">
      <c r="A1557" s="41" t="s">
        <v>4702</v>
      </c>
      <c r="B1557" s="41" t="s">
        <v>4691</v>
      </c>
      <c r="C1557" s="41" t="s">
        <v>2928</v>
      </c>
      <c r="D1557" s="41" t="s">
        <v>4690</v>
      </c>
      <c r="E1557" s="41" t="s">
        <v>2929</v>
      </c>
      <c r="F1557" s="41" t="s">
        <v>2930</v>
      </c>
      <c r="G1557" s="41" t="s">
        <v>2931</v>
      </c>
    </row>
    <row r="1558" spans="1:7" x14ac:dyDescent="0.25">
      <c r="A1558" s="41" t="s">
        <v>4703</v>
      </c>
      <c r="B1558" s="41" t="s">
        <v>4691</v>
      </c>
      <c r="C1558" s="41" t="s">
        <v>2928</v>
      </c>
      <c r="D1558" s="41" t="s">
        <v>4690</v>
      </c>
      <c r="E1558" s="41" t="s">
        <v>2929</v>
      </c>
      <c r="F1558" s="41" t="s">
        <v>2930</v>
      </c>
      <c r="G1558" s="41" t="s">
        <v>2931</v>
      </c>
    </row>
    <row r="1559" spans="1:7" x14ac:dyDescent="0.25">
      <c r="A1559" s="41" t="s">
        <v>4704</v>
      </c>
      <c r="B1559" s="41" t="s">
        <v>4691</v>
      </c>
      <c r="C1559" s="41" t="s">
        <v>2928</v>
      </c>
      <c r="D1559" s="41" t="s">
        <v>4690</v>
      </c>
      <c r="E1559" s="41" t="s">
        <v>2929</v>
      </c>
      <c r="F1559" s="41" t="s">
        <v>2930</v>
      </c>
      <c r="G1559" s="41" t="s">
        <v>2931</v>
      </c>
    </row>
    <row r="1560" spans="1:7" x14ac:dyDescent="0.25">
      <c r="A1560" s="41" t="s">
        <v>4705</v>
      </c>
      <c r="B1560" s="41" t="s">
        <v>4691</v>
      </c>
      <c r="C1560" s="41" t="s">
        <v>2928</v>
      </c>
      <c r="D1560" s="41" t="s">
        <v>4690</v>
      </c>
      <c r="E1560" s="41" t="s">
        <v>2929</v>
      </c>
      <c r="F1560" s="41" t="s">
        <v>2930</v>
      </c>
      <c r="G1560" s="41" t="s">
        <v>2931</v>
      </c>
    </row>
    <row r="1561" spans="1:7" x14ac:dyDescent="0.25">
      <c r="A1561" s="41" t="s">
        <v>4706</v>
      </c>
      <c r="B1561" s="41" t="s">
        <v>4691</v>
      </c>
      <c r="C1561" s="41" t="s">
        <v>2928</v>
      </c>
      <c r="D1561" s="41" t="s">
        <v>4690</v>
      </c>
      <c r="E1561" s="41" t="s">
        <v>2929</v>
      </c>
      <c r="F1561" s="41" t="s">
        <v>2949</v>
      </c>
      <c r="G1561" s="41" t="s">
        <v>2950</v>
      </c>
    </row>
    <row r="1562" spans="1:7" x14ac:dyDescent="0.25">
      <c r="A1562" s="41" t="s">
        <v>4707</v>
      </c>
      <c r="B1562" s="41" t="s">
        <v>4691</v>
      </c>
      <c r="C1562" s="41" t="s">
        <v>2928</v>
      </c>
      <c r="D1562" s="41" t="s">
        <v>4690</v>
      </c>
      <c r="E1562" s="41" t="s">
        <v>2929</v>
      </c>
      <c r="F1562" s="41" t="s">
        <v>2949</v>
      </c>
      <c r="G1562" s="41" t="s">
        <v>2950</v>
      </c>
    </row>
    <row r="1563" spans="1:7" x14ac:dyDescent="0.25">
      <c r="A1563" s="41" t="s">
        <v>4708</v>
      </c>
      <c r="B1563" s="41" t="s">
        <v>4691</v>
      </c>
      <c r="C1563" s="41" t="s">
        <v>2928</v>
      </c>
      <c r="D1563" s="41" t="s">
        <v>4690</v>
      </c>
      <c r="E1563" s="41" t="s">
        <v>2929</v>
      </c>
      <c r="F1563" s="41" t="s">
        <v>2949</v>
      </c>
      <c r="G1563" s="41" t="s">
        <v>2950</v>
      </c>
    </row>
    <row r="1564" spans="1:7" x14ac:dyDescent="0.25">
      <c r="A1564" s="41" t="s">
        <v>4709</v>
      </c>
      <c r="B1564" s="41" t="s">
        <v>4691</v>
      </c>
      <c r="C1564" s="41" t="s">
        <v>2928</v>
      </c>
      <c r="D1564" s="41" t="s">
        <v>4690</v>
      </c>
      <c r="E1564" s="41" t="s">
        <v>2929</v>
      </c>
      <c r="F1564" s="41" t="s">
        <v>2949</v>
      </c>
      <c r="G1564" s="41" t="s">
        <v>2950</v>
      </c>
    </row>
    <row r="1565" spans="1:7" x14ac:dyDescent="0.25">
      <c r="A1565" s="41" t="s">
        <v>4710</v>
      </c>
      <c r="B1565" s="41" t="s">
        <v>4691</v>
      </c>
      <c r="C1565" s="41" t="s">
        <v>2928</v>
      </c>
      <c r="D1565" s="41" t="s">
        <v>4690</v>
      </c>
      <c r="E1565" s="41" t="s">
        <v>2929</v>
      </c>
      <c r="F1565" s="41" t="s">
        <v>2949</v>
      </c>
      <c r="G1565" s="41" t="s">
        <v>2950</v>
      </c>
    </row>
    <row r="1566" spans="1:7" x14ac:dyDescent="0.25">
      <c r="A1566" s="41" t="s">
        <v>4711</v>
      </c>
      <c r="B1566" s="41" t="s">
        <v>4691</v>
      </c>
      <c r="C1566" s="41" t="s">
        <v>2928</v>
      </c>
      <c r="D1566" s="41" t="s">
        <v>4690</v>
      </c>
      <c r="E1566" s="41" t="s">
        <v>2929</v>
      </c>
      <c r="F1566" s="41" t="s">
        <v>2949</v>
      </c>
      <c r="G1566" s="41" t="s">
        <v>2950</v>
      </c>
    </row>
    <row r="1567" spans="1:7" x14ac:dyDescent="0.25">
      <c r="A1567" s="41" t="s">
        <v>4712</v>
      </c>
      <c r="B1567" s="41" t="s">
        <v>4691</v>
      </c>
      <c r="C1567" s="41" t="s">
        <v>2928</v>
      </c>
      <c r="D1567" s="41" t="s">
        <v>4690</v>
      </c>
      <c r="E1567" s="41" t="s">
        <v>2929</v>
      </c>
      <c r="F1567" s="41" t="s">
        <v>2949</v>
      </c>
      <c r="G1567" s="41" t="s">
        <v>2950</v>
      </c>
    </row>
    <row r="1568" spans="1:7" x14ac:dyDescent="0.25">
      <c r="A1568" s="41" t="s">
        <v>4713</v>
      </c>
      <c r="B1568" s="41" t="s">
        <v>911</v>
      </c>
      <c r="C1568" s="41" t="s">
        <v>2928</v>
      </c>
      <c r="D1568" s="41" t="s">
        <v>4713</v>
      </c>
      <c r="E1568" s="41" t="s">
        <v>2929</v>
      </c>
      <c r="F1568" s="41" t="s">
        <v>2930</v>
      </c>
      <c r="G1568" s="41" t="s">
        <v>2931</v>
      </c>
    </row>
    <row r="1569" spans="1:7" x14ac:dyDescent="0.25">
      <c r="A1569" s="41" t="s">
        <v>4714</v>
      </c>
      <c r="B1569" s="41" t="s">
        <v>911</v>
      </c>
      <c r="C1569" s="41" t="s">
        <v>2928</v>
      </c>
      <c r="D1569" s="41" t="s">
        <v>4713</v>
      </c>
      <c r="E1569" s="41" t="s">
        <v>2929</v>
      </c>
      <c r="F1569" s="41" t="s">
        <v>2933</v>
      </c>
      <c r="G1569" s="41" t="s">
        <v>2934</v>
      </c>
    </row>
    <row r="1570" spans="1:7" x14ac:dyDescent="0.25">
      <c r="A1570" s="41" t="s">
        <v>4715</v>
      </c>
      <c r="B1570" s="41" t="s">
        <v>911</v>
      </c>
      <c r="C1570" s="41" t="s">
        <v>2928</v>
      </c>
      <c r="D1570" s="41" t="s">
        <v>4713</v>
      </c>
      <c r="E1570" s="41" t="s">
        <v>2929</v>
      </c>
      <c r="F1570" s="41" t="s">
        <v>2933</v>
      </c>
      <c r="G1570" s="41" t="s">
        <v>2934</v>
      </c>
    </row>
    <row r="1571" spans="1:7" x14ac:dyDescent="0.25">
      <c r="A1571" s="41" t="s">
        <v>4716</v>
      </c>
      <c r="B1571" s="41" t="s">
        <v>911</v>
      </c>
      <c r="C1571" s="41" t="s">
        <v>2928</v>
      </c>
      <c r="D1571" s="41" t="s">
        <v>4713</v>
      </c>
      <c r="E1571" s="41" t="s">
        <v>2929</v>
      </c>
      <c r="F1571" s="41" t="s">
        <v>2949</v>
      </c>
      <c r="G1571" s="41" t="s">
        <v>2950</v>
      </c>
    </row>
    <row r="1572" spans="1:7" x14ac:dyDescent="0.25">
      <c r="A1572" s="41" t="s">
        <v>4717</v>
      </c>
      <c r="B1572" s="41" t="s">
        <v>1192</v>
      </c>
      <c r="C1572" s="41" t="s">
        <v>2928</v>
      </c>
      <c r="D1572" s="41" t="s">
        <v>4717</v>
      </c>
      <c r="E1572" s="41" t="s">
        <v>2929</v>
      </c>
      <c r="F1572" s="41" t="s">
        <v>2930</v>
      </c>
      <c r="G1572" s="41" t="s">
        <v>2931</v>
      </c>
    </row>
    <row r="1573" spans="1:7" x14ac:dyDescent="0.25">
      <c r="A1573" s="41" t="s">
        <v>4718</v>
      </c>
      <c r="B1573" s="41" t="s">
        <v>1192</v>
      </c>
      <c r="C1573" s="41" t="s">
        <v>2928</v>
      </c>
      <c r="D1573" s="41" t="s">
        <v>4717</v>
      </c>
      <c r="E1573" s="41" t="s">
        <v>2929</v>
      </c>
      <c r="F1573" s="41" t="s">
        <v>2949</v>
      </c>
      <c r="G1573" s="41" t="s">
        <v>2950</v>
      </c>
    </row>
    <row r="1574" spans="1:7" x14ac:dyDescent="0.25">
      <c r="A1574" s="41" t="s">
        <v>4719</v>
      </c>
      <c r="B1574" s="41" t="s">
        <v>1154</v>
      </c>
      <c r="C1574" s="41" t="s">
        <v>2928</v>
      </c>
      <c r="D1574" s="41" t="s">
        <v>4719</v>
      </c>
      <c r="E1574" s="41" t="s">
        <v>2929</v>
      </c>
      <c r="F1574" s="41" t="s">
        <v>2930</v>
      </c>
      <c r="G1574" s="41" t="s">
        <v>2931</v>
      </c>
    </row>
    <row r="1575" spans="1:7" x14ac:dyDescent="0.25">
      <c r="A1575" s="41" t="s">
        <v>4720</v>
      </c>
      <c r="B1575" s="41" t="s">
        <v>1154</v>
      </c>
      <c r="C1575" s="41" t="s">
        <v>2928</v>
      </c>
      <c r="D1575" s="41" t="s">
        <v>4719</v>
      </c>
      <c r="E1575" s="41" t="s">
        <v>2929</v>
      </c>
      <c r="F1575" s="41" t="s">
        <v>2933</v>
      </c>
      <c r="G1575" s="41" t="s">
        <v>2934</v>
      </c>
    </row>
    <row r="1576" spans="1:7" x14ac:dyDescent="0.25">
      <c r="A1576" s="41" t="s">
        <v>4721</v>
      </c>
      <c r="B1576" s="41" t="s">
        <v>1154</v>
      </c>
      <c r="C1576" s="41" t="s">
        <v>2928</v>
      </c>
      <c r="D1576" s="41" t="s">
        <v>4719</v>
      </c>
      <c r="E1576" s="41" t="s">
        <v>2929</v>
      </c>
      <c r="F1576" s="41" t="s">
        <v>2949</v>
      </c>
      <c r="G1576" s="41" t="s">
        <v>2950</v>
      </c>
    </row>
    <row r="1577" spans="1:7" x14ac:dyDescent="0.25">
      <c r="A1577" s="41" t="s">
        <v>4722</v>
      </c>
      <c r="B1577" s="41" t="s">
        <v>353</v>
      </c>
      <c r="C1577" s="41" t="s">
        <v>2928</v>
      </c>
      <c r="D1577" s="41" t="s">
        <v>4722</v>
      </c>
      <c r="E1577" s="41" t="s">
        <v>2929</v>
      </c>
      <c r="F1577" s="41" t="s">
        <v>2930</v>
      </c>
      <c r="G1577" s="41" t="s">
        <v>2931</v>
      </c>
    </row>
    <row r="1578" spans="1:7" x14ac:dyDescent="0.25">
      <c r="A1578" s="41" t="s">
        <v>4723</v>
      </c>
      <c r="B1578" s="41" t="s">
        <v>353</v>
      </c>
      <c r="C1578" s="41" t="s">
        <v>2928</v>
      </c>
      <c r="D1578" s="41" t="s">
        <v>4722</v>
      </c>
      <c r="E1578" s="41" t="s">
        <v>2929</v>
      </c>
      <c r="F1578" s="41" t="s">
        <v>2933</v>
      </c>
      <c r="G1578" s="41" t="s">
        <v>2934</v>
      </c>
    </row>
    <row r="1579" spans="1:7" x14ac:dyDescent="0.25">
      <c r="A1579" s="41" t="s">
        <v>4724</v>
      </c>
      <c r="B1579" s="41" t="s">
        <v>353</v>
      </c>
      <c r="C1579" s="41" t="s">
        <v>2928</v>
      </c>
      <c r="D1579" s="41" t="s">
        <v>4722</v>
      </c>
      <c r="E1579" s="41" t="s">
        <v>2929</v>
      </c>
      <c r="F1579" s="41" t="s">
        <v>2933</v>
      </c>
      <c r="G1579" s="41" t="s">
        <v>2934</v>
      </c>
    </row>
    <row r="1580" spans="1:7" x14ac:dyDescent="0.25">
      <c r="A1580" s="41" t="s">
        <v>4725</v>
      </c>
      <c r="B1580" s="41" t="s">
        <v>353</v>
      </c>
      <c r="C1580" s="41" t="s">
        <v>2928</v>
      </c>
      <c r="D1580" s="41" t="s">
        <v>4722</v>
      </c>
      <c r="E1580" s="41" t="s">
        <v>2929</v>
      </c>
      <c r="F1580" s="41" t="s">
        <v>2933</v>
      </c>
      <c r="G1580" s="41" t="s">
        <v>2934</v>
      </c>
    </row>
    <row r="1581" spans="1:7" x14ac:dyDescent="0.25">
      <c r="A1581" s="41" t="s">
        <v>4726</v>
      </c>
      <c r="B1581" s="41" t="s">
        <v>353</v>
      </c>
      <c r="C1581" s="41" t="s">
        <v>2928</v>
      </c>
      <c r="D1581" s="41" t="s">
        <v>4722</v>
      </c>
      <c r="E1581" s="41" t="s">
        <v>2929</v>
      </c>
      <c r="F1581" s="41" t="s">
        <v>2933</v>
      </c>
      <c r="G1581" s="41" t="s">
        <v>2934</v>
      </c>
    </row>
    <row r="1582" spans="1:7" x14ac:dyDescent="0.25">
      <c r="A1582" s="41" t="s">
        <v>4727</v>
      </c>
      <c r="B1582" s="41" t="s">
        <v>353</v>
      </c>
      <c r="C1582" s="41" t="s">
        <v>2928</v>
      </c>
      <c r="D1582" s="41" t="s">
        <v>4722</v>
      </c>
      <c r="E1582" s="41" t="s">
        <v>2929</v>
      </c>
      <c r="F1582" s="41" t="s">
        <v>2933</v>
      </c>
      <c r="G1582" s="41" t="s">
        <v>2934</v>
      </c>
    </row>
    <row r="1583" spans="1:7" x14ac:dyDescent="0.25">
      <c r="A1583" s="41" t="s">
        <v>4728</v>
      </c>
      <c r="B1583" s="41" t="s">
        <v>353</v>
      </c>
      <c r="C1583" s="41" t="s">
        <v>2928</v>
      </c>
      <c r="D1583" s="41" t="s">
        <v>4722</v>
      </c>
      <c r="E1583" s="41" t="s">
        <v>2929</v>
      </c>
      <c r="F1583" s="41" t="s">
        <v>2933</v>
      </c>
      <c r="G1583" s="41" t="s">
        <v>2934</v>
      </c>
    </row>
    <row r="1584" spans="1:7" x14ac:dyDescent="0.25">
      <c r="A1584" s="41" t="s">
        <v>4729</v>
      </c>
      <c r="B1584" s="41" t="s">
        <v>353</v>
      </c>
      <c r="C1584" s="41" t="s">
        <v>2928</v>
      </c>
      <c r="D1584" s="41" t="s">
        <v>4722</v>
      </c>
      <c r="E1584" s="41" t="s">
        <v>2929</v>
      </c>
      <c r="F1584" s="41" t="s">
        <v>2933</v>
      </c>
      <c r="G1584" s="41" t="s">
        <v>2934</v>
      </c>
    </row>
    <row r="1585" spans="1:7" x14ac:dyDescent="0.25">
      <c r="A1585" s="41" t="s">
        <v>4730</v>
      </c>
      <c r="B1585" s="41" t="s">
        <v>353</v>
      </c>
      <c r="C1585" s="41" t="s">
        <v>2928</v>
      </c>
      <c r="D1585" s="41" t="s">
        <v>4722</v>
      </c>
      <c r="E1585" s="41" t="s">
        <v>2929</v>
      </c>
      <c r="F1585" s="41" t="s">
        <v>2930</v>
      </c>
      <c r="G1585" s="41" t="s">
        <v>2931</v>
      </c>
    </row>
    <row r="1586" spans="1:7" x14ac:dyDescent="0.25">
      <c r="A1586" s="41" t="s">
        <v>4731</v>
      </c>
      <c r="B1586" s="41" t="s">
        <v>353</v>
      </c>
      <c r="C1586" s="41" t="s">
        <v>2928</v>
      </c>
      <c r="D1586" s="41" t="s">
        <v>4722</v>
      </c>
      <c r="E1586" s="41" t="s">
        <v>2929</v>
      </c>
      <c r="F1586" s="41" t="s">
        <v>2930</v>
      </c>
      <c r="G1586" s="41" t="s">
        <v>2931</v>
      </c>
    </row>
    <row r="1587" spans="1:7" x14ac:dyDescent="0.25">
      <c r="A1587" s="41" t="s">
        <v>4732</v>
      </c>
      <c r="B1587" s="41" t="s">
        <v>353</v>
      </c>
      <c r="C1587" s="41" t="s">
        <v>2928</v>
      </c>
      <c r="D1587" s="41" t="s">
        <v>4722</v>
      </c>
      <c r="E1587" s="41" t="s">
        <v>2929</v>
      </c>
      <c r="F1587" s="41" t="s">
        <v>2930</v>
      </c>
      <c r="G1587" s="41" t="s">
        <v>2931</v>
      </c>
    </row>
    <row r="1588" spans="1:7" x14ac:dyDescent="0.25">
      <c r="A1588" s="41" t="s">
        <v>4733</v>
      </c>
      <c r="B1588" s="41" t="s">
        <v>353</v>
      </c>
      <c r="C1588" s="41" t="s">
        <v>2928</v>
      </c>
      <c r="D1588" s="41" t="s">
        <v>4722</v>
      </c>
      <c r="E1588" s="41" t="s">
        <v>2929</v>
      </c>
      <c r="F1588" s="41" t="s">
        <v>2930</v>
      </c>
      <c r="G1588" s="41" t="s">
        <v>2931</v>
      </c>
    </row>
    <row r="1589" spans="1:7" x14ac:dyDescent="0.25">
      <c r="A1589" s="41" t="s">
        <v>4734</v>
      </c>
      <c r="B1589" s="41" t="s">
        <v>353</v>
      </c>
      <c r="C1589" s="41" t="s">
        <v>2928</v>
      </c>
      <c r="D1589" s="41" t="s">
        <v>4722</v>
      </c>
      <c r="E1589" s="41" t="s">
        <v>2929</v>
      </c>
      <c r="F1589" s="41" t="s">
        <v>2930</v>
      </c>
      <c r="G1589" s="41" t="s">
        <v>2931</v>
      </c>
    </row>
    <row r="1590" spans="1:7" x14ac:dyDescent="0.25">
      <c r="A1590" s="41" t="s">
        <v>4735</v>
      </c>
      <c r="B1590" s="41" t="s">
        <v>353</v>
      </c>
      <c r="C1590" s="41" t="s">
        <v>2928</v>
      </c>
      <c r="D1590" s="41" t="s">
        <v>4722</v>
      </c>
      <c r="E1590" s="41" t="s">
        <v>2929</v>
      </c>
      <c r="F1590" s="41" t="s">
        <v>2930</v>
      </c>
      <c r="G1590" s="41" t="s">
        <v>2931</v>
      </c>
    </row>
    <row r="1591" spans="1:7" x14ac:dyDescent="0.25">
      <c r="A1591" s="41" t="s">
        <v>4736</v>
      </c>
      <c r="B1591" s="41" t="s">
        <v>353</v>
      </c>
      <c r="C1591" s="41" t="s">
        <v>2928</v>
      </c>
      <c r="D1591" s="41" t="s">
        <v>4722</v>
      </c>
      <c r="E1591" s="41" t="s">
        <v>2929</v>
      </c>
      <c r="F1591" s="41" t="s">
        <v>2930</v>
      </c>
      <c r="G1591" s="41" t="s">
        <v>2931</v>
      </c>
    </row>
    <row r="1592" spans="1:7" x14ac:dyDescent="0.25">
      <c r="A1592" s="41" t="s">
        <v>4737</v>
      </c>
      <c r="B1592" s="41" t="s">
        <v>353</v>
      </c>
      <c r="C1592" s="41" t="s">
        <v>2928</v>
      </c>
      <c r="D1592" s="41" t="s">
        <v>4722</v>
      </c>
      <c r="E1592" s="41" t="s">
        <v>2929</v>
      </c>
      <c r="F1592" s="41" t="s">
        <v>2949</v>
      </c>
      <c r="G1592" s="41" t="s">
        <v>2950</v>
      </c>
    </row>
    <row r="1593" spans="1:7" x14ac:dyDescent="0.25">
      <c r="A1593" s="41" t="s">
        <v>4738</v>
      </c>
      <c r="B1593" s="41" t="s">
        <v>353</v>
      </c>
      <c r="C1593" s="41" t="s">
        <v>2928</v>
      </c>
      <c r="D1593" s="41" t="s">
        <v>4722</v>
      </c>
      <c r="E1593" s="41" t="s">
        <v>2929</v>
      </c>
      <c r="F1593" s="41" t="s">
        <v>2949</v>
      </c>
      <c r="G1593" s="41" t="s">
        <v>2950</v>
      </c>
    </row>
    <row r="1594" spans="1:7" x14ac:dyDescent="0.25">
      <c r="A1594" s="41" t="s">
        <v>4739</v>
      </c>
      <c r="B1594" s="41" t="s">
        <v>353</v>
      </c>
      <c r="C1594" s="41" t="s">
        <v>2928</v>
      </c>
      <c r="D1594" s="41" t="s">
        <v>4722</v>
      </c>
      <c r="E1594" s="41" t="s">
        <v>2929</v>
      </c>
      <c r="F1594" s="41" t="s">
        <v>2949</v>
      </c>
      <c r="G1594" s="41" t="s">
        <v>2950</v>
      </c>
    </row>
    <row r="1595" spans="1:7" x14ac:dyDescent="0.25">
      <c r="A1595" s="41" t="s">
        <v>4740</v>
      </c>
      <c r="B1595" s="41" t="s">
        <v>353</v>
      </c>
      <c r="C1595" s="41" t="s">
        <v>2928</v>
      </c>
      <c r="D1595" s="41" t="s">
        <v>4722</v>
      </c>
      <c r="E1595" s="41" t="s">
        <v>2929</v>
      </c>
      <c r="F1595" s="41" t="s">
        <v>2949</v>
      </c>
      <c r="G1595" s="41" t="s">
        <v>2950</v>
      </c>
    </row>
    <row r="1596" spans="1:7" x14ac:dyDescent="0.25">
      <c r="A1596" s="41" t="s">
        <v>4741</v>
      </c>
      <c r="B1596" s="41" t="s">
        <v>353</v>
      </c>
      <c r="C1596" s="41" t="s">
        <v>2928</v>
      </c>
      <c r="D1596" s="41" t="s">
        <v>4722</v>
      </c>
      <c r="E1596" s="41" t="s">
        <v>2929</v>
      </c>
      <c r="F1596" s="41" t="s">
        <v>2949</v>
      </c>
      <c r="G1596" s="41" t="s">
        <v>2950</v>
      </c>
    </row>
    <row r="1597" spans="1:7" x14ac:dyDescent="0.25">
      <c r="A1597" s="41" t="s">
        <v>4742</v>
      </c>
      <c r="B1597" s="41" t="s">
        <v>353</v>
      </c>
      <c r="C1597" s="41" t="s">
        <v>2928</v>
      </c>
      <c r="D1597" s="41" t="s">
        <v>4722</v>
      </c>
      <c r="E1597" s="41" t="s">
        <v>2929</v>
      </c>
      <c r="F1597" s="41" t="s">
        <v>2949</v>
      </c>
      <c r="G1597" s="41" t="s">
        <v>2950</v>
      </c>
    </row>
    <row r="1598" spans="1:7" x14ac:dyDescent="0.25">
      <c r="A1598" s="41" t="s">
        <v>4743</v>
      </c>
      <c r="B1598" s="41" t="s">
        <v>353</v>
      </c>
      <c r="C1598" s="41" t="s">
        <v>2928</v>
      </c>
      <c r="D1598" s="41" t="s">
        <v>4722</v>
      </c>
      <c r="E1598" s="41" t="s">
        <v>2929</v>
      </c>
      <c r="F1598" s="41" t="s">
        <v>2949</v>
      </c>
      <c r="G1598" s="41" t="s">
        <v>2950</v>
      </c>
    </row>
    <row r="1599" spans="1:7" x14ac:dyDescent="0.25">
      <c r="A1599" s="41" t="s">
        <v>4744</v>
      </c>
      <c r="B1599" s="41" t="s">
        <v>4745</v>
      </c>
      <c r="C1599" s="41" t="s">
        <v>2928</v>
      </c>
      <c r="D1599" s="41" t="s">
        <v>4744</v>
      </c>
      <c r="E1599" s="41" t="s">
        <v>2929</v>
      </c>
      <c r="F1599" s="41" t="s">
        <v>2930</v>
      </c>
      <c r="G1599" s="41" t="s">
        <v>2931</v>
      </c>
    </row>
    <row r="1600" spans="1:7" x14ac:dyDescent="0.25">
      <c r="A1600" s="41" t="s">
        <v>4746</v>
      </c>
      <c r="B1600" s="41" t="s">
        <v>4745</v>
      </c>
      <c r="C1600" s="41" t="s">
        <v>2928</v>
      </c>
      <c r="D1600" s="41" t="s">
        <v>4744</v>
      </c>
      <c r="E1600" s="41" t="s">
        <v>2929</v>
      </c>
      <c r="F1600" s="41" t="s">
        <v>2933</v>
      </c>
      <c r="G1600" s="41" t="s">
        <v>2934</v>
      </c>
    </row>
    <row r="1601" spans="1:7" x14ac:dyDescent="0.25">
      <c r="A1601" s="41" t="s">
        <v>4747</v>
      </c>
      <c r="B1601" s="41" t="s">
        <v>4745</v>
      </c>
      <c r="C1601" s="41" t="s">
        <v>2928</v>
      </c>
      <c r="D1601" s="41" t="s">
        <v>4744</v>
      </c>
      <c r="E1601" s="41" t="s">
        <v>2929</v>
      </c>
      <c r="F1601" s="41" t="s">
        <v>2930</v>
      </c>
      <c r="G1601" s="41" t="s">
        <v>2931</v>
      </c>
    </row>
    <row r="1602" spans="1:7" x14ac:dyDescent="0.25">
      <c r="A1602" s="41" t="s">
        <v>4748</v>
      </c>
      <c r="B1602" s="41" t="s">
        <v>4745</v>
      </c>
      <c r="C1602" s="41" t="s">
        <v>2928</v>
      </c>
      <c r="D1602" s="41" t="s">
        <v>4744</v>
      </c>
      <c r="E1602" s="41" t="s">
        <v>2929</v>
      </c>
      <c r="F1602" s="41" t="s">
        <v>2949</v>
      </c>
      <c r="G1602" s="41" t="s">
        <v>2950</v>
      </c>
    </row>
    <row r="1603" spans="1:7" x14ac:dyDescent="0.25">
      <c r="A1603" s="41" t="s">
        <v>4749</v>
      </c>
      <c r="B1603" s="41" t="s">
        <v>4750</v>
      </c>
      <c r="C1603" s="41" t="s">
        <v>2928</v>
      </c>
      <c r="D1603" s="41" t="s">
        <v>4749</v>
      </c>
      <c r="E1603" s="41" t="s">
        <v>2929</v>
      </c>
      <c r="F1603" s="41" t="s">
        <v>2930</v>
      </c>
      <c r="G1603" s="41" t="s">
        <v>2931</v>
      </c>
    </row>
    <row r="1604" spans="1:7" x14ac:dyDescent="0.25">
      <c r="A1604" s="41" t="s">
        <v>4751</v>
      </c>
      <c r="B1604" s="41" t="s">
        <v>4750</v>
      </c>
      <c r="C1604" s="41" t="s">
        <v>2928</v>
      </c>
      <c r="D1604" s="41" t="s">
        <v>4749</v>
      </c>
      <c r="E1604" s="41" t="s">
        <v>2929</v>
      </c>
      <c r="F1604" s="41" t="s">
        <v>2933</v>
      </c>
      <c r="G1604" s="41" t="s">
        <v>2934</v>
      </c>
    </row>
    <row r="1605" spans="1:7" x14ac:dyDescent="0.25">
      <c r="A1605" s="41" t="s">
        <v>4752</v>
      </c>
      <c r="B1605" s="41" t="s">
        <v>4750</v>
      </c>
      <c r="C1605" s="41" t="s">
        <v>2928</v>
      </c>
      <c r="D1605" s="41" t="s">
        <v>4749</v>
      </c>
      <c r="E1605" s="41" t="s">
        <v>2929</v>
      </c>
      <c r="F1605" s="41" t="s">
        <v>2949</v>
      </c>
      <c r="G1605" s="41" t="s">
        <v>2950</v>
      </c>
    </row>
    <row r="1606" spans="1:7" x14ac:dyDescent="0.25">
      <c r="A1606" s="41" t="s">
        <v>4753</v>
      </c>
      <c r="B1606" s="41" t="s">
        <v>4754</v>
      </c>
      <c r="C1606" s="41" t="s">
        <v>2928</v>
      </c>
      <c r="D1606" s="41" t="s">
        <v>4753</v>
      </c>
      <c r="E1606" s="41" t="s">
        <v>2929</v>
      </c>
      <c r="F1606" s="41" t="s">
        <v>2930</v>
      </c>
      <c r="G1606" s="41" t="s">
        <v>2931</v>
      </c>
    </row>
    <row r="1607" spans="1:7" x14ac:dyDescent="0.25">
      <c r="A1607" s="41" t="s">
        <v>4755</v>
      </c>
      <c r="B1607" s="41" t="s">
        <v>326</v>
      </c>
      <c r="C1607" s="41" t="s">
        <v>2928</v>
      </c>
      <c r="D1607" s="41" t="s">
        <v>4755</v>
      </c>
      <c r="E1607" s="41" t="s">
        <v>2929</v>
      </c>
      <c r="F1607" s="41" t="s">
        <v>2930</v>
      </c>
      <c r="G1607" s="41" t="s">
        <v>2931</v>
      </c>
    </row>
    <row r="1608" spans="1:7" x14ac:dyDescent="0.25">
      <c r="A1608" s="41" t="s">
        <v>4756</v>
      </c>
      <c r="B1608" s="41" t="s">
        <v>326</v>
      </c>
      <c r="C1608" s="41" t="s">
        <v>2928</v>
      </c>
      <c r="D1608" s="41" t="s">
        <v>4755</v>
      </c>
      <c r="E1608" s="41" t="s">
        <v>2929</v>
      </c>
      <c r="F1608" s="41" t="s">
        <v>2933</v>
      </c>
      <c r="G1608" s="41" t="s">
        <v>2934</v>
      </c>
    </row>
    <row r="1609" spans="1:7" x14ac:dyDescent="0.25">
      <c r="A1609" s="41" t="s">
        <v>4757</v>
      </c>
      <c r="B1609" s="41" t="s">
        <v>326</v>
      </c>
      <c r="C1609" s="41" t="s">
        <v>2928</v>
      </c>
      <c r="D1609" s="41" t="s">
        <v>4755</v>
      </c>
      <c r="E1609" s="41" t="s">
        <v>2929</v>
      </c>
      <c r="F1609" s="41" t="s">
        <v>2933</v>
      </c>
      <c r="G1609" s="41" t="s">
        <v>2934</v>
      </c>
    </row>
    <row r="1610" spans="1:7" x14ac:dyDescent="0.25">
      <c r="A1610" s="41" t="s">
        <v>4758</v>
      </c>
      <c r="B1610" s="41" t="s">
        <v>326</v>
      </c>
      <c r="C1610" s="41" t="s">
        <v>2928</v>
      </c>
      <c r="D1610" s="41" t="s">
        <v>4755</v>
      </c>
      <c r="E1610" s="41" t="s">
        <v>2929</v>
      </c>
      <c r="F1610" s="41" t="s">
        <v>2933</v>
      </c>
      <c r="G1610" s="41" t="s">
        <v>2934</v>
      </c>
    </row>
    <row r="1611" spans="1:7" x14ac:dyDescent="0.25">
      <c r="A1611" s="41" t="s">
        <v>4759</v>
      </c>
      <c r="B1611" s="41" t="s">
        <v>326</v>
      </c>
      <c r="C1611" s="41" t="s">
        <v>2928</v>
      </c>
      <c r="D1611" s="41" t="s">
        <v>4755</v>
      </c>
      <c r="E1611" s="41" t="s">
        <v>2929</v>
      </c>
      <c r="F1611" s="41" t="s">
        <v>2933</v>
      </c>
      <c r="G1611" s="41" t="s">
        <v>2934</v>
      </c>
    </row>
    <row r="1612" spans="1:7" x14ac:dyDescent="0.25">
      <c r="A1612" s="41" t="s">
        <v>4760</v>
      </c>
      <c r="B1612" s="41" t="s">
        <v>326</v>
      </c>
      <c r="C1612" s="41" t="s">
        <v>2928</v>
      </c>
      <c r="D1612" s="41" t="s">
        <v>4755</v>
      </c>
      <c r="E1612" s="41" t="s">
        <v>2929</v>
      </c>
      <c r="F1612" s="41" t="s">
        <v>2933</v>
      </c>
      <c r="G1612" s="41" t="s">
        <v>2934</v>
      </c>
    </row>
    <row r="1613" spans="1:7" x14ac:dyDescent="0.25">
      <c r="A1613" s="41" t="s">
        <v>4761</v>
      </c>
      <c r="B1613" s="41" t="s">
        <v>326</v>
      </c>
      <c r="C1613" s="41" t="s">
        <v>2928</v>
      </c>
      <c r="D1613" s="41" t="s">
        <v>4755</v>
      </c>
      <c r="E1613" s="41" t="s">
        <v>2929</v>
      </c>
      <c r="F1613" s="41" t="s">
        <v>2933</v>
      </c>
      <c r="G1613" s="41" t="s">
        <v>2934</v>
      </c>
    </row>
    <row r="1614" spans="1:7" x14ac:dyDescent="0.25">
      <c r="A1614" s="41" t="s">
        <v>4762</v>
      </c>
      <c r="B1614" s="41" t="s">
        <v>326</v>
      </c>
      <c r="C1614" s="41" t="s">
        <v>2928</v>
      </c>
      <c r="D1614" s="41" t="s">
        <v>4755</v>
      </c>
      <c r="E1614" s="41" t="s">
        <v>2929</v>
      </c>
      <c r="F1614" s="41" t="s">
        <v>2933</v>
      </c>
      <c r="G1614" s="41" t="s">
        <v>2934</v>
      </c>
    </row>
    <row r="1615" spans="1:7" x14ac:dyDescent="0.25">
      <c r="A1615" s="41" t="s">
        <v>4763</v>
      </c>
      <c r="B1615" s="41" t="s">
        <v>326</v>
      </c>
      <c r="C1615" s="41" t="s">
        <v>2928</v>
      </c>
      <c r="D1615" s="41" t="s">
        <v>4755</v>
      </c>
      <c r="E1615" s="41" t="s">
        <v>2929</v>
      </c>
      <c r="F1615" s="41" t="s">
        <v>2930</v>
      </c>
      <c r="G1615" s="41" t="s">
        <v>2931</v>
      </c>
    </row>
    <row r="1616" spans="1:7" x14ac:dyDescent="0.25">
      <c r="A1616" s="41" t="s">
        <v>4764</v>
      </c>
      <c r="B1616" s="41" t="s">
        <v>326</v>
      </c>
      <c r="C1616" s="41" t="s">
        <v>2928</v>
      </c>
      <c r="D1616" s="41" t="s">
        <v>4755</v>
      </c>
      <c r="E1616" s="41" t="s">
        <v>2929</v>
      </c>
      <c r="F1616" s="41" t="s">
        <v>2930</v>
      </c>
      <c r="G1616" s="41" t="s">
        <v>2931</v>
      </c>
    </row>
    <row r="1617" spans="1:7" x14ac:dyDescent="0.25">
      <c r="A1617" s="41" t="s">
        <v>4765</v>
      </c>
      <c r="B1617" s="41" t="s">
        <v>326</v>
      </c>
      <c r="C1617" s="41" t="s">
        <v>2928</v>
      </c>
      <c r="D1617" s="41" t="s">
        <v>4755</v>
      </c>
      <c r="E1617" s="41" t="s">
        <v>2929</v>
      </c>
      <c r="F1617" s="41" t="s">
        <v>2930</v>
      </c>
      <c r="G1617" s="41" t="s">
        <v>2931</v>
      </c>
    </row>
    <row r="1618" spans="1:7" x14ac:dyDescent="0.25">
      <c r="A1618" s="41" t="s">
        <v>4766</v>
      </c>
      <c r="B1618" s="41" t="s">
        <v>326</v>
      </c>
      <c r="C1618" s="41" t="s">
        <v>2928</v>
      </c>
      <c r="D1618" s="41" t="s">
        <v>4755</v>
      </c>
      <c r="E1618" s="41" t="s">
        <v>2929</v>
      </c>
      <c r="F1618" s="41" t="s">
        <v>2930</v>
      </c>
      <c r="G1618" s="41" t="s">
        <v>2931</v>
      </c>
    </row>
    <row r="1619" spans="1:7" x14ac:dyDescent="0.25">
      <c r="A1619" s="41" t="s">
        <v>4767</v>
      </c>
      <c r="B1619" s="41" t="s">
        <v>326</v>
      </c>
      <c r="C1619" s="41" t="s">
        <v>2928</v>
      </c>
      <c r="D1619" s="41" t="s">
        <v>4755</v>
      </c>
      <c r="E1619" s="41" t="s">
        <v>2929</v>
      </c>
      <c r="F1619" s="41" t="s">
        <v>2930</v>
      </c>
      <c r="G1619" s="41" t="s">
        <v>2931</v>
      </c>
    </row>
    <row r="1620" spans="1:7" x14ac:dyDescent="0.25">
      <c r="A1620" s="41" t="s">
        <v>4768</v>
      </c>
      <c r="B1620" s="41" t="s">
        <v>326</v>
      </c>
      <c r="C1620" s="41" t="s">
        <v>2928</v>
      </c>
      <c r="D1620" s="41" t="s">
        <v>4755</v>
      </c>
      <c r="E1620" s="41" t="s">
        <v>2929</v>
      </c>
      <c r="F1620" s="41" t="s">
        <v>2930</v>
      </c>
      <c r="G1620" s="41" t="s">
        <v>2931</v>
      </c>
    </row>
    <row r="1621" spans="1:7" x14ac:dyDescent="0.25">
      <c r="A1621" s="41" t="s">
        <v>4769</v>
      </c>
      <c r="B1621" s="41" t="s">
        <v>326</v>
      </c>
      <c r="C1621" s="41" t="s">
        <v>2928</v>
      </c>
      <c r="D1621" s="41" t="s">
        <v>4755</v>
      </c>
      <c r="E1621" s="41" t="s">
        <v>2929</v>
      </c>
      <c r="F1621" s="41" t="s">
        <v>2930</v>
      </c>
      <c r="G1621" s="41" t="s">
        <v>2931</v>
      </c>
    </row>
    <row r="1622" spans="1:7" x14ac:dyDescent="0.25">
      <c r="A1622" s="41" t="s">
        <v>4770</v>
      </c>
      <c r="B1622" s="41" t="s">
        <v>326</v>
      </c>
      <c r="C1622" s="41" t="s">
        <v>2928</v>
      </c>
      <c r="D1622" s="41" t="s">
        <v>4755</v>
      </c>
      <c r="E1622" s="41" t="s">
        <v>2929</v>
      </c>
      <c r="F1622" s="41" t="s">
        <v>2949</v>
      </c>
      <c r="G1622" s="41" t="s">
        <v>2950</v>
      </c>
    </row>
    <row r="1623" spans="1:7" x14ac:dyDescent="0.25">
      <c r="A1623" s="41" t="s">
        <v>4771</v>
      </c>
      <c r="B1623" s="41" t="s">
        <v>326</v>
      </c>
      <c r="C1623" s="41" t="s">
        <v>2928</v>
      </c>
      <c r="D1623" s="41" t="s">
        <v>4755</v>
      </c>
      <c r="E1623" s="41" t="s">
        <v>2929</v>
      </c>
      <c r="F1623" s="41" t="s">
        <v>2949</v>
      </c>
      <c r="G1623" s="41" t="s">
        <v>2950</v>
      </c>
    </row>
    <row r="1624" spans="1:7" x14ac:dyDescent="0.25">
      <c r="A1624" s="41" t="s">
        <v>4772</v>
      </c>
      <c r="B1624" s="41" t="s">
        <v>326</v>
      </c>
      <c r="C1624" s="41" t="s">
        <v>2928</v>
      </c>
      <c r="D1624" s="41" t="s">
        <v>4755</v>
      </c>
      <c r="E1624" s="41" t="s">
        <v>2929</v>
      </c>
      <c r="F1624" s="41" t="s">
        <v>2949</v>
      </c>
      <c r="G1624" s="41" t="s">
        <v>2950</v>
      </c>
    </row>
    <row r="1625" spans="1:7" x14ac:dyDescent="0.25">
      <c r="A1625" s="41" t="s">
        <v>4773</v>
      </c>
      <c r="B1625" s="41" t="s">
        <v>326</v>
      </c>
      <c r="C1625" s="41" t="s">
        <v>2928</v>
      </c>
      <c r="D1625" s="41" t="s">
        <v>4755</v>
      </c>
      <c r="E1625" s="41" t="s">
        <v>2929</v>
      </c>
      <c r="F1625" s="41" t="s">
        <v>2949</v>
      </c>
      <c r="G1625" s="41" t="s">
        <v>2950</v>
      </c>
    </row>
    <row r="1626" spans="1:7" x14ac:dyDescent="0.25">
      <c r="A1626" s="41" t="s">
        <v>4774</v>
      </c>
      <c r="B1626" s="41" t="s">
        <v>326</v>
      </c>
      <c r="C1626" s="41" t="s">
        <v>2928</v>
      </c>
      <c r="D1626" s="41" t="s">
        <v>4755</v>
      </c>
      <c r="E1626" s="41" t="s">
        <v>2929</v>
      </c>
      <c r="F1626" s="41" t="s">
        <v>2949</v>
      </c>
      <c r="G1626" s="41" t="s">
        <v>2950</v>
      </c>
    </row>
    <row r="1627" spans="1:7" x14ac:dyDescent="0.25">
      <c r="A1627" s="41" t="s">
        <v>4775</v>
      </c>
      <c r="B1627" s="41" t="s">
        <v>326</v>
      </c>
      <c r="C1627" s="41" t="s">
        <v>2928</v>
      </c>
      <c r="D1627" s="41" t="s">
        <v>4755</v>
      </c>
      <c r="E1627" s="41" t="s">
        <v>2929</v>
      </c>
      <c r="F1627" s="41" t="s">
        <v>2949</v>
      </c>
      <c r="G1627" s="41" t="s">
        <v>2950</v>
      </c>
    </row>
    <row r="1628" spans="1:7" x14ac:dyDescent="0.25">
      <c r="A1628" s="41" t="s">
        <v>4776</v>
      </c>
      <c r="B1628" s="41" t="s">
        <v>326</v>
      </c>
      <c r="C1628" s="41" t="s">
        <v>2928</v>
      </c>
      <c r="D1628" s="41" t="s">
        <v>4755</v>
      </c>
      <c r="E1628" s="41" t="s">
        <v>2929</v>
      </c>
      <c r="F1628" s="41" t="s">
        <v>2949</v>
      </c>
      <c r="G1628" s="41" t="s">
        <v>2950</v>
      </c>
    </row>
    <row r="1629" spans="1:7" x14ac:dyDescent="0.25">
      <c r="A1629" s="41" t="s">
        <v>4777</v>
      </c>
      <c r="B1629" s="41" t="s">
        <v>295</v>
      </c>
      <c r="C1629" s="41" t="s">
        <v>2928</v>
      </c>
      <c r="D1629" s="41" t="s">
        <v>4777</v>
      </c>
      <c r="E1629" s="41" t="s">
        <v>2929</v>
      </c>
      <c r="F1629" s="41" t="s">
        <v>2930</v>
      </c>
      <c r="G1629" s="41" t="s">
        <v>2931</v>
      </c>
    </row>
    <row r="1630" spans="1:7" x14ac:dyDescent="0.25">
      <c r="A1630" s="41" t="s">
        <v>4778</v>
      </c>
      <c r="B1630" s="41" t="s">
        <v>295</v>
      </c>
      <c r="C1630" s="41" t="s">
        <v>2928</v>
      </c>
      <c r="D1630" s="41" t="s">
        <v>4777</v>
      </c>
      <c r="E1630" s="41" t="s">
        <v>2929</v>
      </c>
      <c r="F1630" s="41" t="s">
        <v>2933</v>
      </c>
      <c r="G1630" s="41" t="s">
        <v>2934</v>
      </c>
    </row>
    <row r="1631" spans="1:7" x14ac:dyDescent="0.25">
      <c r="A1631" s="41" t="s">
        <v>4779</v>
      </c>
      <c r="B1631" s="41" t="s">
        <v>295</v>
      </c>
      <c r="C1631" s="41" t="s">
        <v>2928</v>
      </c>
      <c r="D1631" s="41" t="s">
        <v>4777</v>
      </c>
      <c r="E1631" s="41" t="s">
        <v>2929</v>
      </c>
      <c r="F1631" s="41" t="s">
        <v>2933</v>
      </c>
      <c r="G1631" s="41" t="s">
        <v>2934</v>
      </c>
    </row>
    <row r="1632" spans="1:7" x14ac:dyDescent="0.25">
      <c r="A1632" s="41" t="s">
        <v>4780</v>
      </c>
      <c r="B1632" s="41" t="s">
        <v>295</v>
      </c>
      <c r="C1632" s="41" t="s">
        <v>2928</v>
      </c>
      <c r="D1632" s="41" t="s">
        <v>4777</v>
      </c>
      <c r="E1632" s="41" t="s">
        <v>2929</v>
      </c>
      <c r="F1632" s="41" t="s">
        <v>2933</v>
      </c>
      <c r="G1632" s="41" t="s">
        <v>2934</v>
      </c>
    </row>
    <row r="1633" spans="1:7" x14ac:dyDescent="0.25">
      <c r="A1633" s="41" t="s">
        <v>4781</v>
      </c>
      <c r="B1633" s="41" t="s">
        <v>295</v>
      </c>
      <c r="C1633" s="41" t="s">
        <v>2928</v>
      </c>
      <c r="D1633" s="41" t="s">
        <v>4777</v>
      </c>
      <c r="E1633" s="41" t="s">
        <v>2929</v>
      </c>
      <c r="F1633" s="41" t="s">
        <v>2933</v>
      </c>
      <c r="G1633" s="41" t="s">
        <v>2934</v>
      </c>
    </row>
    <row r="1634" spans="1:7" x14ac:dyDescent="0.25">
      <c r="A1634" s="41" t="s">
        <v>4782</v>
      </c>
      <c r="B1634" s="41" t="s">
        <v>295</v>
      </c>
      <c r="C1634" s="41" t="s">
        <v>2928</v>
      </c>
      <c r="D1634" s="41" t="s">
        <v>4777</v>
      </c>
      <c r="E1634" s="41" t="s">
        <v>2929</v>
      </c>
      <c r="F1634" s="41" t="s">
        <v>2933</v>
      </c>
      <c r="G1634" s="41" t="s">
        <v>2934</v>
      </c>
    </row>
    <row r="1635" spans="1:7" x14ac:dyDescent="0.25">
      <c r="A1635" s="41" t="s">
        <v>4783</v>
      </c>
      <c r="B1635" s="41" t="s">
        <v>295</v>
      </c>
      <c r="C1635" s="41" t="s">
        <v>2928</v>
      </c>
      <c r="D1635" s="41" t="s">
        <v>4777</v>
      </c>
      <c r="E1635" s="41" t="s">
        <v>2929</v>
      </c>
      <c r="F1635" s="41" t="s">
        <v>2933</v>
      </c>
      <c r="G1635" s="41" t="s">
        <v>2934</v>
      </c>
    </row>
    <row r="1636" spans="1:7" x14ac:dyDescent="0.25">
      <c r="A1636" s="41" t="s">
        <v>4784</v>
      </c>
      <c r="B1636" s="41" t="s">
        <v>295</v>
      </c>
      <c r="C1636" s="41" t="s">
        <v>2928</v>
      </c>
      <c r="D1636" s="41" t="s">
        <v>4777</v>
      </c>
      <c r="E1636" s="41" t="s">
        <v>2929</v>
      </c>
      <c r="F1636" s="41" t="s">
        <v>2933</v>
      </c>
      <c r="G1636" s="41" t="s">
        <v>2934</v>
      </c>
    </row>
    <row r="1637" spans="1:7" x14ac:dyDescent="0.25">
      <c r="A1637" s="41" t="s">
        <v>4785</v>
      </c>
      <c r="B1637" s="41" t="s">
        <v>295</v>
      </c>
      <c r="C1637" s="41" t="s">
        <v>2928</v>
      </c>
      <c r="D1637" s="41" t="s">
        <v>4777</v>
      </c>
      <c r="E1637" s="41" t="s">
        <v>2929</v>
      </c>
      <c r="F1637" s="41" t="s">
        <v>2930</v>
      </c>
      <c r="G1637" s="41" t="s">
        <v>2931</v>
      </c>
    </row>
    <row r="1638" spans="1:7" x14ac:dyDescent="0.25">
      <c r="A1638" s="41" t="s">
        <v>4786</v>
      </c>
      <c r="B1638" s="41" t="s">
        <v>295</v>
      </c>
      <c r="C1638" s="41" t="s">
        <v>2928</v>
      </c>
      <c r="D1638" s="41" t="s">
        <v>4777</v>
      </c>
      <c r="E1638" s="41" t="s">
        <v>2929</v>
      </c>
      <c r="F1638" s="41" t="s">
        <v>2930</v>
      </c>
      <c r="G1638" s="41" t="s">
        <v>2931</v>
      </c>
    </row>
    <row r="1639" spans="1:7" x14ac:dyDescent="0.25">
      <c r="A1639" s="41" t="s">
        <v>4787</v>
      </c>
      <c r="B1639" s="41" t="s">
        <v>295</v>
      </c>
      <c r="C1639" s="41" t="s">
        <v>2928</v>
      </c>
      <c r="D1639" s="41" t="s">
        <v>4777</v>
      </c>
      <c r="E1639" s="41" t="s">
        <v>2929</v>
      </c>
      <c r="F1639" s="41" t="s">
        <v>2930</v>
      </c>
      <c r="G1639" s="41" t="s">
        <v>2931</v>
      </c>
    </row>
    <row r="1640" spans="1:7" x14ac:dyDescent="0.25">
      <c r="A1640" s="41" t="s">
        <v>4788</v>
      </c>
      <c r="B1640" s="41" t="s">
        <v>295</v>
      </c>
      <c r="C1640" s="41" t="s">
        <v>2928</v>
      </c>
      <c r="D1640" s="41" t="s">
        <v>4777</v>
      </c>
      <c r="E1640" s="41" t="s">
        <v>2929</v>
      </c>
      <c r="F1640" s="41" t="s">
        <v>2930</v>
      </c>
      <c r="G1640" s="41" t="s">
        <v>2931</v>
      </c>
    </row>
    <row r="1641" spans="1:7" x14ac:dyDescent="0.25">
      <c r="A1641" s="41" t="s">
        <v>4789</v>
      </c>
      <c r="B1641" s="41" t="s">
        <v>295</v>
      </c>
      <c r="C1641" s="41" t="s">
        <v>2928</v>
      </c>
      <c r="D1641" s="41" t="s">
        <v>4777</v>
      </c>
      <c r="E1641" s="41" t="s">
        <v>2929</v>
      </c>
      <c r="F1641" s="41" t="s">
        <v>2930</v>
      </c>
      <c r="G1641" s="41" t="s">
        <v>2931</v>
      </c>
    </row>
    <row r="1642" spans="1:7" x14ac:dyDescent="0.25">
      <c r="A1642" s="41" t="s">
        <v>4790</v>
      </c>
      <c r="B1642" s="41" t="s">
        <v>295</v>
      </c>
      <c r="C1642" s="41" t="s">
        <v>2928</v>
      </c>
      <c r="D1642" s="41" t="s">
        <v>4777</v>
      </c>
      <c r="E1642" s="41" t="s">
        <v>2929</v>
      </c>
      <c r="F1642" s="41" t="s">
        <v>2930</v>
      </c>
      <c r="G1642" s="41" t="s">
        <v>2931</v>
      </c>
    </row>
    <row r="1643" spans="1:7" x14ac:dyDescent="0.25">
      <c r="A1643" s="41" t="s">
        <v>4791</v>
      </c>
      <c r="B1643" s="41" t="s">
        <v>295</v>
      </c>
      <c r="C1643" s="41" t="s">
        <v>2928</v>
      </c>
      <c r="D1643" s="41" t="s">
        <v>4777</v>
      </c>
      <c r="E1643" s="41" t="s">
        <v>2929</v>
      </c>
      <c r="F1643" s="41" t="s">
        <v>2930</v>
      </c>
      <c r="G1643" s="41" t="s">
        <v>2931</v>
      </c>
    </row>
    <row r="1644" spans="1:7" x14ac:dyDescent="0.25">
      <c r="A1644" s="41" t="s">
        <v>4792</v>
      </c>
      <c r="B1644" s="41" t="s">
        <v>295</v>
      </c>
      <c r="C1644" s="41" t="s">
        <v>2928</v>
      </c>
      <c r="D1644" s="41" t="s">
        <v>4777</v>
      </c>
      <c r="E1644" s="41" t="s">
        <v>2929</v>
      </c>
      <c r="F1644" s="41" t="s">
        <v>2949</v>
      </c>
      <c r="G1644" s="41" t="s">
        <v>2950</v>
      </c>
    </row>
    <row r="1645" spans="1:7" x14ac:dyDescent="0.25">
      <c r="A1645" s="41" t="s">
        <v>4793</v>
      </c>
      <c r="B1645" s="41" t="s">
        <v>295</v>
      </c>
      <c r="C1645" s="41" t="s">
        <v>2928</v>
      </c>
      <c r="D1645" s="41" t="s">
        <v>4777</v>
      </c>
      <c r="E1645" s="41" t="s">
        <v>2929</v>
      </c>
      <c r="F1645" s="41" t="s">
        <v>2949</v>
      </c>
      <c r="G1645" s="41" t="s">
        <v>2950</v>
      </c>
    </row>
    <row r="1646" spans="1:7" x14ac:dyDescent="0.25">
      <c r="A1646" s="41" t="s">
        <v>4794</v>
      </c>
      <c r="B1646" s="41" t="s">
        <v>295</v>
      </c>
      <c r="C1646" s="41" t="s">
        <v>2928</v>
      </c>
      <c r="D1646" s="41" t="s">
        <v>4777</v>
      </c>
      <c r="E1646" s="41" t="s">
        <v>2929</v>
      </c>
      <c r="F1646" s="41" t="s">
        <v>2949</v>
      </c>
      <c r="G1646" s="41" t="s">
        <v>2950</v>
      </c>
    </row>
    <row r="1647" spans="1:7" x14ac:dyDescent="0.25">
      <c r="A1647" s="41" t="s">
        <v>4795</v>
      </c>
      <c r="B1647" s="41" t="s">
        <v>295</v>
      </c>
      <c r="C1647" s="41" t="s">
        <v>2928</v>
      </c>
      <c r="D1647" s="41" t="s">
        <v>4777</v>
      </c>
      <c r="E1647" s="41" t="s">
        <v>2929</v>
      </c>
      <c r="F1647" s="41" t="s">
        <v>2949</v>
      </c>
      <c r="G1647" s="41" t="s">
        <v>2950</v>
      </c>
    </row>
    <row r="1648" spans="1:7" x14ac:dyDescent="0.25">
      <c r="A1648" s="41" t="s">
        <v>4796</v>
      </c>
      <c r="B1648" s="41" t="s">
        <v>295</v>
      </c>
      <c r="C1648" s="41" t="s">
        <v>2928</v>
      </c>
      <c r="D1648" s="41" t="s">
        <v>4777</v>
      </c>
      <c r="E1648" s="41" t="s">
        <v>2929</v>
      </c>
      <c r="F1648" s="41" t="s">
        <v>2949</v>
      </c>
      <c r="G1648" s="41" t="s">
        <v>2950</v>
      </c>
    </row>
    <row r="1649" spans="1:7" x14ac:dyDescent="0.25">
      <c r="A1649" s="41" t="s">
        <v>4797</v>
      </c>
      <c r="B1649" s="41" t="s">
        <v>295</v>
      </c>
      <c r="C1649" s="41" t="s">
        <v>2928</v>
      </c>
      <c r="D1649" s="41" t="s">
        <v>4777</v>
      </c>
      <c r="E1649" s="41" t="s">
        <v>2929</v>
      </c>
      <c r="F1649" s="41" t="s">
        <v>2949</v>
      </c>
      <c r="G1649" s="41" t="s">
        <v>2950</v>
      </c>
    </row>
    <row r="1650" spans="1:7" x14ac:dyDescent="0.25">
      <c r="A1650" s="41" t="s">
        <v>4798</v>
      </c>
      <c r="B1650" s="41" t="s">
        <v>295</v>
      </c>
      <c r="C1650" s="41" t="s">
        <v>2928</v>
      </c>
      <c r="D1650" s="41" t="s">
        <v>4777</v>
      </c>
      <c r="E1650" s="41" t="s">
        <v>2929</v>
      </c>
      <c r="F1650" s="41" t="s">
        <v>2949</v>
      </c>
      <c r="G1650" s="41" t="s">
        <v>2950</v>
      </c>
    </row>
    <row r="1651" spans="1:7" x14ac:dyDescent="0.25">
      <c r="A1651" s="41" t="s">
        <v>4799</v>
      </c>
      <c r="B1651" s="41" t="s">
        <v>374</v>
      </c>
      <c r="C1651" s="41" t="s">
        <v>2928</v>
      </c>
      <c r="D1651" s="41" t="s">
        <v>4799</v>
      </c>
      <c r="E1651" s="41" t="s">
        <v>2929</v>
      </c>
      <c r="F1651" s="41" t="s">
        <v>2930</v>
      </c>
      <c r="G1651" s="41" t="s">
        <v>2931</v>
      </c>
    </row>
    <row r="1652" spans="1:7" x14ac:dyDescent="0.25">
      <c r="A1652" s="41" t="s">
        <v>4800</v>
      </c>
      <c r="B1652" s="41" t="s">
        <v>374</v>
      </c>
      <c r="C1652" s="41" t="s">
        <v>2928</v>
      </c>
      <c r="D1652" s="41" t="s">
        <v>4799</v>
      </c>
      <c r="E1652" s="41" t="s">
        <v>2929</v>
      </c>
      <c r="F1652" s="41" t="s">
        <v>2933</v>
      </c>
      <c r="G1652" s="41" t="s">
        <v>2934</v>
      </c>
    </row>
    <row r="1653" spans="1:7" x14ac:dyDescent="0.25">
      <c r="A1653" s="41" t="s">
        <v>4801</v>
      </c>
      <c r="B1653" s="41" t="s">
        <v>374</v>
      </c>
      <c r="C1653" s="41" t="s">
        <v>2928</v>
      </c>
      <c r="D1653" s="41" t="s">
        <v>4799</v>
      </c>
      <c r="E1653" s="41" t="s">
        <v>2929</v>
      </c>
      <c r="F1653" s="41" t="s">
        <v>2933</v>
      </c>
      <c r="G1653" s="41" t="s">
        <v>2934</v>
      </c>
    </row>
    <row r="1654" spans="1:7" x14ac:dyDescent="0.25">
      <c r="A1654" s="41" t="s">
        <v>4802</v>
      </c>
      <c r="B1654" s="41" t="s">
        <v>374</v>
      </c>
      <c r="C1654" s="41" t="s">
        <v>2928</v>
      </c>
      <c r="D1654" s="41" t="s">
        <v>4799</v>
      </c>
      <c r="E1654" s="41" t="s">
        <v>2929</v>
      </c>
      <c r="F1654" s="41" t="s">
        <v>2933</v>
      </c>
      <c r="G1654" s="41" t="s">
        <v>2934</v>
      </c>
    </row>
    <row r="1655" spans="1:7" x14ac:dyDescent="0.25">
      <c r="A1655" s="41" t="s">
        <v>4803</v>
      </c>
      <c r="B1655" s="41" t="s">
        <v>374</v>
      </c>
      <c r="C1655" s="41" t="s">
        <v>2928</v>
      </c>
      <c r="D1655" s="41" t="s">
        <v>4799</v>
      </c>
      <c r="E1655" s="41" t="s">
        <v>2929</v>
      </c>
      <c r="F1655" s="41" t="s">
        <v>2933</v>
      </c>
      <c r="G1655" s="41" t="s">
        <v>2934</v>
      </c>
    </row>
    <row r="1656" spans="1:7" x14ac:dyDescent="0.25">
      <c r="A1656" s="41" t="s">
        <v>4804</v>
      </c>
      <c r="B1656" s="41" t="s">
        <v>374</v>
      </c>
      <c r="C1656" s="41" t="s">
        <v>2928</v>
      </c>
      <c r="D1656" s="41" t="s">
        <v>4799</v>
      </c>
      <c r="E1656" s="41" t="s">
        <v>2929</v>
      </c>
      <c r="F1656" s="41" t="s">
        <v>2933</v>
      </c>
      <c r="G1656" s="41" t="s">
        <v>2934</v>
      </c>
    </row>
    <row r="1657" spans="1:7" x14ac:dyDescent="0.25">
      <c r="A1657" s="41" t="s">
        <v>4805</v>
      </c>
      <c r="B1657" s="41" t="s">
        <v>374</v>
      </c>
      <c r="C1657" s="41" t="s">
        <v>2928</v>
      </c>
      <c r="D1657" s="41" t="s">
        <v>4799</v>
      </c>
      <c r="E1657" s="41" t="s">
        <v>2929</v>
      </c>
      <c r="F1657" s="41" t="s">
        <v>2933</v>
      </c>
      <c r="G1657" s="41" t="s">
        <v>2934</v>
      </c>
    </row>
    <row r="1658" spans="1:7" x14ac:dyDescent="0.25">
      <c r="A1658" s="41" t="s">
        <v>4806</v>
      </c>
      <c r="B1658" s="41" t="s">
        <v>374</v>
      </c>
      <c r="C1658" s="41" t="s">
        <v>2928</v>
      </c>
      <c r="D1658" s="41" t="s">
        <v>4799</v>
      </c>
      <c r="E1658" s="41" t="s">
        <v>2929</v>
      </c>
      <c r="F1658" s="41" t="s">
        <v>2933</v>
      </c>
      <c r="G1658" s="41" t="s">
        <v>2934</v>
      </c>
    </row>
    <row r="1659" spans="1:7" x14ac:dyDescent="0.25">
      <c r="A1659" s="41" t="s">
        <v>4807</v>
      </c>
      <c r="B1659" s="41" t="s">
        <v>374</v>
      </c>
      <c r="C1659" s="41" t="s">
        <v>2928</v>
      </c>
      <c r="D1659" s="41" t="s">
        <v>4799</v>
      </c>
      <c r="E1659" s="41" t="s">
        <v>2929</v>
      </c>
      <c r="F1659" s="41" t="s">
        <v>2930</v>
      </c>
      <c r="G1659" s="41" t="s">
        <v>2931</v>
      </c>
    </row>
    <row r="1660" spans="1:7" x14ac:dyDescent="0.25">
      <c r="A1660" s="41" t="s">
        <v>4808</v>
      </c>
      <c r="B1660" s="41" t="s">
        <v>374</v>
      </c>
      <c r="C1660" s="41" t="s">
        <v>2928</v>
      </c>
      <c r="D1660" s="41" t="s">
        <v>4799</v>
      </c>
      <c r="E1660" s="41" t="s">
        <v>2929</v>
      </c>
      <c r="F1660" s="41" t="s">
        <v>2930</v>
      </c>
      <c r="G1660" s="41" t="s">
        <v>2931</v>
      </c>
    </row>
    <row r="1661" spans="1:7" x14ac:dyDescent="0.25">
      <c r="A1661" s="41" t="s">
        <v>4809</v>
      </c>
      <c r="B1661" s="41" t="s">
        <v>374</v>
      </c>
      <c r="C1661" s="41" t="s">
        <v>2928</v>
      </c>
      <c r="D1661" s="41" t="s">
        <v>4799</v>
      </c>
      <c r="E1661" s="41" t="s">
        <v>2929</v>
      </c>
      <c r="F1661" s="41" t="s">
        <v>2930</v>
      </c>
      <c r="G1661" s="41" t="s">
        <v>2931</v>
      </c>
    </row>
    <row r="1662" spans="1:7" x14ac:dyDescent="0.25">
      <c r="A1662" s="41" t="s">
        <v>4810</v>
      </c>
      <c r="B1662" s="41" t="s">
        <v>374</v>
      </c>
      <c r="C1662" s="41" t="s">
        <v>2928</v>
      </c>
      <c r="D1662" s="41" t="s">
        <v>4799</v>
      </c>
      <c r="E1662" s="41" t="s">
        <v>2929</v>
      </c>
      <c r="F1662" s="41" t="s">
        <v>2930</v>
      </c>
      <c r="G1662" s="41" t="s">
        <v>2931</v>
      </c>
    </row>
    <row r="1663" spans="1:7" x14ac:dyDescent="0.25">
      <c r="A1663" s="41" t="s">
        <v>4811</v>
      </c>
      <c r="B1663" s="41" t="s">
        <v>374</v>
      </c>
      <c r="C1663" s="41" t="s">
        <v>2928</v>
      </c>
      <c r="D1663" s="41" t="s">
        <v>4799</v>
      </c>
      <c r="E1663" s="41" t="s">
        <v>2929</v>
      </c>
      <c r="F1663" s="41" t="s">
        <v>2930</v>
      </c>
      <c r="G1663" s="41" t="s">
        <v>2931</v>
      </c>
    </row>
    <row r="1664" spans="1:7" x14ac:dyDescent="0.25">
      <c r="A1664" s="41" t="s">
        <v>4812</v>
      </c>
      <c r="B1664" s="41" t="s">
        <v>374</v>
      </c>
      <c r="C1664" s="41" t="s">
        <v>2928</v>
      </c>
      <c r="D1664" s="41" t="s">
        <v>4799</v>
      </c>
      <c r="E1664" s="41" t="s">
        <v>2929</v>
      </c>
      <c r="F1664" s="41" t="s">
        <v>2930</v>
      </c>
      <c r="G1664" s="41" t="s">
        <v>2931</v>
      </c>
    </row>
    <row r="1665" spans="1:7" x14ac:dyDescent="0.25">
      <c r="A1665" s="41" t="s">
        <v>4813</v>
      </c>
      <c r="B1665" s="41" t="s">
        <v>374</v>
      </c>
      <c r="C1665" s="41" t="s">
        <v>2928</v>
      </c>
      <c r="D1665" s="41" t="s">
        <v>4799</v>
      </c>
      <c r="E1665" s="41" t="s">
        <v>2929</v>
      </c>
      <c r="F1665" s="41" t="s">
        <v>2930</v>
      </c>
      <c r="G1665" s="41" t="s">
        <v>2931</v>
      </c>
    </row>
    <row r="1666" spans="1:7" x14ac:dyDescent="0.25">
      <c r="A1666" s="41" t="s">
        <v>4814</v>
      </c>
      <c r="B1666" s="41" t="s">
        <v>374</v>
      </c>
      <c r="C1666" s="41" t="s">
        <v>2928</v>
      </c>
      <c r="D1666" s="41" t="s">
        <v>4799</v>
      </c>
      <c r="E1666" s="41" t="s">
        <v>2929</v>
      </c>
      <c r="F1666" s="41" t="s">
        <v>2949</v>
      </c>
      <c r="G1666" s="41" t="s">
        <v>2950</v>
      </c>
    </row>
    <row r="1667" spans="1:7" x14ac:dyDescent="0.25">
      <c r="A1667" s="41" t="s">
        <v>4815</v>
      </c>
      <c r="B1667" s="41" t="s">
        <v>374</v>
      </c>
      <c r="C1667" s="41" t="s">
        <v>2928</v>
      </c>
      <c r="D1667" s="41" t="s">
        <v>4799</v>
      </c>
      <c r="E1667" s="41" t="s">
        <v>2929</v>
      </c>
      <c r="F1667" s="41" t="s">
        <v>2949</v>
      </c>
      <c r="G1667" s="41" t="s">
        <v>2950</v>
      </c>
    </row>
    <row r="1668" spans="1:7" x14ac:dyDescent="0.25">
      <c r="A1668" s="41" t="s">
        <v>4816</v>
      </c>
      <c r="B1668" s="41" t="s">
        <v>374</v>
      </c>
      <c r="C1668" s="41" t="s">
        <v>2928</v>
      </c>
      <c r="D1668" s="41" t="s">
        <v>4799</v>
      </c>
      <c r="E1668" s="41" t="s">
        <v>2929</v>
      </c>
      <c r="F1668" s="41" t="s">
        <v>2949</v>
      </c>
      <c r="G1668" s="41" t="s">
        <v>2950</v>
      </c>
    </row>
    <row r="1669" spans="1:7" x14ac:dyDescent="0.25">
      <c r="A1669" s="41" t="s">
        <v>4817</v>
      </c>
      <c r="B1669" s="41" t="s">
        <v>374</v>
      </c>
      <c r="C1669" s="41" t="s">
        <v>2928</v>
      </c>
      <c r="D1669" s="41" t="s">
        <v>4799</v>
      </c>
      <c r="E1669" s="41" t="s">
        <v>2929</v>
      </c>
      <c r="F1669" s="41" t="s">
        <v>2949</v>
      </c>
      <c r="G1669" s="41" t="s">
        <v>2950</v>
      </c>
    </row>
    <row r="1670" spans="1:7" x14ac:dyDescent="0.25">
      <c r="A1670" s="41" t="s">
        <v>4818</v>
      </c>
      <c r="B1670" s="41" t="s">
        <v>374</v>
      </c>
      <c r="C1670" s="41" t="s">
        <v>2928</v>
      </c>
      <c r="D1670" s="41" t="s">
        <v>4799</v>
      </c>
      <c r="E1670" s="41" t="s">
        <v>2929</v>
      </c>
      <c r="F1670" s="41" t="s">
        <v>2949</v>
      </c>
      <c r="G1670" s="41" t="s">
        <v>2950</v>
      </c>
    </row>
    <row r="1671" spans="1:7" x14ac:dyDescent="0.25">
      <c r="A1671" s="41" t="s">
        <v>4819</v>
      </c>
      <c r="B1671" s="41" t="s">
        <v>374</v>
      </c>
      <c r="C1671" s="41" t="s">
        <v>2928</v>
      </c>
      <c r="D1671" s="41" t="s">
        <v>4799</v>
      </c>
      <c r="E1671" s="41" t="s">
        <v>2929</v>
      </c>
      <c r="F1671" s="41" t="s">
        <v>2949</v>
      </c>
      <c r="G1671" s="41" t="s">
        <v>2950</v>
      </c>
    </row>
    <row r="1672" spans="1:7" x14ac:dyDescent="0.25">
      <c r="A1672" s="41" t="s">
        <v>4820</v>
      </c>
      <c r="B1672" s="41" t="s">
        <v>374</v>
      </c>
      <c r="C1672" s="41" t="s">
        <v>2928</v>
      </c>
      <c r="D1672" s="41" t="s">
        <v>4799</v>
      </c>
      <c r="E1672" s="41" t="s">
        <v>2929</v>
      </c>
      <c r="F1672" s="41" t="s">
        <v>2949</v>
      </c>
      <c r="G1672" s="41" t="s">
        <v>2950</v>
      </c>
    </row>
    <row r="1673" spans="1:7" x14ac:dyDescent="0.25">
      <c r="A1673" s="41" t="s">
        <v>4821</v>
      </c>
      <c r="B1673" s="41" t="s">
        <v>4822</v>
      </c>
      <c r="C1673" s="41" t="s">
        <v>2928</v>
      </c>
      <c r="D1673" s="41" t="s">
        <v>4821</v>
      </c>
      <c r="E1673" s="41" t="s">
        <v>2929</v>
      </c>
      <c r="F1673" s="41" t="s">
        <v>2930</v>
      </c>
      <c r="G1673" s="41" t="s">
        <v>2931</v>
      </c>
    </row>
    <row r="1674" spans="1:7" x14ac:dyDescent="0.25">
      <c r="A1674" s="41" t="s">
        <v>4823</v>
      </c>
      <c r="B1674" s="41" t="s">
        <v>4822</v>
      </c>
      <c r="C1674" s="41" t="s">
        <v>2928</v>
      </c>
      <c r="D1674" s="41" t="s">
        <v>4821</v>
      </c>
      <c r="E1674" s="41" t="s">
        <v>2929</v>
      </c>
      <c r="F1674" s="41" t="s">
        <v>2933</v>
      </c>
      <c r="G1674" s="41" t="s">
        <v>2934</v>
      </c>
    </row>
    <row r="1675" spans="1:7" x14ac:dyDescent="0.25">
      <c r="A1675" s="41" t="s">
        <v>4824</v>
      </c>
      <c r="B1675" s="41" t="s">
        <v>4822</v>
      </c>
      <c r="C1675" s="41" t="s">
        <v>2928</v>
      </c>
      <c r="D1675" s="41" t="s">
        <v>4821</v>
      </c>
      <c r="E1675" s="41" t="s">
        <v>2929</v>
      </c>
      <c r="F1675" s="41" t="s">
        <v>2930</v>
      </c>
      <c r="G1675" s="41" t="s">
        <v>2931</v>
      </c>
    </row>
    <row r="1676" spans="1:7" x14ac:dyDescent="0.25">
      <c r="A1676" s="41" t="s">
        <v>4825</v>
      </c>
      <c r="B1676" s="41" t="s">
        <v>4822</v>
      </c>
      <c r="C1676" s="41" t="s">
        <v>2928</v>
      </c>
      <c r="D1676" s="41" t="s">
        <v>4821</v>
      </c>
      <c r="E1676" s="41" t="s">
        <v>2929</v>
      </c>
      <c r="F1676" s="41" t="s">
        <v>2949</v>
      </c>
      <c r="G1676" s="41" t="s">
        <v>2950</v>
      </c>
    </row>
    <row r="1677" spans="1:7" x14ac:dyDescent="0.25">
      <c r="A1677" s="41" t="s">
        <v>4826</v>
      </c>
      <c r="B1677" s="41" t="s">
        <v>4822</v>
      </c>
      <c r="C1677" s="41" t="s">
        <v>2928</v>
      </c>
      <c r="D1677" s="41" t="s">
        <v>4821</v>
      </c>
      <c r="E1677" s="41" t="s">
        <v>2929</v>
      </c>
      <c r="F1677" s="41" t="s">
        <v>2949</v>
      </c>
      <c r="G1677" s="41" t="s">
        <v>2950</v>
      </c>
    </row>
    <row r="1678" spans="1:7" x14ac:dyDescent="0.25">
      <c r="A1678" s="41" t="s">
        <v>4827</v>
      </c>
      <c r="B1678" s="41" t="s">
        <v>4828</v>
      </c>
      <c r="C1678" s="41" t="s">
        <v>2928</v>
      </c>
      <c r="D1678" s="41" t="s">
        <v>4827</v>
      </c>
      <c r="E1678" s="41" t="s">
        <v>2929</v>
      </c>
      <c r="F1678" s="41" t="s">
        <v>2930</v>
      </c>
      <c r="G1678" s="41" t="s">
        <v>2931</v>
      </c>
    </row>
    <row r="1679" spans="1:7" x14ac:dyDescent="0.25">
      <c r="A1679" s="41" t="s">
        <v>4829</v>
      </c>
      <c r="B1679" s="41" t="s">
        <v>4828</v>
      </c>
      <c r="C1679" s="41" t="s">
        <v>2928</v>
      </c>
      <c r="D1679" s="41" t="s">
        <v>4827</v>
      </c>
      <c r="E1679" s="41" t="s">
        <v>2929</v>
      </c>
      <c r="F1679" s="41" t="s">
        <v>2933</v>
      </c>
      <c r="G1679" s="41" t="s">
        <v>2934</v>
      </c>
    </row>
    <row r="1680" spans="1:7" x14ac:dyDescent="0.25">
      <c r="A1680" s="41" t="s">
        <v>4830</v>
      </c>
      <c r="B1680" s="41" t="s">
        <v>4828</v>
      </c>
      <c r="C1680" s="41" t="s">
        <v>2928</v>
      </c>
      <c r="D1680" s="41" t="s">
        <v>4827</v>
      </c>
      <c r="E1680" s="41" t="s">
        <v>2929</v>
      </c>
      <c r="F1680" s="41" t="s">
        <v>2930</v>
      </c>
      <c r="G1680" s="41" t="s">
        <v>2931</v>
      </c>
    </row>
    <row r="1681" spans="1:7" x14ac:dyDescent="0.25">
      <c r="A1681" s="41" t="s">
        <v>4831</v>
      </c>
      <c r="B1681" s="41" t="s">
        <v>4828</v>
      </c>
      <c r="C1681" s="41" t="s">
        <v>2928</v>
      </c>
      <c r="D1681" s="41" t="s">
        <v>4827</v>
      </c>
      <c r="E1681" s="41" t="s">
        <v>2929</v>
      </c>
      <c r="F1681" s="41" t="s">
        <v>2949</v>
      </c>
      <c r="G1681" s="41" t="s">
        <v>2950</v>
      </c>
    </row>
    <row r="1682" spans="1:7" x14ac:dyDescent="0.25">
      <c r="A1682" s="41" t="s">
        <v>4832</v>
      </c>
      <c r="B1682" s="41" t="s">
        <v>4828</v>
      </c>
      <c r="C1682" s="41" t="s">
        <v>2928</v>
      </c>
      <c r="D1682" s="41" t="s">
        <v>4827</v>
      </c>
      <c r="E1682" s="41" t="s">
        <v>2929</v>
      </c>
      <c r="F1682" s="41" t="s">
        <v>2949</v>
      </c>
      <c r="G1682" s="41" t="s">
        <v>2950</v>
      </c>
    </row>
    <row r="1683" spans="1:7" x14ac:dyDescent="0.25">
      <c r="A1683" s="41" t="s">
        <v>4833</v>
      </c>
      <c r="B1683" s="41" t="s">
        <v>4834</v>
      </c>
      <c r="C1683" s="41" t="s">
        <v>2928</v>
      </c>
      <c r="D1683" s="41" t="s">
        <v>4833</v>
      </c>
      <c r="E1683" s="41" t="s">
        <v>2929</v>
      </c>
      <c r="F1683" s="41" t="s">
        <v>2930</v>
      </c>
      <c r="G1683" s="41" t="s">
        <v>2931</v>
      </c>
    </row>
    <row r="1684" spans="1:7" x14ac:dyDescent="0.25">
      <c r="A1684" s="41" t="s">
        <v>4835</v>
      </c>
      <c r="B1684" s="41" t="s">
        <v>4836</v>
      </c>
      <c r="C1684" s="41" t="s">
        <v>2928</v>
      </c>
      <c r="D1684" s="41" t="s">
        <v>4835</v>
      </c>
      <c r="E1684" s="41" t="s">
        <v>2929</v>
      </c>
      <c r="F1684" s="41" t="s">
        <v>2930</v>
      </c>
      <c r="G1684" s="41" t="s">
        <v>2931</v>
      </c>
    </row>
    <row r="1685" spans="1:7" x14ac:dyDescent="0.25">
      <c r="A1685" s="41" t="s">
        <v>4837</v>
      </c>
      <c r="B1685" s="41" t="s">
        <v>4836</v>
      </c>
      <c r="C1685" s="41" t="s">
        <v>2928</v>
      </c>
      <c r="D1685" s="41" t="s">
        <v>4835</v>
      </c>
      <c r="E1685" s="41" t="s">
        <v>2929</v>
      </c>
      <c r="F1685" s="41" t="s">
        <v>2933</v>
      </c>
      <c r="G1685" s="41" t="s">
        <v>2934</v>
      </c>
    </row>
    <row r="1686" spans="1:7" x14ac:dyDescent="0.25">
      <c r="A1686" s="41" t="s">
        <v>4838</v>
      </c>
      <c r="B1686" s="41" t="s">
        <v>4836</v>
      </c>
      <c r="C1686" s="41" t="s">
        <v>2928</v>
      </c>
      <c r="D1686" s="41" t="s">
        <v>4835</v>
      </c>
      <c r="E1686" s="41" t="s">
        <v>2929</v>
      </c>
      <c r="F1686" s="41" t="s">
        <v>2933</v>
      </c>
      <c r="G1686" s="41" t="s">
        <v>2934</v>
      </c>
    </row>
    <row r="1687" spans="1:7" x14ac:dyDescent="0.25">
      <c r="A1687" s="41" t="s">
        <v>4839</v>
      </c>
      <c r="B1687" s="41" t="s">
        <v>4836</v>
      </c>
      <c r="C1687" s="41" t="s">
        <v>2928</v>
      </c>
      <c r="D1687" s="41" t="s">
        <v>4835</v>
      </c>
      <c r="E1687" s="41" t="s">
        <v>2929</v>
      </c>
      <c r="F1687" s="41" t="s">
        <v>2933</v>
      </c>
      <c r="G1687" s="41" t="s">
        <v>2934</v>
      </c>
    </row>
    <row r="1688" spans="1:7" x14ac:dyDescent="0.25">
      <c r="A1688" s="41" t="s">
        <v>4840</v>
      </c>
      <c r="B1688" s="41" t="s">
        <v>4836</v>
      </c>
      <c r="C1688" s="41" t="s">
        <v>2928</v>
      </c>
      <c r="D1688" s="41" t="s">
        <v>4835</v>
      </c>
      <c r="E1688" s="41" t="s">
        <v>2929</v>
      </c>
      <c r="F1688" s="41" t="s">
        <v>2933</v>
      </c>
      <c r="G1688" s="41" t="s">
        <v>2934</v>
      </c>
    </row>
    <row r="1689" spans="1:7" x14ac:dyDescent="0.25">
      <c r="A1689" s="41" t="s">
        <v>4841</v>
      </c>
      <c r="B1689" s="41" t="s">
        <v>4836</v>
      </c>
      <c r="C1689" s="41" t="s">
        <v>2928</v>
      </c>
      <c r="D1689" s="41" t="s">
        <v>4835</v>
      </c>
      <c r="E1689" s="41" t="s">
        <v>2929</v>
      </c>
      <c r="F1689" s="41" t="s">
        <v>2933</v>
      </c>
      <c r="G1689" s="41" t="s">
        <v>2934</v>
      </c>
    </row>
    <row r="1690" spans="1:7" x14ac:dyDescent="0.25">
      <c r="A1690" s="41" t="s">
        <v>4842</v>
      </c>
      <c r="B1690" s="41" t="s">
        <v>4836</v>
      </c>
      <c r="C1690" s="41" t="s">
        <v>2928</v>
      </c>
      <c r="D1690" s="41" t="s">
        <v>4835</v>
      </c>
      <c r="E1690" s="41" t="s">
        <v>2929</v>
      </c>
      <c r="F1690" s="41" t="s">
        <v>2933</v>
      </c>
      <c r="G1690" s="41" t="s">
        <v>2934</v>
      </c>
    </row>
    <row r="1691" spans="1:7" x14ac:dyDescent="0.25">
      <c r="A1691" s="41" t="s">
        <v>4843</v>
      </c>
      <c r="B1691" s="41" t="s">
        <v>4836</v>
      </c>
      <c r="C1691" s="41" t="s">
        <v>2928</v>
      </c>
      <c r="D1691" s="41" t="s">
        <v>4835</v>
      </c>
      <c r="E1691" s="41" t="s">
        <v>2929</v>
      </c>
      <c r="F1691" s="41" t="s">
        <v>2933</v>
      </c>
      <c r="G1691" s="41" t="s">
        <v>2934</v>
      </c>
    </row>
    <row r="1692" spans="1:7" x14ac:dyDescent="0.25">
      <c r="A1692" s="41" t="s">
        <v>4844</v>
      </c>
      <c r="B1692" s="41" t="s">
        <v>4836</v>
      </c>
      <c r="C1692" s="41" t="s">
        <v>2928</v>
      </c>
      <c r="D1692" s="41" t="s">
        <v>4835</v>
      </c>
      <c r="E1692" s="41" t="s">
        <v>2929</v>
      </c>
      <c r="F1692" s="41" t="s">
        <v>2930</v>
      </c>
      <c r="G1692" s="41" t="s">
        <v>2931</v>
      </c>
    </row>
    <row r="1693" spans="1:7" x14ac:dyDescent="0.25">
      <c r="A1693" s="41" t="s">
        <v>4845</v>
      </c>
      <c r="B1693" s="41" t="s">
        <v>4836</v>
      </c>
      <c r="C1693" s="41" t="s">
        <v>2928</v>
      </c>
      <c r="D1693" s="41" t="s">
        <v>4835</v>
      </c>
      <c r="E1693" s="41" t="s">
        <v>2929</v>
      </c>
      <c r="F1693" s="41" t="s">
        <v>2930</v>
      </c>
      <c r="G1693" s="41" t="s">
        <v>2931</v>
      </c>
    </row>
    <row r="1694" spans="1:7" x14ac:dyDescent="0.25">
      <c r="A1694" s="41" t="s">
        <v>4846</v>
      </c>
      <c r="B1694" s="41" t="s">
        <v>4836</v>
      </c>
      <c r="C1694" s="41" t="s">
        <v>2928</v>
      </c>
      <c r="D1694" s="41" t="s">
        <v>4835</v>
      </c>
      <c r="E1694" s="41" t="s">
        <v>2929</v>
      </c>
      <c r="F1694" s="41" t="s">
        <v>2930</v>
      </c>
      <c r="G1694" s="41" t="s">
        <v>2931</v>
      </c>
    </row>
    <row r="1695" spans="1:7" x14ac:dyDescent="0.25">
      <c r="A1695" s="41" t="s">
        <v>4847</v>
      </c>
      <c r="B1695" s="41" t="s">
        <v>4836</v>
      </c>
      <c r="C1695" s="41" t="s">
        <v>2928</v>
      </c>
      <c r="D1695" s="41" t="s">
        <v>4835</v>
      </c>
      <c r="E1695" s="41" t="s">
        <v>2929</v>
      </c>
      <c r="F1695" s="41" t="s">
        <v>2930</v>
      </c>
      <c r="G1695" s="41" t="s">
        <v>2931</v>
      </c>
    </row>
    <row r="1696" spans="1:7" x14ac:dyDescent="0.25">
      <c r="A1696" s="41" t="s">
        <v>4848</v>
      </c>
      <c r="B1696" s="41" t="s">
        <v>4836</v>
      </c>
      <c r="C1696" s="41" t="s">
        <v>2928</v>
      </c>
      <c r="D1696" s="41" t="s">
        <v>4835</v>
      </c>
      <c r="E1696" s="41" t="s">
        <v>2929</v>
      </c>
      <c r="F1696" s="41" t="s">
        <v>2930</v>
      </c>
      <c r="G1696" s="41" t="s">
        <v>2931</v>
      </c>
    </row>
    <row r="1697" spans="1:7" x14ac:dyDescent="0.25">
      <c r="A1697" s="41" t="s">
        <v>4849</v>
      </c>
      <c r="B1697" s="41" t="s">
        <v>4836</v>
      </c>
      <c r="C1697" s="41" t="s">
        <v>2928</v>
      </c>
      <c r="D1697" s="41" t="s">
        <v>4835</v>
      </c>
      <c r="E1697" s="41" t="s">
        <v>2929</v>
      </c>
      <c r="F1697" s="41" t="s">
        <v>2930</v>
      </c>
      <c r="G1697" s="41" t="s">
        <v>2931</v>
      </c>
    </row>
    <row r="1698" spans="1:7" x14ac:dyDescent="0.25">
      <c r="A1698" s="41" t="s">
        <v>4850</v>
      </c>
      <c r="B1698" s="41" t="s">
        <v>4836</v>
      </c>
      <c r="C1698" s="41" t="s">
        <v>2928</v>
      </c>
      <c r="D1698" s="41" t="s">
        <v>4835</v>
      </c>
      <c r="E1698" s="41" t="s">
        <v>2929</v>
      </c>
      <c r="F1698" s="41" t="s">
        <v>2930</v>
      </c>
      <c r="G1698" s="41" t="s">
        <v>2931</v>
      </c>
    </row>
    <row r="1699" spans="1:7" x14ac:dyDescent="0.25">
      <c r="A1699" s="41" t="s">
        <v>4851</v>
      </c>
      <c r="B1699" s="41" t="s">
        <v>4836</v>
      </c>
      <c r="C1699" s="41" t="s">
        <v>2928</v>
      </c>
      <c r="D1699" s="41" t="s">
        <v>4835</v>
      </c>
      <c r="E1699" s="41" t="s">
        <v>2929</v>
      </c>
      <c r="F1699" s="41" t="s">
        <v>2949</v>
      </c>
      <c r="G1699" s="41" t="s">
        <v>2950</v>
      </c>
    </row>
    <row r="1700" spans="1:7" x14ac:dyDescent="0.25">
      <c r="A1700" s="41" t="s">
        <v>4852</v>
      </c>
      <c r="B1700" s="41" t="s">
        <v>4836</v>
      </c>
      <c r="C1700" s="41" t="s">
        <v>2928</v>
      </c>
      <c r="D1700" s="41" t="s">
        <v>4835</v>
      </c>
      <c r="E1700" s="41" t="s">
        <v>2929</v>
      </c>
      <c r="F1700" s="41" t="s">
        <v>2949</v>
      </c>
      <c r="G1700" s="41" t="s">
        <v>2950</v>
      </c>
    </row>
    <row r="1701" spans="1:7" x14ac:dyDescent="0.25">
      <c r="A1701" s="41" t="s">
        <v>4853</v>
      </c>
      <c r="B1701" s="41" t="s">
        <v>4836</v>
      </c>
      <c r="C1701" s="41" t="s">
        <v>2928</v>
      </c>
      <c r="D1701" s="41" t="s">
        <v>4835</v>
      </c>
      <c r="E1701" s="41" t="s">
        <v>2929</v>
      </c>
      <c r="F1701" s="41" t="s">
        <v>2949</v>
      </c>
      <c r="G1701" s="41" t="s">
        <v>2950</v>
      </c>
    </row>
    <row r="1702" spans="1:7" x14ac:dyDescent="0.25">
      <c r="A1702" s="41" t="s">
        <v>4854</v>
      </c>
      <c r="B1702" s="41" t="s">
        <v>4836</v>
      </c>
      <c r="C1702" s="41" t="s">
        <v>2928</v>
      </c>
      <c r="D1702" s="41" t="s">
        <v>4835</v>
      </c>
      <c r="E1702" s="41" t="s">
        <v>2929</v>
      </c>
      <c r="F1702" s="41" t="s">
        <v>2949</v>
      </c>
      <c r="G1702" s="41" t="s">
        <v>2950</v>
      </c>
    </row>
    <row r="1703" spans="1:7" x14ac:dyDescent="0.25">
      <c r="A1703" s="41" t="s">
        <v>4855</v>
      </c>
      <c r="B1703" s="41" t="s">
        <v>4836</v>
      </c>
      <c r="C1703" s="41" t="s">
        <v>2928</v>
      </c>
      <c r="D1703" s="41" t="s">
        <v>4835</v>
      </c>
      <c r="E1703" s="41" t="s">
        <v>2929</v>
      </c>
      <c r="F1703" s="41" t="s">
        <v>2949</v>
      </c>
      <c r="G1703" s="41" t="s">
        <v>2950</v>
      </c>
    </row>
    <row r="1704" spans="1:7" x14ac:dyDescent="0.25">
      <c r="A1704" s="41" t="s">
        <v>4856</v>
      </c>
      <c r="B1704" s="41" t="s">
        <v>4836</v>
      </c>
      <c r="C1704" s="41" t="s">
        <v>2928</v>
      </c>
      <c r="D1704" s="41" t="s">
        <v>4835</v>
      </c>
      <c r="E1704" s="41" t="s">
        <v>2929</v>
      </c>
      <c r="F1704" s="41" t="s">
        <v>2949</v>
      </c>
      <c r="G1704" s="41" t="s">
        <v>2950</v>
      </c>
    </row>
    <row r="1705" spans="1:7" x14ac:dyDescent="0.25">
      <c r="A1705" s="41" t="s">
        <v>4857</v>
      </c>
      <c r="B1705" s="41" t="s">
        <v>4836</v>
      </c>
      <c r="C1705" s="41" t="s">
        <v>2928</v>
      </c>
      <c r="D1705" s="41" t="s">
        <v>4835</v>
      </c>
      <c r="E1705" s="41" t="s">
        <v>2929</v>
      </c>
      <c r="F1705" s="41" t="s">
        <v>2949</v>
      </c>
      <c r="G1705" s="41" t="s">
        <v>2950</v>
      </c>
    </row>
    <row r="1706" spans="1:7" x14ac:dyDescent="0.25">
      <c r="A1706" s="41" t="s">
        <v>4858</v>
      </c>
      <c r="B1706" s="41" t="s">
        <v>4859</v>
      </c>
      <c r="C1706" s="41" t="s">
        <v>2928</v>
      </c>
      <c r="D1706" s="41" t="s">
        <v>4858</v>
      </c>
      <c r="E1706" s="41" t="s">
        <v>2929</v>
      </c>
      <c r="F1706" s="41" t="s">
        <v>2930</v>
      </c>
      <c r="G1706" s="41" t="s">
        <v>2931</v>
      </c>
    </row>
    <row r="1707" spans="1:7" x14ac:dyDescent="0.25">
      <c r="A1707" s="41" t="s">
        <v>4860</v>
      </c>
      <c r="B1707" s="41" t="s">
        <v>4859</v>
      </c>
      <c r="C1707" s="41" t="s">
        <v>2928</v>
      </c>
      <c r="D1707" s="41" t="s">
        <v>4858</v>
      </c>
      <c r="E1707" s="41" t="s">
        <v>2929</v>
      </c>
      <c r="F1707" s="41" t="s">
        <v>2933</v>
      </c>
      <c r="G1707" s="41" t="s">
        <v>2934</v>
      </c>
    </row>
    <row r="1708" spans="1:7" x14ac:dyDescent="0.25">
      <c r="A1708" s="41" t="s">
        <v>4861</v>
      </c>
      <c r="B1708" s="41" t="s">
        <v>4859</v>
      </c>
      <c r="C1708" s="41" t="s">
        <v>2928</v>
      </c>
      <c r="D1708" s="41" t="s">
        <v>4858</v>
      </c>
      <c r="E1708" s="41" t="s">
        <v>2929</v>
      </c>
      <c r="F1708" s="41" t="s">
        <v>2933</v>
      </c>
      <c r="G1708" s="41" t="s">
        <v>2934</v>
      </c>
    </row>
    <row r="1709" spans="1:7" x14ac:dyDescent="0.25">
      <c r="A1709" s="41" t="s">
        <v>4862</v>
      </c>
      <c r="B1709" s="41" t="s">
        <v>4859</v>
      </c>
      <c r="C1709" s="41" t="s">
        <v>2928</v>
      </c>
      <c r="D1709" s="41" t="s">
        <v>4858</v>
      </c>
      <c r="E1709" s="41" t="s">
        <v>2929</v>
      </c>
      <c r="F1709" s="41" t="s">
        <v>2933</v>
      </c>
      <c r="G1709" s="41" t="s">
        <v>2934</v>
      </c>
    </row>
    <row r="1710" spans="1:7" x14ac:dyDescent="0.25">
      <c r="A1710" s="41" t="s">
        <v>4863</v>
      </c>
      <c r="B1710" s="41" t="s">
        <v>4859</v>
      </c>
      <c r="C1710" s="41" t="s">
        <v>2928</v>
      </c>
      <c r="D1710" s="41" t="s">
        <v>4858</v>
      </c>
      <c r="E1710" s="41" t="s">
        <v>2929</v>
      </c>
      <c r="F1710" s="41" t="s">
        <v>2933</v>
      </c>
      <c r="G1710" s="41" t="s">
        <v>2934</v>
      </c>
    </row>
    <row r="1711" spans="1:7" x14ac:dyDescent="0.25">
      <c r="A1711" s="41" t="s">
        <v>4864</v>
      </c>
      <c r="B1711" s="41" t="s">
        <v>4859</v>
      </c>
      <c r="C1711" s="41" t="s">
        <v>2928</v>
      </c>
      <c r="D1711" s="41" t="s">
        <v>4858</v>
      </c>
      <c r="E1711" s="41" t="s">
        <v>2929</v>
      </c>
      <c r="F1711" s="41" t="s">
        <v>2933</v>
      </c>
      <c r="G1711" s="41" t="s">
        <v>2934</v>
      </c>
    </row>
    <row r="1712" spans="1:7" x14ac:dyDescent="0.25">
      <c r="A1712" s="41" t="s">
        <v>4865</v>
      </c>
      <c r="B1712" s="41" t="s">
        <v>4859</v>
      </c>
      <c r="C1712" s="41" t="s">
        <v>2928</v>
      </c>
      <c r="D1712" s="41" t="s">
        <v>4858</v>
      </c>
      <c r="E1712" s="41" t="s">
        <v>2929</v>
      </c>
      <c r="F1712" s="41" t="s">
        <v>2933</v>
      </c>
      <c r="G1712" s="41" t="s">
        <v>2934</v>
      </c>
    </row>
    <row r="1713" spans="1:7" x14ac:dyDescent="0.25">
      <c r="A1713" s="41" t="s">
        <v>4866</v>
      </c>
      <c r="B1713" s="41" t="s">
        <v>4859</v>
      </c>
      <c r="C1713" s="41" t="s">
        <v>2928</v>
      </c>
      <c r="D1713" s="41" t="s">
        <v>4858</v>
      </c>
      <c r="E1713" s="41" t="s">
        <v>2929</v>
      </c>
      <c r="F1713" s="41" t="s">
        <v>2933</v>
      </c>
      <c r="G1713" s="41" t="s">
        <v>2934</v>
      </c>
    </row>
    <row r="1714" spans="1:7" x14ac:dyDescent="0.25">
      <c r="A1714" s="41" t="s">
        <v>4867</v>
      </c>
      <c r="B1714" s="41" t="s">
        <v>4859</v>
      </c>
      <c r="C1714" s="41" t="s">
        <v>2928</v>
      </c>
      <c r="D1714" s="41" t="s">
        <v>4858</v>
      </c>
      <c r="E1714" s="41" t="s">
        <v>2929</v>
      </c>
      <c r="F1714" s="41" t="s">
        <v>2930</v>
      </c>
      <c r="G1714" s="41" t="s">
        <v>2931</v>
      </c>
    </row>
    <row r="1715" spans="1:7" x14ac:dyDescent="0.25">
      <c r="A1715" s="41" t="s">
        <v>4868</v>
      </c>
      <c r="B1715" s="41" t="s">
        <v>4859</v>
      </c>
      <c r="C1715" s="41" t="s">
        <v>2928</v>
      </c>
      <c r="D1715" s="41" t="s">
        <v>4858</v>
      </c>
      <c r="E1715" s="41" t="s">
        <v>2929</v>
      </c>
      <c r="F1715" s="41" t="s">
        <v>2930</v>
      </c>
      <c r="G1715" s="41" t="s">
        <v>2931</v>
      </c>
    </row>
    <row r="1716" spans="1:7" x14ac:dyDescent="0.25">
      <c r="A1716" s="41" t="s">
        <v>4869</v>
      </c>
      <c r="B1716" s="41" t="s">
        <v>4859</v>
      </c>
      <c r="C1716" s="41" t="s">
        <v>2928</v>
      </c>
      <c r="D1716" s="41" t="s">
        <v>4858</v>
      </c>
      <c r="E1716" s="41" t="s">
        <v>2929</v>
      </c>
      <c r="F1716" s="41" t="s">
        <v>2930</v>
      </c>
      <c r="G1716" s="41" t="s">
        <v>2931</v>
      </c>
    </row>
    <row r="1717" spans="1:7" x14ac:dyDescent="0.25">
      <c r="A1717" s="41" t="s">
        <v>4870</v>
      </c>
      <c r="B1717" s="41" t="s">
        <v>4859</v>
      </c>
      <c r="C1717" s="41" t="s">
        <v>2928</v>
      </c>
      <c r="D1717" s="41" t="s">
        <v>4858</v>
      </c>
      <c r="E1717" s="41" t="s">
        <v>2929</v>
      </c>
      <c r="F1717" s="41" t="s">
        <v>2930</v>
      </c>
      <c r="G1717" s="41" t="s">
        <v>2931</v>
      </c>
    </row>
    <row r="1718" spans="1:7" x14ac:dyDescent="0.25">
      <c r="A1718" s="41" t="s">
        <v>4871</v>
      </c>
      <c r="B1718" s="41" t="s">
        <v>4859</v>
      </c>
      <c r="C1718" s="41" t="s">
        <v>2928</v>
      </c>
      <c r="D1718" s="41" t="s">
        <v>4858</v>
      </c>
      <c r="E1718" s="41" t="s">
        <v>2929</v>
      </c>
      <c r="F1718" s="41" t="s">
        <v>2930</v>
      </c>
      <c r="G1718" s="41" t="s">
        <v>2931</v>
      </c>
    </row>
    <row r="1719" spans="1:7" x14ac:dyDescent="0.25">
      <c r="A1719" s="41" t="s">
        <v>4872</v>
      </c>
      <c r="B1719" s="41" t="s">
        <v>4859</v>
      </c>
      <c r="C1719" s="41" t="s">
        <v>2928</v>
      </c>
      <c r="D1719" s="41" t="s">
        <v>4858</v>
      </c>
      <c r="E1719" s="41" t="s">
        <v>2929</v>
      </c>
      <c r="F1719" s="41" t="s">
        <v>2930</v>
      </c>
      <c r="G1719" s="41" t="s">
        <v>2931</v>
      </c>
    </row>
    <row r="1720" spans="1:7" x14ac:dyDescent="0.25">
      <c r="A1720" s="41" t="s">
        <v>4873</v>
      </c>
      <c r="B1720" s="41" t="s">
        <v>4859</v>
      </c>
      <c r="C1720" s="41" t="s">
        <v>2928</v>
      </c>
      <c r="D1720" s="41" t="s">
        <v>4858</v>
      </c>
      <c r="E1720" s="41" t="s">
        <v>2929</v>
      </c>
      <c r="F1720" s="41" t="s">
        <v>2930</v>
      </c>
      <c r="G1720" s="41" t="s">
        <v>2931</v>
      </c>
    </row>
    <row r="1721" spans="1:7" x14ac:dyDescent="0.25">
      <c r="A1721" s="41" t="s">
        <v>4874</v>
      </c>
      <c r="B1721" s="41" t="s">
        <v>4859</v>
      </c>
      <c r="C1721" s="41" t="s">
        <v>2928</v>
      </c>
      <c r="D1721" s="41" t="s">
        <v>4858</v>
      </c>
      <c r="E1721" s="41" t="s">
        <v>2929</v>
      </c>
      <c r="F1721" s="41" t="s">
        <v>2949</v>
      </c>
      <c r="G1721" s="41" t="s">
        <v>2950</v>
      </c>
    </row>
    <row r="1722" spans="1:7" x14ac:dyDescent="0.25">
      <c r="A1722" s="41" t="s">
        <v>4875</v>
      </c>
      <c r="B1722" s="41" t="s">
        <v>4859</v>
      </c>
      <c r="C1722" s="41" t="s">
        <v>2928</v>
      </c>
      <c r="D1722" s="41" t="s">
        <v>4858</v>
      </c>
      <c r="E1722" s="41" t="s">
        <v>2929</v>
      </c>
      <c r="F1722" s="41" t="s">
        <v>2949</v>
      </c>
      <c r="G1722" s="41" t="s">
        <v>2950</v>
      </c>
    </row>
    <row r="1723" spans="1:7" x14ac:dyDescent="0.25">
      <c r="A1723" s="41" t="s">
        <v>4876</v>
      </c>
      <c r="B1723" s="41" t="s">
        <v>4859</v>
      </c>
      <c r="C1723" s="41" t="s">
        <v>2928</v>
      </c>
      <c r="D1723" s="41" t="s">
        <v>4858</v>
      </c>
      <c r="E1723" s="41" t="s">
        <v>2929</v>
      </c>
      <c r="F1723" s="41" t="s">
        <v>2949</v>
      </c>
      <c r="G1723" s="41" t="s">
        <v>2950</v>
      </c>
    </row>
    <row r="1724" spans="1:7" x14ac:dyDescent="0.25">
      <c r="A1724" s="41" t="s">
        <v>4877</v>
      </c>
      <c r="B1724" s="41" t="s">
        <v>4859</v>
      </c>
      <c r="C1724" s="41" t="s">
        <v>2928</v>
      </c>
      <c r="D1724" s="41" t="s">
        <v>4858</v>
      </c>
      <c r="E1724" s="41" t="s">
        <v>2929</v>
      </c>
      <c r="F1724" s="41" t="s">
        <v>2949</v>
      </c>
      <c r="G1724" s="41" t="s">
        <v>2950</v>
      </c>
    </row>
    <row r="1725" spans="1:7" x14ac:dyDescent="0.25">
      <c r="A1725" s="41" t="s">
        <v>4878</v>
      </c>
      <c r="B1725" s="41" t="s">
        <v>4859</v>
      </c>
      <c r="C1725" s="41" t="s">
        <v>2928</v>
      </c>
      <c r="D1725" s="41" t="s">
        <v>4858</v>
      </c>
      <c r="E1725" s="41" t="s">
        <v>2929</v>
      </c>
      <c r="F1725" s="41" t="s">
        <v>2949</v>
      </c>
      <c r="G1725" s="41" t="s">
        <v>2950</v>
      </c>
    </row>
    <row r="1726" spans="1:7" x14ac:dyDescent="0.25">
      <c r="A1726" s="41" t="s">
        <v>4879</v>
      </c>
      <c r="B1726" s="41" t="s">
        <v>4859</v>
      </c>
      <c r="C1726" s="41" t="s">
        <v>2928</v>
      </c>
      <c r="D1726" s="41" t="s">
        <v>4858</v>
      </c>
      <c r="E1726" s="41" t="s">
        <v>2929</v>
      </c>
      <c r="F1726" s="41" t="s">
        <v>2949</v>
      </c>
      <c r="G1726" s="41" t="s">
        <v>2950</v>
      </c>
    </row>
    <row r="1727" spans="1:7" x14ac:dyDescent="0.25">
      <c r="A1727" s="41" t="s">
        <v>4880</v>
      </c>
      <c r="B1727" s="41" t="s">
        <v>4859</v>
      </c>
      <c r="C1727" s="41" t="s">
        <v>2928</v>
      </c>
      <c r="D1727" s="41" t="s">
        <v>4858</v>
      </c>
      <c r="E1727" s="41" t="s">
        <v>2929</v>
      </c>
      <c r="F1727" s="41" t="s">
        <v>2949</v>
      </c>
      <c r="G1727" s="41" t="s">
        <v>2950</v>
      </c>
    </row>
    <row r="1728" spans="1:7" x14ac:dyDescent="0.25">
      <c r="A1728" s="41" t="s">
        <v>4881</v>
      </c>
      <c r="B1728" s="41" t="s">
        <v>4882</v>
      </c>
      <c r="C1728" s="41" t="s">
        <v>2928</v>
      </c>
      <c r="D1728" s="41" t="s">
        <v>4881</v>
      </c>
      <c r="E1728" s="41" t="s">
        <v>2929</v>
      </c>
      <c r="F1728" s="41" t="s">
        <v>2930</v>
      </c>
      <c r="G1728" s="41" t="s">
        <v>2931</v>
      </c>
    </row>
    <row r="1729" spans="1:7" x14ac:dyDescent="0.25">
      <c r="A1729" s="41" t="s">
        <v>4883</v>
      </c>
      <c r="B1729" s="41" t="s">
        <v>4882</v>
      </c>
      <c r="C1729" s="41" t="s">
        <v>2928</v>
      </c>
      <c r="D1729" s="41" t="s">
        <v>4881</v>
      </c>
      <c r="E1729" s="41" t="s">
        <v>2929</v>
      </c>
      <c r="F1729" s="41" t="s">
        <v>2933</v>
      </c>
      <c r="G1729" s="41" t="s">
        <v>2934</v>
      </c>
    </row>
    <row r="1730" spans="1:7" x14ac:dyDescent="0.25">
      <c r="A1730" s="41" t="s">
        <v>4884</v>
      </c>
      <c r="B1730" s="41" t="s">
        <v>4882</v>
      </c>
      <c r="C1730" s="41" t="s">
        <v>2928</v>
      </c>
      <c r="D1730" s="41" t="s">
        <v>4881</v>
      </c>
      <c r="E1730" s="41" t="s">
        <v>2929</v>
      </c>
      <c r="F1730" s="41" t="s">
        <v>2949</v>
      </c>
      <c r="G1730" s="41" t="s">
        <v>2950</v>
      </c>
    </row>
    <row r="1731" spans="1:7" x14ac:dyDescent="0.25">
      <c r="A1731" s="41" t="s">
        <v>4885</v>
      </c>
      <c r="B1731" s="41" t="s">
        <v>4886</v>
      </c>
      <c r="C1731" s="41" t="s">
        <v>2928</v>
      </c>
      <c r="D1731" s="41" t="s">
        <v>4885</v>
      </c>
      <c r="E1731" s="41" t="s">
        <v>2929</v>
      </c>
      <c r="F1731" s="41" t="s">
        <v>2930</v>
      </c>
      <c r="G1731" s="41" t="s">
        <v>2931</v>
      </c>
    </row>
    <row r="1732" spans="1:7" x14ac:dyDescent="0.25">
      <c r="A1732" s="41" t="s">
        <v>4887</v>
      </c>
      <c r="B1732" s="41" t="s">
        <v>4886</v>
      </c>
      <c r="C1732" s="41" t="s">
        <v>2928</v>
      </c>
      <c r="D1732" s="41" t="s">
        <v>4885</v>
      </c>
      <c r="E1732" s="41" t="s">
        <v>2929</v>
      </c>
      <c r="F1732" s="41" t="s">
        <v>2933</v>
      </c>
      <c r="G1732" s="41" t="s">
        <v>2934</v>
      </c>
    </row>
    <row r="1733" spans="1:7" x14ac:dyDescent="0.25">
      <c r="A1733" s="41" t="s">
        <v>4888</v>
      </c>
      <c r="B1733" s="41" t="s">
        <v>4886</v>
      </c>
      <c r="C1733" s="41" t="s">
        <v>2928</v>
      </c>
      <c r="D1733" s="41" t="s">
        <v>4885</v>
      </c>
      <c r="E1733" s="41" t="s">
        <v>2929</v>
      </c>
      <c r="F1733" s="41" t="s">
        <v>2949</v>
      </c>
      <c r="G1733" s="41" t="s">
        <v>2950</v>
      </c>
    </row>
    <row r="1734" spans="1:7" x14ac:dyDescent="0.25">
      <c r="A1734" s="41" t="s">
        <v>4889</v>
      </c>
      <c r="B1734" s="41" t="s">
        <v>1158</v>
      </c>
      <c r="C1734" s="41" t="s">
        <v>2928</v>
      </c>
      <c r="D1734" s="41" t="s">
        <v>4889</v>
      </c>
      <c r="E1734" s="41" t="s">
        <v>2929</v>
      </c>
      <c r="F1734" s="41" t="s">
        <v>2930</v>
      </c>
      <c r="G1734" s="41" t="s">
        <v>2931</v>
      </c>
    </row>
    <row r="1735" spans="1:7" x14ac:dyDescent="0.25">
      <c r="A1735" s="41" t="s">
        <v>4890</v>
      </c>
      <c r="B1735" s="41" t="s">
        <v>1158</v>
      </c>
      <c r="C1735" s="41" t="s">
        <v>2928</v>
      </c>
      <c r="D1735" s="41" t="s">
        <v>4889</v>
      </c>
      <c r="E1735" s="41" t="s">
        <v>2929</v>
      </c>
      <c r="F1735" s="41" t="s">
        <v>2949</v>
      </c>
      <c r="G1735" s="41" t="s">
        <v>2950</v>
      </c>
    </row>
    <row r="1736" spans="1:7" x14ac:dyDescent="0.25">
      <c r="A1736" s="41" t="s">
        <v>4891</v>
      </c>
      <c r="B1736" s="41" t="s">
        <v>262</v>
      </c>
      <c r="C1736" s="41" t="s">
        <v>2928</v>
      </c>
      <c r="D1736" s="41" t="s">
        <v>4891</v>
      </c>
      <c r="E1736" s="41" t="s">
        <v>2929</v>
      </c>
      <c r="F1736" s="41" t="s">
        <v>2930</v>
      </c>
      <c r="G1736" s="41" t="s">
        <v>2931</v>
      </c>
    </row>
    <row r="1737" spans="1:7" x14ac:dyDescent="0.25">
      <c r="A1737" s="41" t="s">
        <v>4892</v>
      </c>
      <c r="B1737" s="41" t="s">
        <v>262</v>
      </c>
      <c r="C1737" s="41" t="s">
        <v>2928</v>
      </c>
      <c r="D1737" s="41" t="s">
        <v>4891</v>
      </c>
      <c r="E1737" s="41" t="s">
        <v>2929</v>
      </c>
      <c r="F1737" s="41" t="s">
        <v>2933</v>
      </c>
      <c r="G1737" s="41" t="s">
        <v>2934</v>
      </c>
    </row>
    <row r="1738" spans="1:7" x14ac:dyDescent="0.25">
      <c r="A1738" s="41" t="s">
        <v>4893</v>
      </c>
      <c r="B1738" s="41" t="s">
        <v>262</v>
      </c>
      <c r="C1738" s="41" t="s">
        <v>2928</v>
      </c>
      <c r="D1738" s="41" t="s">
        <v>4891</v>
      </c>
      <c r="E1738" s="41" t="s">
        <v>2929</v>
      </c>
      <c r="F1738" s="41" t="s">
        <v>2933</v>
      </c>
      <c r="G1738" s="41" t="s">
        <v>2934</v>
      </c>
    </row>
    <row r="1739" spans="1:7" x14ac:dyDescent="0.25">
      <c r="A1739" s="41" t="s">
        <v>4894</v>
      </c>
      <c r="B1739" s="41" t="s">
        <v>262</v>
      </c>
      <c r="C1739" s="41" t="s">
        <v>2928</v>
      </c>
      <c r="D1739" s="41" t="s">
        <v>4891</v>
      </c>
      <c r="E1739" s="41" t="s">
        <v>2929</v>
      </c>
      <c r="F1739" s="41" t="s">
        <v>2933</v>
      </c>
      <c r="G1739" s="41" t="s">
        <v>2934</v>
      </c>
    </row>
    <row r="1740" spans="1:7" x14ac:dyDescent="0.25">
      <c r="A1740" s="41" t="s">
        <v>4895</v>
      </c>
      <c r="B1740" s="41" t="s">
        <v>262</v>
      </c>
      <c r="C1740" s="41" t="s">
        <v>2928</v>
      </c>
      <c r="D1740" s="41" t="s">
        <v>4891</v>
      </c>
      <c r="E1740" s="41" t="s">
        <v>2929</v>
      </c>
      <c r="F1740" s="41" t="s">
        <v>2933</v>
      </c>
      <c r="G1740" s="41" t="s">
        <v>2934</v>
      </c>
    </row>
    <row r="1741" spans="1:7" x14ac:dyDescent="0.25">
      <c r="A1741" s="41" t="s">
        <v>4896</v>
      </c>
      <c r="B1741" s="41" t="s">
        <v>262</v>
      </c>
      <c r="C1741" s="41" t="s">
        <v>2928</v>
      </c>
      <c r="D1741" s="41" t="s">
        <v>4891</v>
      </c>
      <c r="E1741" s="41" t="s">
        <v>2929</v>
      </c>
      <c r="F1741" s="41" t="s">
        <v>2933</v>
      </c>
      <c r="G1741" s="41" t="s">
        <v>2934</v>
      </c>
    </row>
    <row r="1742" spans="1:7" x14ac:dyDescent="0.25">
      <c r="A1742" s="41" t="s">
        <v>4897</v>
      </c>
      <c r="B1742" s="41" t="s">
        <v>262</v>
      </c>
      <c r="C1742" s="41" t="s">
        <v>2928</v>
      </c>
      <c r="D1742" s="41" t="s">
        <v>4891</v>
      </c>
      <c r="E1742" s="41" t="s">
        <v>2929</v>
      </c>
      <c r="F1742" s="41" t="s">
        <v>2933</v>
      </c>
      <c r="G1742" s="41" t="s">
        <v>2934</v>
      </c>
    </row>
    <row r="1743" spans="1:7" x14ac:dyDescent="0.25">
      <c r="A1743" s="41" t="s">
        <v>4898</v>
      </c>
      <c r="B1743" s="41" t="s">
        <v>262</v>
      </c>
      <c r="C1743" s="41" t="s">
        <v>2928</v>
      </c>
      <c r="D1743" s="41" t="s">
        <v>4891</v>
      </c>
      <c r="E1743" s="41" t="s">
        <v>2929</v>
      </c>
      <c r="F1743" s="41" t="s">
        <v>2933</v>
      </c>
      <c r="G1743" s="41" t="s">
        <v>2934</v>
      </c>
    </row>
    <row r="1744" spans="1:7" x14ac:dyDescent="0.25">
      <c r="A1744" s="41" t="s">
        <v>4899</v>
      </c>
      <c r="B1744" s="41" t="s">
        <v>262</v>
      </c>
      <c r="C1744" s="41" t="s">
        <v>2928</v>
      </c>
      <c r="D1744" s="41" t="s">
        <v>4891</v>
      </c>
      <c r="E1744" s="41" t="s">
        <v>2929</v>
      </c>
      <c r="F1744" s="41" t="s">
        <v>2930</v>
      </c>
      <c r="G1744" s="41" t="s">
        <v>2931</v>
      </c>
    </row>
    <row r="1745" spans="1:7" x14ac:dyDescent="0.25">
      <c r="A1745" s="41" t="s">
        <v>4900</v>
      </c>
      <c r="B1745" s="41" t="s">
        <v>262</v>
      </c>
      <c r="C1745" s="41" t="s">
        <v>2928</v>
      </c>
      <c r="D1745" s="41" t="s">
        <v>4891</v>
      </c>
      <c r="E1745" s="41" t="s">
        <v>2929</v>
      </c>
      <c r="F1745" s="41" t="s">
        <v>2930</v>
      </c>
      <c r="G1745" s="41" t="s">
        <v>2931</v>
      </c>
    </row>
    <row r="1746" spans="1:7" x14ac:dyDescent="0.25">
      <c r="A1746" s="41" t="s">
        <v>4901</v>
      </c>
      <c r="B1746" s="41" t="s">
        <v>262</v>
      </c>
      <c r="C1746" s="41" t="s">
        <v>2928</v>
      </c>
      <c r="D1746" s="41" t="s">
        <v>4891</v>
      </c>
      <c r="E1746" s="41" t="s">
        <v>2929</v>
      </c>
      <c r="F1746" s="41" t="s">
        <v>2930</v>
      </c>
      <c r="G1746" s="41" t="s">
        <v>2931</v>
      </c>
    </row>
    <row r="1747" spans="1:7" x14ac:dyDescent="0.25">
      <c r="A1747" s="41" t="s">
        <v>4902</v>
      </c>
      <c r="B1747" s="41" t="s">
        <v>262</v>
      </c>
      <c r="C1747" s="41" t="s">
        <v>2928</v>
      </c>
      <c r="D1747" s="41" t="s">
        <v>4891</v>
      </c>
      <c r="E1747" s="41" t="s">
        <v>2929</v>
      </c>
      <c r="F1747" s="41" t="s">
        <v>2930</v>
      </c>
      <c r="G1747" s="41" t="s">
        <v>2931</v>
      </c>
    </row>
    <row r="1748" spans="1:7" x14ac:dyDescent="0.25">
      <c r="A1748" s="41" t="s">
        <v>4903</v>
      </c>
      <c r="B1748" s="41" t="s">
        <v>262</v>
      </c>
      <c r="C1748" s="41" t="s">
        <v>2928</v>
      </c>
      <c r="D1748" s="41" t="s">
        <v>4891</v>
      </c>
      <c r="E1748" s="41" t="s">
        <v>2929</v>
      </c>
      <c r="F1748" s="41" t="s">
        <v>2930</v>
      </c>
      <c r="G1748" s="41" t="s">
        <v>2931</v>
      </c>
    </row>
    <row r="1749" spans="1:7" x14ac:dyDescent="0.25">
      <c r="A1749" s="41" t="s">
        <v>4904</v>
      </c>
      <c r="B1749" s="41" t="s">
        <v>262</v>
      </c>
      <c r="C1749" s="41" t="s">
        <v>2928</v>
      </c>
      <c r="D1749" s="41" t="s">
        <v>4891</v>
      </c>
      <c r="E1749" s="41" t="s">
        <v>2929</v>
      </c>
      <c r="F1749" s="41" t="s">
        <v>2930</v>
      </c>
      <c r="G1749" s="41" t="s">
        <v>2931</v>
      </c>
    </row>
    <row r="1750" spans="1:7" x14ac:dyDescent="0.25">
      <c r="A1750" s="41" t="s">
        <v>4905</v>
      </c>
      <c r="B1750" s="41" t="s">
        <v>262</v>
      </c>
      <c r="C1750" s="41" t="s">
        <v>2928</v>
      </c>
      <c r="D1750" s="41" t="s">
        <v>4891</v>
      </c>
      <c r="E1750" s="41" t="s">
        <v>2929</v>
      </c>
      <c r="F1750" s="41" t="s">
        <v>2930</v>
      </c>
      <c r="G1750" s="41" t="s">
        <v>2931</v>
      </c>
    </row>
    <row r="1751" spans="1:7" x14ac:dyDescent="0.25">
      <c r="A1751" s="41" t="s">
        <v>4906</v>
      </c>
      <c r="B1751" s="41" t="s">
        <v>262</v>
      </c>
      <c r="C1751" s="41" t="s">
        <v>2928</v>
      </c>
      <c r="D1751" s="41" t="s">
        <v>4891</v>
      </c>
      <c r="E1751" s="41" t="s">
        <v>2929</v>
      </c>
      <c r="F1751" s="41" t="s">
        <v>2949</v>
      </c>
      <c r="G1751" s="41" t="s">
        <v>2950</v>
      </c>
    </row>
    <row r="1752" spans="1:7" x14ac:dyDescent="0.25">
      <c r="A1752" s="41" t="s">
        <v>4907</v>
      </c>
      <c r="B1752" s="41" t="s">
        <v>262</v>
      </c>
      <c r="C1752" s="41" t="s">
        <v>2928</v>
      </c>
      <c r="D1752" s="41" t="s">
        <v>4891</v>
      </c>
      <c r="E1752" s="41" t="s">
        <v>2929</v>
      </c>
      <c r="F1752" s="41" t="s">
        <v>2949</v>
      </c>
      <c r="G1752" s="41" t="s">
        <v>2950</v>
      </c>
    </row>
    <row r="1753" spans="1:7" x14ac:dyDescent="0.25">
      <c r="A1753" s="41" t="s">
        <v>4908</v>
      </c>
      <c r="B1753" s="41" t="s">
        <v>262</v>
      </c>
      <c r="C1753" s="41" t="s">
        <v>2928</v>
      </c>
      <c r="D1753" s="41" t="s">
        <v>4891</v>
      </c>
      <c r="E1753" s="41" t="s">
        <v>2929</v>
      </c>
      <c r="F1753" s="41" t="s">
        <v>2949</v>
      </c>
      <c r="G1753" s="41" t="s">
        <v>2950</v>
      </c>
    </row>
    <row r="1754" spans="1:7" x14ac:dyDescent="0.25">
      <c r="A1754" s="41" t="s">
        <v>4909</v>
      </c>
      <c r="B1754" s="41" t="s">
        <v>262</v>
      </c>
      <c r="C1754" s="41" t="s">
        <v>2928</v>
      </c>
      <c r="D1754" s="41" t="s">
        <v>4891</v>
      </c>
      <c r="E1754" s="41" t="s">
        <v>2929</v>
      </c>
      <c r="F1754" s="41" t="s">
        <v>2949</v>
      </c>
      <c r="G1754" s="41" t="s">
        <v>2950</v>
      </c>
    </row>
    <row r="1755" spans="1:7" x14ac:dyDescent="0.25">
      <c r="A1755" s="41" t="s">
        <v>4910</v>
      </c>
      <c r="B1755" s="41" t="s">
        <v>262</v>
      </c>
      <c r="C1755" s="41" t="s">
        <v>2928</v>
      </c>
      <c r="D1755" s="41" t="s">
        <v>4891</v>
      </c>
      <c r="E1755" s="41" t="s">
        <v>2929</v>
      </c>
      <c r="F1755" s="41" t="s">
        <v>2949</v>
      </c>
      <c r="G1755" s="41" t="s">
        <v>2950</v>
      </c>
    </row>
    <row r="1756" spans="1:7" x14ac:dyDescent="0.25">
      <c r="A1756" s="41" t="s">
        <v>4911</v>
      </c>
      <c r="B1756" s="41" t="s">
        <v>262</v>
      </c>
      <c r="C1756" s="41" t="s">
        <v>2928</v>
      </c>
      <c r="D1756" s="41" t="s">
        <v>4891</v>
      </c>
      <c r="E1756" s="41" t="s">
        <v>2929</v>
      </c>
      <c r="F1756" s="41" t="s">
        <v>2949</v>
      </c>
      <c r="G1756" s="41" t="s">
        <v>2950</v>
      </c>
    </row>
    <row r="1757" spans="1:7" x14ac:dyDescent="0.25">
      <c r="A1757" s="41" t="s">
        <v>4912</v>
      </c>
      <c r="B1757" s="41" t="s">
        <v>262</v>
      </c>
      <c r="C1757" s="41" t="s">
        <v>2928</v>
      </c>
      <c r="D1757" s="41" t="s">
        <v>4891</v>
      </c>
      <c r="E1757" s="41" t="s">
        <v>2929</v>
      </c>
      <c r="F1757" s="41" t="s">
        <v>2949</v>
      </c>
      <c r="G1757" s="41" t="s">
        <v>2950</v>
      </c>
    </row>
    <row r="1758" spans="1:7" x14ac:dyDescent="0.25">
      <c r="A1758" s="41" t="s">
        <v>4913</v>
      </c>
      <c r="B1758" s="41" t="s">
        <v>4914</v>
      </c>
      <c r="C1758" s="41" t="s">
        <v>2928</v>
      </c>
      <c r="D1758" s="41" t="s">
        <v>4913</v>
      </c>
      <c r="E1758" s="41" t="s">
        <v>2929</v>
      </c>
      <c r="F1758" s="41" t="s">
        <v>2930</v>
      </c>
      <c r="G1758" s="41" t="s">
        <v>2931</v>
      </c>
    </row>
    <row r="1759" spans="1:7" x14ac:dyDescent="0.25">
      <c r="A1759" s="41" t="s">
        <v>4915</v>
      </c>
      <c r="B1759" s="41" t="s">
        <v>4914</v>
      </c>
      <c r="C1759" s="41" t="s">
        <v>2928</v>
      </c>
      <c r="D1759" s="41" t="s">
        <v>4913</v>
      </c>
      <c r="E1759" s="41" t="s">
        <v>2929</v>
      </c>
      <c r="F1759" s="41" t="s">
        <v>2933</v>
      </c>
      <c r="G1759" s="41" t="s">
        <v>2934</v>
      </c>
    </row>
    <row r="1760" spans="1:7" x14ac:dyDescent="0.25">
      <c r="A1760" s="41" t="s">
        <v>4916</v>
      </c>
      <c r="B1760" s="41" t="s">
        <v>4914</v>
      </c>
      <c r="C1760" s="41" t="s">
        <v>2928</v>
      </c>
      <c r="D1760" s="41" t="s">
        <v>4913</v>
      </c>
      <c r="E1760" s="41" t="s">
        <v>2929</v>
      </c>
      <c r="F1760" s="41" t="s">
        <v>2933</v>
      </c>
      <c r="G1760" s="41" t="s">
        <v>2934</v>
      </c>
    </row>
    <row r="1761" spans="1:7" x14ac:dyDescent="0.25">
      <c r="A1761" s="41" t="s">
        <v>4917</v>
      </c>
      <c r="B1761" s="41" t="s">
        <v>4914</v>
      </c>
      <c r="C1761" s="41" t="s">
        <v>2928</v>
      </c>
      <c r="D1761" s="41" t="s">
        <v>4913</v>
      </c>
      <c r="E1761" s="41" t="s">
        <v>2929</v>
      </c>
      <c r="F1761" s="41" t="s">
        <v>2933</v>
      </c>
      <c r="G1761" s="41" t="s">
        <v>2934</v>
      </c>
    </row>
    <row r="1762" spans="1:7" x14ac:dyDescent="0.25">
      <c r="A1762" s="41" t="s">
        <v>4918</v>
      </c>
      <c r="B1762" s="41" t="s">
        <v>4914</v>
      </c>
      <c r="C1762" s="41" t="s">
        <v>2928</v>
      </c>
      <c r="D1762" s="41" t="s">
        <v>4913</v>
      </c>
      <c r="E1762" s="41" t="s">
        <v>2929</v>
      </c>
      <c r="F1762" s="41" t="s">
        <v>2933</v>
      </c>
      <c r="G1762" s="41" t="s">
        <v>2934</v>
      </c>
    </row>
    <row r="1763" spans="1:7" x14ac:dyDescent="0.25">
      <c r="A1763" s="41" t="s">
        <v>4919</v>
      </c>
      <c r="B1763" s="41" t="s">
        <v>4914</v>
      </c>
      <c r="C1763" s="41" t="s">
        <v>2928</v>
      </c>
      <c r="D1763" s="41" t="s">
        <v>4913</v>
      </c>
      <c r="E1763" s="41" t="s">
        <v>2929</v>
      </c>
      <c r="F1763" s="41" t="s">
        <v>2933</v>
      </c>
      <c r="G1763" s="41" t="s">
        <v>2934</v>
      </c>
    </row>
    <row r="1764" spans="1:7" x14ac:dyDescent="0.25">
      <c r="A1764" s="41" t="s">
        <v>4920</v>
      </c>
      <c r="B1764" s="41" t="s">
        <v>4914</v>
      </c>
      <c r="C1764" s="41" t="s">
        <v>2928</v>
      </c>
      <c r="D1764" s="41" t="s">
        <v>4913</v>
      </c>
      <c r="E1764" s="41" t="s">
        <v>2929</v>
      </c>
      <c r="F1764" s="41" t="s">
        <v>2933</v>
      </c>
      <c r="G1764" s="41" t="s">
        <v>2934</v>
      </c>
    </row>
    <row r="1765" spans="1:7" x14ac:dyDescent="0.25">
      <c r="A1765" s="41" t="s">
        <v>4921</v>
      </c>
      <c r="B1765" s="41" t="s">
        <v>4914</v>
      </c>
      <c r="C1765" s="41" t="s">
        <v>2928</v>
      </c>
      <c r="D1765" s="41" t="s">
        <v>4913</v>
      </c>
      <c r="E1765" s="41" t="s">
        <v>2929</v>
      </c>
      <c r="F1765" s="41" t="s">
        <v>2933</v>
      </c>
      <c r="G1765" s="41" t="s">
        <v>2934</v>
      </c>
    </row>
    <row r="1766" spans="1:7" x14ac:dyDescent="0.25">
      <c r="A1766" s="41" t="s">
        <v>4922</v>
      </c>
      <c r="B1766" s="41" t="s">
        <v>4914</v>
      </c>
      <c r="C1766" s="41" t="s">
        <v>2928</v>
      </c>
      <c r="D1766" s="41" t="s">
        <v>4913</v>
      </c>
      <c r="E1766" s="41" t="s">
        <v>2929</v>
      </c>
      <c r="F1766" s="41" t="s">
        <v>2930</v>
      </c>
      <c r="G1766" s="41" t="s">
        <v>2931</v>
      </c>
    </row>
    <row r="1767" spans="1:7" x14ac:dyDescent="0.25">
      <c r="A1767" s="41" t="s">
        <v>4923</v>
      </c>
      <c r="B1767" s="41" t="s">
        <v>4914</v>
      </c>
      <c r="C1767" s="41" t="s">
        <v>2928</v>
      </c>
      <c r="D1767" s="41" t="s">
        <v>4913</v>
      </c>
      <c r="E1767" s="41" t="s">
        <v>2929</v>
      </c>
      <c r="F1767" s="41" t="s">
        <v>2930</v>
      </c>
      <c r="G1767" s="41" t="s">
        <v>2931</v>
      </c>
    </row>
    <row r="1768" spans="1:7" x14ac:dyDescent="0.25">
      <c r="A1768" s="41" t="s">
        <v>4924</v>
      </c>
      <c r="B1768" s="41" t="s">
        <v>4914</v>
      </c>
      <c r="C1768" s="41" t="s">
        <v>2928</v>
      </c>
      <c r="D1768" s="41" t="s">
        <v>4913</v>
      </c>
      <c r="E1768" s="41" t="s">
        <v>2929</v>
      </c>
      <c r="F1768" s="41" t="s">
        <v>2930</v>
      </c>
      <c r="G1768" s="41" t="s">
        <v>2931</v>
      </c>
    </row>
    <row r="1769" spans="1:7" x14ac:dyDescent="0.25">
      <c r="A1769" s="41" t="s">
        <v>4925</v>
      </c>
      <c r="B1769" s="41" t="s">
        <v>4914</v>
      </c>
      <c r="C1769" s="41" t="s">
        <v>2928</v>
      </c>
      <c r="D1769" s="41" t="s">
        <v>4913</v>
      </c>
      <c r="E1769" s="41" t="s">
        <v>2929</v>
      </c>
      <c r="F1769" s="41" t="s">
        <v>2930</v>
      </c>
      <c r="G1769" s="41" t="s">
        <v>2931</v>
      </c>
    </row>
    <row r="1770" spans="1:7" x14ac:dyDescent="0.25">
      <c r="A1770" s="41" t="s">
        <v>4926</v>
      </c>
      <c r="B1770" s="41" t="s">
        <v>4914</v>
      </c>
      <c r="C1770" s="41" t="s">
        <v>2928</v>
      </c>
      <c r="D1770" s="41" t="s">
        <v>4913</v>
      </c>
      <c r="E1770" s="41" t="s">
        <v>2929</v>
      </c>
      <c r="F1770" s="41" t="s">
        <v>2930</v>
      </c>
      <c r="G1770" s="41" t="s">
        <v>2931</v>
      </c>
    </row>
    <row r="1771" spans="1:7" x14ac:dyDescent="0.25">
      <c r="A1771" s="41" t="s">
        <v>4927</v>
      </c>
      <c r="B1771" s="41" t="s">
        <v>4914</v>
      </c>
      <c r="C1771" s="41" t="s">
        <v>2928</v>
      </c>
      <c r="D1771" s="41" t="s">
        <v>4913</v>
      </c>
      <c r="E1771" s="41" t="s">
        <v>2929</v>
      </c>
      <c r="F1771" s="41" t="s">
        <v>2930</v>
      </c>
      <c r="G1771" s="41" t="s">
        <v>2931</v>
      </c>
    </row>
    <row r="1772" spans="1:7" x14ac:dyDescent="0.25">
      <c r="A1772" s="41" t="s">
        <v>4928</v>
      </c>
      <c r="B1772" s="41" t="s">
        <v>4914</v>
      </c>
      <c r="C1772" s="41" t="s">
        <v>2928</v>
      </c>
      <c r="D1772" s="41" t="s">
        <v>4913</v>
      </c>
      <c r="E1772" s="41" t="s">
        <v>2929</v>
      </c>
      <c r="F1772" s="41" t="s">
        <v>2930</v>
      </c>
      <c r="G1772" s="41" t="s">
        <v>2931</v>
      </c>
    </row>
    <row r="1773" spans="1:7" x14ac:dyDescent="0.25">
      <c r="A1773" s="41" t="s">
        <v>4929</v>
      </c>
      <c r="B1773" s="41" t="s">
        <v>4914</v>
      </c>
      <c r="C1773" s="41" t="s">
        <v>2928</v>
      </c>
      <c r="D1773" s="41" t="s">
        <v>4913</v>
      </c>
      <c r="E1773" s="41" t="s">
        <v>2929</v>
      </c>
      <c r="F1773" s="41" t="s">
        <v>2949</v>
      </c>
      <c r="G1773" s="41" t="s">
        <v>2950</v>
      </c>
    </row>
    <row r="1774" spans="1:7" x14ac:dyDescent="0.25">
      <c r="A1774" s="41" t="s">
        <v>4930</v>
      </c>
      <c r="B1774" s="41" t="s">
        <v>4914</v>
      </c>
      <c r="C1774" s="41" t="s">
        <v>2928</v>
      </c>
      <c r="D1774" s="41" t="s">
        <v>4913</v>
      </c>
      <c r="E1774" s="41" t="s">
        <v>2929</v>
      </c>
      <c r="F1774" s="41" t="s">
        <v>2949</v>
      </c>
      <c r="G1774" s="41" t="s">
        <v>2950</v>
      </c>
    </row>
    <row r="1775" spans="1:7" x14ac:dyDescent="0.25">
      <c r="A1775" s="41" t="s">
        <v>4931</v>
      </c>
      <c r="B1775" s="41" t="s">
        <v>4914</v>
      </c>
      <c r="C1775" s="41" t="s">
        <v>2928</v>
      </c>
      <c r="D1775" s="41" t="s">
        <v>4913</v>
      </c>
      <c r="E1775" s="41" t="s">
        <v>2929</v>
      </c>
      <c r="F1775" s="41" t="s">
        <v>2949</v>
      </c>
      <c r="G1775" s="41" t="s">
        <v>2950</v>
      </c>
    </row>
    <row r="1776" spans="1:7" x14ac:dyDescent="0.25">
      <c r="A1776" s="41" t="s">
        <v>4932</v>
      </c>
      <c r="B1776" s="41" t="s">
        <v>4914</v>
      </c>
      <c r="C1776" s="41" t="s">
        <v>2928</v>
      </c>
      <c r="D1776" s="41" t="s">
        <v>4913</v>
      </c>
      <c r="E1776" s="41" t="s">
        <v>2929</v>
      </c>
      <c r="F1776" s="41" t="s">
        <v>2949</v>
      </c>
      <c r="G1776" s="41" t="s">
        <v>2950</v>
      </c>
    </row>
    <row r="1777" spans="1:7" x14ac:dyDescent="0.25">
      <c r="A1777" s="41" t="s">
        <v>4933</v>
      </c>
      <c r="B1777" s="41" t="s">
        <v>4914</v>
      </c>
      <c r="C1777" s="41" t="s">
        <v>2928</v>
      </c>
      <c r="D1777" s="41" t="s">
        <v>4913</v>
      </c>
      <c r="E1777" s="41" t="s">
        <v>2929</v>
      </c>
      <c r="F1777" s="41" t="s">
        <v>2949</v>
      </c>
      <c r="G1777" s="41" t="s">
        <v>2950</v>
      </c>
    </row>
    <row r="1778" spans="1:7" x14ac:dyDescent="0.25">
      <c r="A1778" s="41" t="s">
        <v>4934</v>
      </c>
      <c r="B1778" s="41" t="s">
        <v>4914</v>
      </c>
      <c r="C1778" s="41" t="s">
        <v>2928</v>
      </c>
      <c r="D1778" s="41" t="s">
        <v>4913</v>
      </c>
      <c r="E1778" s="41" t="s">
        <v>2929</v>
      </c>
      <c r="F1778" s="41" t="s">
        <v>2949</v>
      </c>
      <c r="G1778" s="41" t="s">
        <v>2950</v>
      </c>
    </row>
    <row r="1779" spans="1:7" x14ac:dyDescent="0.25">
      <c r="A1779" s="41" t="s">
        <v>4935</v>
      </c>
      <c r="B1779" s="41" t="s">
        <v>4914</v>
      </c>
      <c r="C1779" s="41" t="s">
        <v>2928</v>
      </c>
      <c r="D1779" s="41" t="s">
        <v>4913</v>
      </c>
      <c r="E1779" s="41" t="s">
        <v>2929</v>
      </c>
      <c r="F1779" s="41" t="s">
        <v>2949</v>
      </c>
      <c r="G1779" s="41" t="s">
        <v>2950</v>
      </c>
    </row>
    <row r="1780" spans="1:7" x14ac:dyDescent="0.25">
      <c r="A1780" s="41" t="s">
        <v>4936</v>
      </c>
      <c r="B1780" s="41" t="s">
        <v>4937</v>
      </c>
      <c r="C1780" s="41" t="s">
        <v>2928</v>
      </c>
      <c r="D1780" s="41" t="s">
        <v>4936</v>
      </c>
      <c r="E1780" s="41" t="s">
        <v>2929</v>
      </c>
      <c r="F1780" s="41" t="s">
        <v>2930</v>
      </c>
      <c r="G1780" s="41" t="s">
        <v>2931</v>
      </c>
    </row>
    <row r="1781" spans="1:7" x14ac:dyDescent="0.25">
      <c r="A1781" s="41" t="s">
        <v>4938</v>
      </c>
      <c r="B1781" s="41" t="s">
        <v>4937</v>
      </c>
      <c r="C1781" s="41" t="s">
        <v>2928</v>
      </c>
      <c r="D1781" s="41" t="s">
        <v>4936</v>
      </c>
      <c r="E1781" s="41" t="s">
        <v>2929</v>
      </c>
      <c r="F1781" s="41" t="s">
        <v>2933</v>
      </c>
      <c r="G1781" s="41" t="s">
        <v>2934</v>
      </c>
    </row>
    <row r="1782" spans="1:7" x14ac:dyDescent="0.25">
      <c r="A1782" s="41" t="s">
        <v>4939</v>
      </c>
      <c r="B1782" s="41" t="s">
        <v>4937</v>
      </c>
      <c r="C1782" s="41" t="s">
        <v>2928</v>
      </c>
      <c r="D1782" s="41" t="s">
        <v>4936</v>
      </c>
      <c r="E1782" s="41" t="s">
        <v>2929</v>
      </c>
      <c r="F1782" s="41" t="s">
        <v>2949</v>
      </c>
      <c r="G1782" s="41" t="s">
        <v>2950</v>
      </c>
    </row>
    <row r="1783" spans="1:7" x14ac:dyDescent="0.25">
      <c r="A1783" s="41" t="s">
        <v>4940</v>
      </c>
      <c r="B1783" s="41" t="s">
        <v>4941</v>
      </c>
      <c r="C1783" s="41" t="s">
        <v>2928</v>
      </c>
      <c r="D1783" s="41" t="s">
        <v>4940</v>
      </c>
      <c r="E1783" s="41" t="s">
        <v>2929</v>
      </c>
      <c r="F1783" s="41" t="s">
        <v>2930</v>
      </c>
      <c r="G1783" s="41" t="s">
        <v>2931</v>
      </c>
    </row>
    <row r="1784" spans="1:7" x14ac:dyDescent="0.25">
      <c r="A1784" s="41" t="s">
        <v>4942</v>
      </c>
      <c r="B1784" s="41" t="s">
        <v>4941</v>
      </c>
      <c r="C1784" s="41" t="s">
        <v>2928</v>
      </c>
      <c r="D1784" s="41" t="s">
        <v>4940</v>
      </c>
      <c r="E1784" s="41" t="s">
        <v>2929</v>
      </c>
      <c r="F1784" s="41" t="s">
        <v>2933</v>
      </c>
      <c r="G1784" s="41" t="s">
        <v>2934</v>
      </c>
    </row>
    <row r="1785" spans="1:7" x14ac:dyDescent="0.25">
      <c r="A1785" s="41" t="s">
        <v>4943</v>
      </c>
      <c r="B1785" s="41" t="s">
        <v>4941</v>
      </c>
      <c r="C1785" s="41" t="s">
        <v>2928</v>
      </c>
      <c r="D1785" s="41" t="s">
        <v>4940</v>
      </c>
      <c r="E1785" s="41" t="s">
        <v>2929</v>
      </c>
      <c r="F1785" s="41" t="s">
        <v>2933</v>
      </c>
      <c r="G1785" s="41" t="s">
        <v>2934</v>
      </c>
    </row>
    <row r="1786" spans="1:7" x14ac:dyDescent="0.25">
      <c r="A1786" s="41" t="s">
        <v>4944</v>
      </c>
      <c r="B1786" s="41" t="s">
        <v>4941</v>
      </c>
      <c r="C1786" s="41" t="s">
        <v>2928</v>
      </c>
      <c r="D1786" s="41" t="s">
        <v>4940</v>
      </c>
      <c r="E1786" s="41" t="s">
        <v>2929</v>
      </c>
      <c r="F1786" s="41" t="s">
        <v>2933</v>
      </c>
      <c r="G1786" s="41" t="s">
        <v>2934</v>
      </c>
    </row>
    <row r="1787" spans="1:7" x14ac:dyDescent="0.25">
      <c r="A1787" s="41" t="s">
        <v>4945</v>
      </c>
      <c r="B1787" s="41" t="s">
        <v>4941</v>
      </c>
      <c r="C1787" s="41" t="s">
        <v>2928</v>
      </c>
      <c r="D1787" s="41" t="s">
        <v>4940</v>
      </c>
      <c r="E1787" s="41" t="s">
        <v>2929</v>
      </c>
      <c r="F1787" s="41" t="s">
        <v>2933</v>
      </c>
      <c r="G1787" s="41" t="s">
        <v>2934</v>
      </c>
    </row>
    <row r="1788" spans="1:7" x14ac:dyDescent="0.25">
      <c r="A1788" s="41" t="s">
        <v>4946</v>
      </c>
      <c r="B1788" s="41" t="s">
        <v>4941</v>
      </c>
      <c r="C1788" s="41" t="s">
        <v>2928</v>
      </c>
      <c r="D1788" s="41" t="s">
        <v>4940</v>
      </c>
      <c r="E1788" s="41" t="s">
        <v>2929</v>
      </c>
      <c r="F1788" s="41" t="s">
        <v>2933</v>
      </c>
      <c r="G1788" s="41" t="s">
        <v>2934</v>
      </c>
    </row>
    <row r="1789" spans="1:7" x14ac:dyDescent="0.25">
      <c r="A1789" s="41" t="s">
        <v>4947</v>
      </c>
      <c r="B1789" s="41" t="s">
        <v>4941</v>
      </c>
      <c r="C1789" s="41" t="s">
        <v>2928</v>
      </c>
      <c r="D1789" s="41" t="s">
        <v>4940</v>
      </c>
      <c r="E1789" s="41" t="s">
        <v>2929</v>
      </c>
      <c r="F1789" s="41" t="s">
        <v>2933</v>
      </c>
      <c r="G1789" s="41" t="s">
        <v>2934</v>
      </c>
    </row>
    <row r="1790" spans="1:7" x14ac:dyDescent="0.25">
      <c r="A1790" s="41" t="s">
        <v>4948</v>
      </c>
      <c r="B1790" s="41" t="s">
        <v>4941</v>
      </c>
      <c r="C1790" s="41" t="s">
        <v>2928</v>
      </c>
      <c r="D1790" s="41" t="s">
        <v>4940</v>
      </c>
      <c r="E1790" s="41" t="s">
        <v>2929</v>
      </c>
      <c r="F1790" s="41" t="s">
        <v>2933</v>
      </c>
      <c r="G1790" s="41" t="s">
        <v>2934</v>
      </c>
    </row>
    <row r="1791" spans="1:7" x14ac:dyDescent="0.25">
      <c r="A1791" s="41" t="s">
        <v>4949</v>
      </c>
      <c r="B1791" s="41" t="s">
        <v>4941</v>
      </c>
      <c r="C1791" s="41" t="s">
        <v>2928</v>
      </c>
      <c r="D1791" s="41" t="s">
        <v>4940</v>
      </c>
      <c r="E1791" s="41" t="s">
        <v>2929</v>
      </c>
      <c r="F1791" s="41" t="s">
        <v>2930</v>
      </c>
      <c r="G1791" s="41" t="s">
        <v>2931</v>
      </c>
    </row>
    <row r="1792" spans="1:7" x14ac:dyDescent="0.25">
      <c r="A1792" s="41" t="s">
        <v>4950</v>
      </c>
      <c r="B1792" s="41" t="s">
        <v>4941</v>
      </c>
      <c r="C1792" s="41" t="s">
        <v>2928</v>
      </c>
      <c r="D1792" s="41" t="s">
        <v>4940</v>
      </c>
      <c r="E1792" s="41" t="s">
        <v>2929</v>
      </c>
      <c r="F1792" s="41" t="s">
        <v>2930</v>
      </c>
      <c r="G1792" s="41" t="s">
        <v>2931</v>
      </c>
    </row>
    <row r="1793" spans="1:7" x14ac:dyDescent="0.25">
      <c r="A1793" s="41" t="s">
        <v>4951</v>
      </c>
      <c r="B1793" s="41" t="s">
        <v>4941</v>
      </c>
      <c r="C1793" s="41" t="s">
        <v>2928</v>
      </c>
      <c r="D1793" s="41" t="s">
        <v>4940</v>
      </c>
      <c r="E1793" s="41" t="s">
        <v>2929</v>
      </c>
      <c r="F1793" s="41" t="s">
        <v>2930</v>
      </c>
      <c r="G1793" s="41" t="s">
        <v>2931</v>
      </c>
    </row>
    <row r="1794" spans="1:7" x14ac:dyDescent="0.25">
      <c r="A1794" s="41" t="s">
        <v>4952</v>
      </c>
      <c r="B1794" s="41" t="s">
        <v>4941</v>
      </c>
      <c r="C1794" s="41" t="s">
        <v>2928</v>
      </c>
      <c r="D1794" s="41" t="s">
        <v>4940</v>
      </c>
      <c r="E1794" s="41" t="s">
        <v>2929</v>
      </c>
      <c r="F1794" s="41" t="s">
        <v>2930</v>
      </c>
      <c r="G1794" s="41" t="s">
        <v>2931</v>
      </c>
    </row>
    <row r="1795" spans="1:7" x14ac:dyDescent="0.25">
      <c r="A1795" s="41" t="s">
        <v>4953</v>
      </c>
      <c r="B1795" s="41" t="s">
        <v>4941</v>
      </c>
      <c r="C1795" s="41" t="s">
        <v>2928</v>
      </c>
      <c r="D1795" s="41" t="s">
        <v>4940</v>
      </c>
      <c r="E1795" s="41" t="s">
        <v>2929</v>
      </c>
      <c r="F1795" s="41" t="s">
        <v>2930</v>
      </c>
      <c r="G1795" s="41" t="s">
        <v>2931</v>
      </c>
    </row>
    <row r="1796" spans="1:7" x14ac:dyDescent="0.25">
      <c r="A1796" s="41" t="s">
        <v>4954</v>
      </c>
      <c r="B1796" s="41" t="s">
        <v>4941</v>
      </c>
      <c r="C1796" s="41" t="s">
        <v>2928</v>
      </c>
      <c r="D1796" s="41" t="s">
        <v>4940</v>
      </c>
      <c r="E1796" s="41" t="s">
        <v>2929</v>
      </c>
      <c r="F1796" s="41" t="s">
        <v>2930</v>
      </c>
      <c r="G1796" s="41" t="s">
        <v>2931</v>
      </c>
    </row>
    <row r="1797" spans="1:7" x14ac:dyDescent="0.25">
      <c r="A1797" s="41" t="s">
        <v>4955</v>
      </c>
      <c r="B1797" s="41" t="s">
        <v>4941</v>
      </c>
      <c r="C1797" s="41" t="s">
        <v>2928</v>
      </c>
      <c r="D1797" s="41" t="s">
        <v>4940</v>
      </c>
      <c r="E1797" s="41" t="s">
        <v>2929</v>
      </c>
      <c r="F1797" s="41" t="s">
        <v>2930</v>
      </c>
      <c r="G1797" s="41" t="s">
        <v>2931</v>
      </c>
    </row>
    <row r="1798" spans="1:7" x14ac:dyDescent="0.25">
      <c r="A1798" s="41" t="s">
        <v>4956</v>
      </c>
      <c r="B1798" s="41" t="s">
        <v>4941</v>
      </c>
      <c r="C1798" s="41" t="s">
        <v>2928</v>
      </c>
      <c r="D1798" s="41" t="s">
        <v>4940</v>
      </c>
      <c r="E1798" s="41" t="s">
        <v>2929</v>
      </c>
      <c r="F1798" s="41" t="s">
        <v>2949</v>
      </c>
      <c r="G1798" s="41" t="s">
        <v>2950</v>
      </c>
    </row>
    <row r="1799" spans="1:7" x14ac:dyDescent="0.25">
      <c r="A1799" s="41" t="s">
        <v>4957</v>
      </c>
      <c r="B1799" s="41" t="s">
        <v>4941</v>
      </c>
      <c r="C1799" s="41" t="s">
        <v>2928</v>
      </c>
      <c r="D1799" s="41" t="s">
        <v>4940</v>
      </c>
      <c r="E1799" s="41" t="s">
        <v>2929</v>
      </c>
      <c r="F1799" s="41" t="s">
        <v>2949</v>
      </c>
      <c r="G1799" s="41" t="s">
        <v>2950</v>
      </c>
    </row>
    <row r="1800" spans="1:7" x14ac:dyDescent="0.25">
      <c r="A1800" s="41" t="s">
        <v>4958</v>
      </c>
      <c r="B1800" s="41" t="s">
        <v>4941</v>
      </c>
      <c r="C1800" s="41" t="s">
        <v>2928</v>
      </c>
      <c r="D1800" s="41" t="s">
        <v>4940</v>
      </c>
      <c r="E1800" s="41" t="s">
        <v>2929</v>
      </c>
      <c r="F1800" s="41" t="s">
        <v>2949</v>
      </c>
      <c r="G1800" s="41" t="s">
        <v>2950</v>
      </c>
    </row>
    <row r="1801" spans="1:7" x14ac:dyDescent="0.25">
      <c r="A1801" s="41" t="s">
        <v>4959</v>
      </c>
      <c r="B1801" s="41" t="s">
        <v>4941</v>
      </c>
      <c r="C1801" s="41" t="s">
        <v>2928</v>
      </c>
      <c r="D1801" s="41" t="s">
        <v>4940</v>
      </c>
      <c r="E1801" s="41" t="s">
        <v>2929</v>
      </c>
      <c r="F1801" s="41" t="s">
        <v>2949</v>
      </c>
      <c r="G1801" s="41" t="s">
        <v>2950</v>
      </c>
    </row>
    <row r="1802" spans="1:7" x14ac:dyDescent="0.25">
      <c r="A1802" s="41" t="s">
        <v>4960</v>
      </c>
      <c r="B1802" s="41" t="s">
        <v>4941</v>
      </c>
      <c r="C1802" s="41" t="s">
        <v>2928</v>
      </c>
      <c r="D1802" s="41" t="s">
        <v>4940</v>
      </c>
      <c r="E1802" s="41" t="s">
        <v>2929</v>
      </c>
      <c r="F1802" s="41" t="s">
        <v>2949</v>
      </c>
      <c r="G1802" s="41" t="s">
        <v>2950</v>
      </c>
    </row>
    <row r="1803" spans="1:7" x14ac:dyDescent="0.25">
      <c r="A1803" s="41" t="s">
        <v>4961</v>
      </c>
      <c r="B1803" s="41" t="s">
        <v>4941</v>
      </c>
      <c r="C1803" s="41" t="s">
        <v>2928</v>
      </c>
      <c r="D1803" s="41" t="s">
        <v>4940</v>
      </c>
      <c r="E1803" s="41" t="s">
        <v>2929</v>
      </c>
      <c r="F1803" s="41" t="s">
        <v>2949</v>
      </c>
      <c r="G1803" s="41" t="s">
        <v>2950</v>
      </c>
    </row>
    <row r="1804" spans="1:7" x14ac:dyDescent="0.25">
      <c r="A1804" s="41" t="s">
        <v>4962</v>
      </c>
      <c r="B1804" s="41" t="s">
        <v>4941</v>
      </c>
      <c r="C1804" s="41" t="s">
        <v>2928</v>
      </c>
      <c r="D1804" s="41" t="s">
        <v>4940</v>
      </c>
      <c r="E1804" s="41" t="s">
        <v>2929</v>
      </c>
      <c r="F1804" s="41" t="s">
        <v>2949</v>
      </c>
      <c r="G1804" s="41" t="s">
        <v>2950</v>
      </c>
    </row>
    <row r="1805" spans="1:7" x14ac:dyDescent="0.25">
      <c r="A1805" s="41" t="s">
        <v>4963</v>
      </c>
      <c r="B1805" s="41" t="s">
        <v>1139</v>
      </c>
      <c r="C1805" s="41" t="s">
        <v>2928</v>
      </c>
      <c r="D1805" s="41" t="s">
        <v>4963</v>
      </c>
      <c r="E1805" s="41" t="s">
        <v>2929</v>
      </c>
      <c r="F1805" s="41" t="s">
        <v>2930</v>
      </c>
      <c r="G1805" s="41" t="s">
        <v>2931</v>
      </c>
    </row>
    <row r="1806" spans="1:7" x14ac:dyDescent="0.25">
      <c r="A1806" s="41" t="s">
        <v>4964</v>
      </c>
      <c r="B1806" s="41" t="s">
        <v>1139</v>
      </c>
      <c r="C1806" s="41" t="s">
        <v>2928</v>
      </c>
      <c r="D1806" s="41" t="s">
        <v>4963</v>
      </c>
      <c r="E1806" s="41" t="s">
        <v>2929</v>
      </c>
      <c r="F1806" s="41" t="s">
        <v>2949</v>
      </c>
      <c r="G1806" s="41" t="s">
        <v>2950</v>
      </c>
    </row>
    <row r="1807" spans="1:7" x14ac:dyDescent="0.25">
      <c r="A1807" s="41" t="s">
        <v>4965</v>
      </c>
      <c r="B1807" s="41" t="s">
        <v>4966</v>
      </c>
      <c r="C1807" s="41" t="s">
        <v>2928</v>
      </c>
      <c r="D1807" s="41" t="s">
        <v>4965</v>
      </c>
      <c r="E1807" s="41" t="s">
        <v>2929</v>
      </c>
      <c r="F1807" s="41" t="s">
        <v>2930</v>
      </c>
      <c r="G1807" s="41" t="s">
        <v>2931</v>
      </c>
    </row>
    <row r="1808" spans="1:7" x14ac:dyDescent="0.25">
      <c r="A1808" s="41" t="s">
        <v>4967</v>
      </c>
      <c r="B1808" s="41" t="s">
        <v>4966</v>
      </c>
      <c r="C1808" s="41" t="s">
        <v>2928</v>
      </c>
      <c r="D1808" s="41" t="s">
        <v>4965</v>
      </c>
      <c r="E1808" s="41" t="s">
        <v>2929</v>
      </c>
      <c r="F1808" s="41" t="s">
        <v>2933</v>
      </c>
      <c r="G1808" s="41" t="s">
        <v>2934</v>
      </c>
    </row>
    <row r="1809" spans="1:7" x14ac:dyDescent="0.25">
      <c r="A1809" s="41" t="s">
        <v>4968</v>
      </c>
      <c r="B1809" s="41" t="s">
        <v>4966</v>
      </c>
      <c r="C1809" s="41" t="s">
        <v>2928</v>
      </c>
      <c r="D1809" s="41" t="s">
        <v>4965</v>
      </c>
      <c r="E1809" s="41" t="s">
        <v>2929</v>
      </c>
      <c r="F1809" s="41" t="s">
        <v>2930</v>
      </c>
      <c r="G1809" s="41" t="s">
        <v>2931</v>
      </c>
    </row>
    <row r="1810" spans="1:7" x14ac:dyDescent="0.25">
      <c r="A1810" s="41" t="s">
        <v>4969</v>
      </c>
      <c r="B1810" s="41" t="s">
        <v>4966</v>
      </c>
      <c r="C1810" s="41" t="s">
        <v>2928</v>
      </c>
      <c r="D1810" s="41" t="s">
        <v>4965</v>
      </c>
      <c r="E1810" s="41" t="s">
        <v>2929</v>
      </c>
      <c r="F1810" s="41" t="s">
        <v>2949</v>
      </c>
      <c r="G1810" s="41" t="s">
        <v>2950</v>
      </c>
    </row>
    <row r="1811" spans="1:7" x14ac:dyDescent="0.25">
      <c r="A1811" s="41" t="s">
        <v>4970</v>
      </c>
      <c r="B1811" s="41" t="s">
        <v>4966</v>
      </c>
      <c r="C1811" s="41" t="s">
        <v>2928</v>
      </c>
      <c r="D1811" s="41" t="s">
        <v>4965</v>
      </c>
      <c r="E1811" s="41" t="s">
        <v>2929</v>
      </c>
      <c r="F1811" s="41" t="s">
        <v>2949</v>
      </c>
      <c r="G1811" s="41" t="s">
        <v>2950</v>
      </c>
    </row>
    <row r="1812" spans="1:7" x14ac:dyDescent="0.25">
      <c r="A1812" s="41" t="s">
        <v>4971</v>
      </c>
      <c r="B1812" s="41" t="s">
        <v>1128</v>
      </c>
      <c r="C1812" s="41" t="s">
        <v>2928</v>
      </c>
      <c r="D1812" s="41" t="s">
        <v>4971</v>
      </c>
      <c r="E1812" s="41" t="s">
        <v>2929</v>
      </c>
      <c r="F1812" s="41" t="s">
        <v>2930</v>
      </c>
      <c r="G1812" s="41" t="s">
        <v>2931</v>
      </c>
    </row>
    <row r="1813" spans="1:7" x14ac:dyDescent="0.25">
      <c r="A1813" s="41" t="s">
        <v>4972</v>
      </c>
      <c r="B1813" s="41" t="s">
        <v>1128</v>
      </c>
      <c r="C1813" s="41" t="s">
        <v>2928</v>
      </c>
      <c r="D1813" s="41" t="s">
        <v>4971</v>
      </c>
      <c r="E1813" s="41" t="s">
        <v>2929</v>
      </c>
      <c r="F1813" s="41" t="s">
        <v>2933</v>
      </c>
      <c r="G1813" s="41" t="s">
        <v>2934</v>
      </c>
    </row>
    <row r="1814" spans="1:7" x14ac:dyDescent="0.25">
      <c r="A1814" s="41" t="s">
        <v>4973</v>
      </c>
      <c r="B1814" s="41" t="s">
        <v>1128</v>
      </c>
      <c r="C1814" s="41" t="s">
        <v>2928</v>
      </c>
      <c r="D1814" s="41" t="s">
        <v>4971</v>
      </c>
      <c r="E1814" s="41" t="s">
        <v>2929</v>
      </c>
      <c r="F1814" s="41" t="s">
        <v>2949</v>
      </c>
      <c r="G1814" s="41" t="s">
        <v>2950</v>
      </c>
    </row>
    <row r="1815" spans="1:7" x14ac:dyDescent="0.25">
      <c r="A1815" s="41" t="s">
        <v>4974</v>
      </c>
      <c r="B1815" s="41" t="s">
        <v>4975</v>
      </c>
      <c r="C1815" s="41" t="s">
        <v>2928</v>
      </c>
      <c r="D1815" s="41" t="s">
        <v>4974</v>
      </c>
      <c r="E1815" s="41" t="s">
        <v>2929</v>
      </c>
      <c r="F1815" s="41" t="s">
        <v>2930</v>
      </c>
      <c r="G1815" s="41" t="s">
        <v>2931</v>
      </c>
    </row>
    <row r="1816" spans="1:7" x14ac:dyDescent="0.25">
      <c r="A1816" s="41" t="s">
        <v>4976</v>
      </c>
      <c r="B1816" s="41" t="s">
        <v>4975</v>
      </c>
      <c r="C1816" s="41" t="s">
        <v>2928</v>
      </c>
      <c r="D1816" s="41" t="s">
        <v>4974</v>
      </c>
      <c r="E1816" s="41" t="s">
        <v>2929</v>
      </c>
      <c r="F1816" s="41" t="s">
        <v>2933</v>
      </c>
      <c r="G1816" s="41" t="s">
        <v>2934</v>
      </c>
    </row>
    <row r="1817" spans="1:7" x14ac:dyDescent="0.25">
      <c r="A1817" s="41" t="s">
        <v>4977</v>
      </c>
      <c r="B1817" s="41" t="s">
        <v>4975</v>
      </c>
      <c r="C1817" s="41" t="s">
        <v>2928</v>
      </c>
      <c r="D1817" s="41" t="s">
        <v>4974</v>
      </c>
      <c r="E1817" s="41" t="s">
        <v>2929</v>
      </c>
      <c r="F1817" s="41" t="s">
        <v>2933</v>
      </c>
      <c r="G1817" s="41" t="s">
        <v>2934</v>
      </c>
    </row>
    <row r="1818" spans="1:7" x14ac:dyDescent="0.25">
      <c r="A1818" s="41" t="s">
        <v>4978</v>
      </c>
      <c r="B1818" s="41" t="s">
        <v>4975</v>
      </c>
      <c r="C1818" s="41" t="s">
        <v>2928</v>
      </c>
      <c r="D1818" s="41" t="s">
        <v>4974</v>
      </c>
      <c r="E1818" s="41" t="s">
        <v>2929</v>
      </c>
      <c r="F1818" s="41" t="s">
        <v>2933</v>
      </c>
      <c r="G1818" s="41" t="s">
        <v>2934</v>
      </c>
    </row>
    <row r="1819" spans="1:7" x14ac:dyDescent="0.25">
      <c r="A1819" s="41" t="s">
        <v>4979</v>
      </c>
      <c r="B1819" s="41" t="s">
        <v>4975</v>
      </c>
      <c r="C1819" s="41" t="s">
        <v>2928</v>
      </c>
      <c r="D1819" s="41" t="s">
        <v>4974</v>
      </c>
      <c r="E1819" s="41" t="s">
        <v>2929</v>
      </c>
      <c r="F1819" s="41" t="s">
        <v>2933</v>
      </c>
      <c r="G1819" s="41" t="s">
        <v>2934</v>
      </c>
    </row>
    <row r="1820" spans="1:7" x14ac:dyDescent="0.25">
      <c r="A1820" s="41" t="s">
        <v>4980</v>
      </c>
      <c r="B1820" s="41" t="s">
        <v>4975</v>
      </c>
      <c r="C1820" s="41" t="s">
        <v>2928</v>
      </c>
      <c r="D1820" s="41" t="s">
        <v>4974</v>
      </c>
      <c r="E1820" s="41" t="s">
        <v>2929</v>
      </c>
      <c r="F1820" s="41" t="s">
        <v>2933</v>
      </c>
      <c r="G1820" s="41" t="s">
        <v>2934</v>
      </c>
    </row>
    <row r="1821" spans="1:7" x14ac:dyDescent="0.25">
      <c r="A1821" s="41" t="s">
        <v>4981</v>
      </c>
      <c r="B1821" s="41" t="s">
        <v>4975</v>
      </c>
      <c r="C1821" s="41" t="s">
        <v>2928</v>
      </c>
      <c r="D1821" s="41" t="s">
        <v>4974</v>
      </c>
      <c r="E1821" s="41" t="s">
        <v>2929</v>
      </c>
      <c r="F1821" s="41" t="s">
        <v>2933</v>
      </c>
      <c r="G1821" s="41" t="s">
        <v>2934</v>
      </c>
    </row>
    <row r="1822" spans="1:7" x14ac:dyDescent="0.25">
      <c r="A1822" s="41" t="s">
        <v>4982</v>
      </c>
      <c r="B1822" s="41" t="s">
        <v>4975</v>
      </c>
      <c r="C1822" s="41" t="s">
        <v>2928</v>
      </c>
      <c r="D1822" s="41" t="s">
        <v>4974</v>
      </c>
      <c r="E1822" s="41" t="s">
        <v>2929</v>
      </c>
      <c r="F1822" s="41" t="s">
        <v>2933</v>
      </c>
      <c r="G1822" s="41" t="s">
        <v>2934</v>
      </c>
    </row>
    <row r="1823" spans="1:7" x14ac:dyDescent="0.25">
      <c r="A1823" s="41" t="s">
        <v>4983</v>
      </c>
      <c r="B1823" s="41" t="s">
        <v>4975</v>
      </c>
      <c r="C1823" s="41" t="s">
        <v>2928</v>
      </c>
      <c r="D1823" s="41" t="s">
        <v>4974</v>
      </c>
      <c r="E1823" s="41" t="s">
        <v>2929</v>
      </c>
      <c r="F1823" s="41" t="s">
        <v>2930</v>
      </c>
      <c r="G1823" s="41" t="s">
        <v>2931</v>
      </c>
    </row>
    <row r="1824" spans="1:7" x14ac:dyDescent="0.25">
      <c r="A1824" s="41" t="s">
        <v>4984</v>
      </c>
      <c r="B1824" s="41" t="s">
        <v>4975</v>
      </c>
      <c r="C1824" s="41" t="s">
        <v>2928</v>
      </c>
      <c r="D1824" s="41" t="s">
        <v>4974</v>
      </c>
      <c r="E1824" s="41" t="s">
        <v>2929</v>
      </c>
      <c r="F1824" s="41" t="s">
        <v>2930</v>
      </c>
      <c r="G1824" s="41" t="s">
        <v>2931</v>
      </c>
    </row>
    <row r="1825" spans="1:7" x14ac:dyDescent="0.25">
      <c r="A1825" s="41" t="s">
        <v>4985</v>
      </c>
      <c r="B1825" s="41" t="s">
        <v>4975</v>
      </c>
      <c r="C1825" s="41" t="s">
        <v>2928</v>
      </c>
      <c r="D1825" s="41" t="s">
        <v>4974</v>
      </c>
      <c r="E1825" s="41" t="s">
        <v>2929</v>
      </c>
      <c r="F1825" s="41" t="s">
        <v>2930</v>
      </c>
      <c r="G1825" s="41" t="s">
        <v>2931</v>
      </c>
    </row>
    <row r="1826" spans="1:7" x14ac:dyDescent="0.25">
      <c r="A1826" s="41" t="s">
        <v>4986</v>
      </c>
      <c r="B1826" s="41" t="s">
        <v>4975</v>
      </c>
      <c r="C1826" s="41" t="s">
        <v>2928</v>
      </c>
      <c r="D1826" s="41" t="s">
        <v>4974</v>
      </c>
      <c r="E1826" s="41" t="s">
        <v>2929</v>
      </c>
      <c r="F1826" s="41" t="s">
        <v>2930</v>
      </c>
      <c r="G1826" s="41" t="s">
        <v>2931</v>
      </c>
    </row>
    <row r="1827" spans="1:7" x14ac:dyDescent="0.25">
      <c r="A1827" s="41" t="s">
        <v>4987</v>
      </c>
      <c r="B1827" s="41" t="s">
        <v>4975</v>
      </c>
      <c r="C1827" s="41" t="s">
        <v>2928</v>
      </c>
      <c r="D1827" s="41" t="s">
        <v>4974</v>
      </c>
      <c r="E1827" s="41" t="s">
        <v>2929</v>
      </c>
      <c r="F1827" s="41" t="s">
        <v>2930</v>
      </c>
      <c r="G1827" s="41" t="s">
        <v>2931</v>
      </c>
    </row>
    <row r="1828" spans="1:7" x14ac:dyDescent="0.25">
      <c r="A1828" s="41" t="s">
        <v>4988</v>
      </c>
      <c r="B1828" s="41" t="s">
        <v>4975</v>
      </c>
      <c r="C1828" s="41" t="s">
        <v>2928</v>
      </c>
      <c r="D1828" s="41" t="s">
        <v>4974</v>
      </c>
      <c r="E1828" s="41" t="s">
        <v>2929</v>
      </c>
      <c r="F1828" s="41" t="s">
        <v>2930</v>
      </c>
      <c r="G1828" s="41" t="s">
        <v>2931</v>
      </c>
    </row>
    <row r="1829" spans="1:7" x14ac:dyDescent="0.25">
      <c r="A1829" s="41" t="s">
        <v>4989</v>
      </c>
      <c r="B1829" s="41" t="s">
        <v>4975</v>
      </c>
      <c r="C1829" s="41" t="s">
        <v>2928</v>
      </c>
      <c r="D1829" s="41" t="s">
        <v>4974</v>
      </c>
      <c r="E1829" s="41" t="s">
        <v>2929</v>
      </c>
      <c r="F1829" s="41" t="s">
        <v>2930</v>
      </c>
      <c r="G1829" s="41" t="s">
        <v>2931</v>
      </c>
    </row>
    <row r="1830" spans="1:7" x14ac:dyDescent="0.25">
      <c r="A1830" s="41" t="s">
        <v>4990</v>
      </c>
      <c r="B1830" s="41" t="s">
        <v>4975</v>
      </c>
      <c r="C1830" s="41" t="s">
        <v>2928</v>
      </c>
      <c r="D1830" s="41" t="s">
        <v>4974</v>
      </c>
      <c r="E1830" s="41" t="s">
        <v>2929</v>
      </c>
      <c r="F1830" s="41" t="s">
        <v>2949</v>
      </c>
      <c r="G1830" s="41" t="s">
        <v>2950</v>
      </c>
    </row>
    <row r="1831" spans="1:7" x14ac:dyDescent="0.25">
      <c r="A1831" s="41" t="s">
        <v>4991</v>
      </c>
      <c r="B1831" s="41" t="s">
        <v>4975</v>
      </c>
      <c r="C1831" s="41" t="s">
        <v>2928</v>
      </c>
      <c r="D1831" s="41" t="s">
        <v>4974</v>
      </c>
      <c r="E1831" s="41" t="s">
        <v>2929</v>
      </c>
      <c r="F1831" s="41" t="s">
        <v>2949</v>
      </c>
      <c r="G1831" s="41" t="s">
        <v>2950</v>
      </c>
    </row>
    <row r="1832" spans="1:7" x14ac:dyDescent="0.25">
      <c r="A1832" s="41" t="s">
        <v>4992</v>
      </c>
      <c r="B1832" s="41" t="s">
        <v>4975</v>
      </c>
      <c r="C1832" s="41" t="s">
        <v>2928</v>
      </c>
      <c r="D1832" s="41" t="s">
        <v>4974</v>
      </c>
      <c r="E1832" s="41" t="s">
        <v>2929</v>
      </c>
      <c r="F1832" s="41" t="s">
        <v>2949</v>
      </c>
      <c r="G1832" s="41" t="s">
        <v>2950</v>
      </c>
    </row>
    <row r="1833" spans="1:7" x14ac:dyDescent="0.25">
      <c r="A1833" s="41" t="s">
        <v>4993</v>
      </c>
      <c r="B1833" s="41" t="s">
        <v>4975</v>
      </c>
      <c r="C1833" s="41" t="s">
        <v>2928</v>
      </c>
      <c r="D1833" s="41" t="s">
        <v>4974</v>
      </c>
      <c r="E1833" s="41" t="s">
        <v>2929</v>
      </c>
      <c r="F1833" s="41" t="s">
        <v>2949</v>
      </c>
      <c r="G1833" s="41" t="s">
        <v>2950</v>
      </c>
    </row>
    <row r="1834" spans="1:7" x14ac:dyDescent="0.25">
      <c r="A1834" s="41" t="s">
        <v>4994</v>
      </c>
      <c r="B1834" s="41" t="s">
        <v>4975</v>
      </c>
      <c r="C1834" s="41" t="s">
        <v>2928</v>
      </c>
      <c r="D1834" s="41" t="s">
        <v>4974</v>
      </c>
      <c r="E1834" s="41" t="s">
        <v>2929</v>
      </c>
      <c r="F1834" s="41" t="s">
        <v>2949</v>
      </c>
      <c r="G1834" s="41" t="s">
        <v>2950</v>
      </c>
    </row>
    <row r="1835" spans="1:7" x14ac:dyDescent="0.25">
      <c r="A1835" s="41" t="s">
        <v>4995</v>
      </c>
      <c r="B1835" s="41" t="s">
        <v>4975</v>
      </c>
      <c r="C1835" s="41" t="s">
        <v>2928</v>
      </c>
      <c r="D1835" s="41" t="s">
        <v>4974</v>
      </c>
      <c r="E1835" s="41" t="s">
        <v>2929</v>
      </c>
      <c r="F1835" s="41" t="s">
        <v>2949</v>
      </c>
      <c r="G1835" s="41" t="s">
        <v>2950</v>
      </c>
    </row>
    <row r="1836" spans="1:7" x14ac:dyDescent="0.25">
      <c r="A1836" s="41" t="s">
        <v>4996</v>
      </c>
      <c r="B1836" s="41" t="s">
        <v>4975</v>
      </c>
      <c r="C1836" s="41" t="s">
        <v>2928</v>
      </c>
      <c r="D1836" s="41" t="s">
        <v>4974</v>
      </c>
      <c r="E1836" s="41" t="s">
        <v>2929</v>
      </c>
      <c r="F1836" s="41" t="s">
        <v>2949</v>
      </c>
      <c r="G1836" s="41" t="s">
        <v>2950</v>
      </c>
    </row>
    <row r="1837" spans="1:7" x14ac:dyDescent="0.25">
      <c r="A1837" s="41" t="s">
        <v>4997</v>
      </c>
      <c r="B1837" s="41" t="s">
        <v>1076</v>
      </c>
      <c r="C1837" s="41" t="s">
        <v>2928</v>
      </c>
      <c r="D1837" s="41" t="s">
        <v>4997</v>
      </c>
      <c r="E1837" s="41" t="s">
        <v>3756</v>
      </c>
      <c r="F1837" s="41" t="s">
        <v>2930</v>
      </c>
      <c r="G1837" s="41" t="s">
        <v>2931</v>
      </c>
    </row>
    <row r="1838" spans="1:7" x14ac:dyDescent="0.25">
      <c r="A1838" s="41" t="s">
        <v>4998</v>
      </c>
      <c r="B1838" s="41" t="s">
        <v>4999</v>
      </c>
      <c r="C1838" s="41" t="s">
        <v>2928</v>
      </c>
      <c r="D1838" s="41" t="s">
        <v>4998</v>
      </c>
      <c r="E1838" s="41" t="s">
        <v>2929</v>
      </c>
      <c r="F1838" s="41" t="s">
        <v>2930</v>
      </c>
      <c r="G1838" s="41" t="s">
        <v>2931</v>
      </c>
    </row>
    <row r="1839" spans="1:7" x14ac:dyDescent="0.25">
      <c r="A1839" s="41" t="s">
        <v>5000</v>
      </c>
      <c r="B1839" s="41" t="s">
        <v>4999</v>
      </c>
      <c r="C1839" s="41" t="s">
        <v>2928</v>
      </c>
      <c r="D1839" s="41" t="s">
        <v>4998</v>
      </c>
      <c r="E1839" s="41" t="s">
        <v>2929</v>
      </c>
      <c r="F1839" s="41" t="s">
        <v>2933</v>
      </c>
      <c r="G1839" s="41" t="s">
        <v>2934</v>
      </c>
    </row>
    <row r="1840" spans="1:7" x14ac:dyDescent="0.25">
      <c r="A1840" s="41" t="s">
        <v>5001</v>
      </c>
      <c r="B1840" s="41" t="s">
        <v>4999</v>
      </c>
      <c r="C1840" s="41" t="s">
        <v>2928</v>
      </c>
      <c r="D1840" s="41" t="s">
        <v>4998</v>
      </c>
      <c r="E1840" s="41" t="s">
        <v>2929</v>
      </c>
      <c r="F1840" s="41" t="s">
        <v>2933</v>
      </c>
      <c r="G1840" s="41" t="s">
        <v>2934</v>
      </c>
    </row>
    <row r="1841" spans="1:7" x14ac:dyDescent="0.25">
      <c r="A1841" s="41" t="s">
        <v>5002</v>
      </c>
      <c r="B1841" s="41" t="s">
        <v>4999</v>
      </c>
      <c r="C1841" s="41" t="s">
        <v>2928</v>
      </c>
      <c r="D1841" s="41" t="s">
        <v>4998</v>
      </c>
      <c r="E1841" s="41" t="s">
        <v>2929</v>
      </c>
      <c r="F1841" s="41" t="s">
        <v>2933</v>
      </c>
      <c r="G1841" s="41" t="s">
        <v>2934</v>
      </c>
    </row>
    <row r="1842" spans="1:7" x14ac:dyDescent="0.25">
      <c r="A1842" s="41" t="s">
        <v>5003</v>
      </c>
      <c r="B1842" s="41" t="s">
        <v>4999</v>
      </c>
      <c r="C1842" s="41" t="s">
        <v>2928</v>
      </c>
      <c r="D1842" s="41" t="s">
        <v>4998</v>
      </c>
      <c r="E1842" s="41" t="s">
        <v>2929</v>
      </c>
      <c r="F1842" s="41" t="s">
        <v>2933</v>
      </c>
      <c r="G1842" s="41" t="s">
        <v>2934</v>
      </c>
    </row>
    <row r="1843" spans="1:7" x14ac:dyDescent="0.25">
      <c r="A1843" s="41" t="s">
        <v>5004</v>
      </c>
      <c r="B1843" s="41" t="s">
        <v>4999</v>
      </c>
      <c r="C1843" s="41" t="s">
        <v>2928</v>
      </c>
      <c r="D1843" s="41" t="s">
        <v>4998</v>
      </c>
      <c r="E1843" s="41" t="s">
        <v>2929</v>
      </c>
      <c r="F1843" s="41" t="s">
        <v>2933</v>
      </c>
      <c r="G1843" s="41" t="s">
        <v>2934</v>
      </c>
    </row>
    <row r="1844" spans="1:7" x14ac:dyDescent="0.25">
      <c r="A1844" s="41" t="s">
        <v>5005</v>
      </c>
      <c r="B1844" s="41" t="s">
        <v>4999</v>
      </c>
      <c r="C1844" s="41" t="s">
        <v>2928</v>
      </c>
      <c r="D1844" s="41" t="s">
        <v>4998</v>
      </c>
      <c r="E1844" s="41" t="s">
        <v>2929</v>
      </c>
      <c r="F1844" s="41" t="s">
        <v>2933</v>
      </c>
      <c r="G1844" s="41" t="s">
        <v>2934</v>
      </c>
    </row>
    <row r="1845" spans="1:7" x14ac:dyDescent="0.25">
      <c r="A1845" s="41" t="s">
        <v>5006</v>
      </c>
      <c r="B1845" s="41" t="s">
        <v>4999</v>
      </c>
      <c r="C1845" s="41" t="s">
        <v>2928</v>
      </c>
      <c r="D1845" s="41" t="s">
        <v>4998</v>
      </c>
      <c r="E1845" s="41" t="s">
        <v>2929</v>
      </c>
      <c r="F1845" s="41" t="s">
        <v>2933</v>
      </c>
      <c r="G1845" s="41" t="s">
        <v>2934</v>
      </c>
    </row>
    <row r="1846" spans="1:7" x14ac:dyDescent="0.25">
      <c r="A1846" s="41" t="s">
        <v>5007</v>
      </c>
      <c r="B1846" s="41" t="s">
        <v>4999</v>
      </c>
      <c r="C1846" s="41" t="s">
        <v>2928</v>
      </c>
      <c r="D1846" s="41" t="s">
        <v>4998</v>
      </c>
      <c r="E1846" s="41" t="s">
        <v>2929</v>
      </c>
      <c r="F1846" s="41" t="s">
        <v>2930</v>
      </c>
      <c r="G1846" s="41" t="s">
        <v>2931</v>
      </c>
    </row>
    <row r="1847" spans="1:7" x14ac:dyDescent="0.25">
      <c r="A1847" s="41" t="s">
        <v>5008</v>
      </c>
      <c r="B1847" s="41" t="s">
        <v>4999</v>
      </c>
      <c r="C1847" s="41" t="s">
        <v>2928</v>
      </c>
      <c r="D1847" s="41" t="s">
        <v>4998</v>
      </c>
      <c r="E1847" s="41" t="s">
        <v>2929</v>
      </c>
      <c r="F1847" s="41" t="s">
        <v>2930</v>
      </c>
      <c r="G1847" s="41" t="s">
        <v>2931</v>
      </c>
    </row>
    <row r="1848" spans="1:7" x14ac:dyDescent="0.25">
      <c r="A1848" s="41" t="s">
        <v>5009</v>
      </c>
      <c r="B1848" s="41" t="s">
        <v>4999</v>
      </c>
      <c r="C1848" s="41" t="s">
        <v>2928</v>
      </c>
      <c r="D1848" s="41" t="s">
        <v>4998</v>
      </c>
      <c r="E1848" s="41" t="s">
        <v>2929</v>
      </c>
      <c r="F1848" s="41" t="s">
        <v>2930</v>
      </c>
      <c r="G1848" s="41" t="s">
        <v>2931</v>
      </c>
    </row>
    <row r="1849" spans="1:7" x14ac:dyDescent="0.25">
      <c r="A1849" s="41" t="s">
        <v>5010</v>
      </c>
      <c r="B1849" s="41" t="s">
        <v>4999</v>
      </c>
      <c r="C1849" s="41" t="s">
        <v>2928</v>
      </c>
      <c r="D1849" s="41" t="s">
        <v>4998</v>
      </c>
      <c r="E1849" s="41" t="s">
        <v>2929</v>
      </c>
      <c r="F1849" s="41" t="s">
        <v>2930</v>
      </c>
      <c r="G1849" s="41" t="s">
        <v>2931</v>
      </c>
    </row>
    <row r="1850" spans="1:7" x14ac:dyDescent="0.25">
      <c r="A1850" s="41" t="s">
        <v>5011</v>
      </c>
      <c r="B1850" s="41" t="s">
        <v>4999</v>
      </c>
      <c r="C1850" s="41" t="s">
        <v>2928</v>
      </c>
      <c r="D1850" s="41" t="s">
        <v>4998</v>
      </c>
      <c r="E1850" s="41" t="s">
        <v>2929</v>
      </c>
      <c r="F1850" s="41" t="s">
        <v>2930</v>
      </c>
      <c r="G1850" s="41" t="s">
        <v>2931</v>
      </c>
    </row>
    <row r="1851" spans="1:7" x14ac:dyDescent="0.25">
      <c r="A1851" s="41" t="s">
        <v>5012</v>
      </c>
      <c r="B1851" s="41" t="s">
        <v>4999</v>
      </c>
      <c r="C1851" s="41" t="s">
        <v>2928</v>
      </c>
      <c r="D1851" s="41" t="s">
        <v>4998</v>
      </c>
      <c r="E1851" s="41" t="s">
        <v>2929</v>
      </c>
      <c r="F1851" s="41" t="s">
        <v>2930</v>
      </c>
      <c r="G1851" s="41" t="s">
        <v>2931</v>
      </c>
    </row>
    <row r="1852" spans="1:7" x14ac:dyDescent="0.25">
      <c r="A1852" s="41" t="s">
        <v>5013</v>
      </c>
      <c r="B1852" s="41" t="s">
        <v>4999</v>
      </c>
      <c r="C1852" s="41" t="s">
        <v>2928</v>
      </c>
      <c r="D1852" s="41" t="s">
        <v>4998</v>
      </c>
      <c r="E1852" s="41" t="s">
        <v>2929</v>
      </c>
      <c r="F1852" s="41" t="s">
        <v>2930</v>
      </c>
      <c r="G1852" s="41" t="s">
        <v>2931</v>
      </c>
    </row>
    <row r="1853" spans="1:7" x14ac:dyDescent="0.25">
      <c r="A1853" s="41" t="s">
        <v>5014</v>
      </c>
      <c r="B1853" s="41" t="s">
        <v>4999</v>
      </c>
      <c r="C1853" s="41" t="s">
        <v>2928</v>
      </c>
      <c r="D1853" s="41" t="s">
        <v>4998</v>
      </c>
      <c r="E1853" s="41" t="s">
        <v>2929</v>
      </c>
      <c r="F1853" s="41" t="s">
        <v>2949</v>
      </c>
      <c r="G1853" s="41" t="s">
        <v>2950</v>
      </c>
    </row>
    <row r="1854" spans="1:7" x14ac:dyDescent="0.25">
      <c r="A1854" s="41" t="s">
        <v>5015</v>
      </c>
      <c r="B1854" s="41" t="s">
        <v>4999</v>
      </c>
      <c r="C1854" s="41" t="s">
        <v>2928</v>
      </c>
      <c r="D1854" s="41" t="s">
        <v>4998</v>
      </c>
      <c r="E1854" s="41" t="s">
        <v>2929</v>
      </c>
      <c r="F1854" s="41" t="s">
        <v>2949</v>
      </c>
      <c r="G1854" s="41" t="s">
        <v>2950</v>
      </c>
    </row>
    <row r="1855" spans="1:7" x14ac:dyDescent="0.25">
      <c r="A1855" s="41" t="s">
        <v>5016</v>
      </c>
      <c r="B1855" s="41" t="s">
        <v>4999</v>
      </c>
      <c r="C1855" s="41" t="s">
        <v>2928</v>
      </c>
      <c r="D1855" s="41" t="s">
        <v>4998</v>
      </c>
      <c r="E1855" s="41" t="s">
        <v>2929</v>
      </c>
      <c r="F1855" s="41" t="s">
        <v>2949</v>
      </c>
      <c r="G1855" s="41" t="s">
        <v>2950</v>
      </c>
    </row>
    <row r="1856" spans="1:7" x14ac:dyDescent="0.25">
      <c r="A1856" s="41" t="s">
        <v>5017</v>
      </c>
      <c r="B1856" s="41" t="s">
        <v>4999</v>
      </c>
      <c r="C1856" s="41" t="s">
        <v>2928</v>
      </c>
      <c r="D1856" s="41" t="s">
        <v>4998</v>
      </c>
      <c r="E1856" s="41" t="s">
        <v>2929</v>
      </c>
      <c r="F1856" s="41" t="s">
        <v>2949</v>
      </c>
      <c r="G1856" s="41" t="s">
        <v>2950</v>
      </c>
    </row>
    <row r="1857" spans="1:7" x14ac:dyDescent="0.25">
      <c r="A1857" s="41" t="s">
        <v>5018</v>
      </c>
      <c r="B1857" s="41" t="s">
        <v>4999</v>
      </c>
      <c r="C1857" s="41" t="s">
        <v>2928</v>
      </c>
      <c r="D1857" s="41" t="s">
        <v>4998</v>
      </c>
      <c r="E1857" s="41" t="s">
        <v>2929</v>
      </c>
      <c r="F1857" s="41" t="s">
        <v>2949</v>
      </c>
      <c r="G1857" s="41" t="s">
        <v>2950</v>
      </c>
    </row>
    <row r="1858" spans="1:7" x14ac:dyDescent="0.25">
      <c r="A1858" s="41" t="s">
        <v>5019</v>
      </c>
      <c r="B1858" s="41" t="s">
        <v>4999</v>
      </c>
      <c r="C1858" s="41" t="s">
        <v>2928</v>
      </c>
      <c r="D1858" s="41" t="s">
        <v>4998</v>
      </c>
      <c r="E1858" s="41" t="s">
        <v>2929</v>
      </c>
      <c r="F1858" s="41" t="s">
        <v>2949</v>
      </c>
      <c r="G1858" s="41" t="s">
        <v>2950</v>
      </c>
    </row>
    <row r="1859" spans="1:7" x14ac:dyDescent="0.25">
      <c r="A1859" s="41" t="s">
        <v>5020</v>
      </c>
      <c r="B1859" s="41" t="s">
        <v>4999</v>
      </c>
      <c r="C1859" s="41" t="s">
        <v>2928</v>
      </c>
      <c r="D1859" s="41" t="s">
        <v>4998</v>
      </c>
      <c r="E1859" s="41" t="s">
        <v>2929</v>
      </c>
      <c r="F1859" s="41" t="s">
        <v>2949</v>
      </c>
      <c r="G1859" s="41" t="s">
        <v>2950</v>
      </c>
    </row>
    <row r="1860" spans="1:7" x14ac:dyDescent="0.25">
      <c r="A1860" s="41" t="s">
        <v>5021</v>
      </c>
      <c r="B1860" s="41" t="s">
        <v>1070</v>
      </c>
      <c r="C1860" s="41" t="s">
        <v>2928</v>
      </c>
      <c r="D1860" s="41" t="s">
        <v>5021</v>
      </c>
      <c r="E1860" s="41" t="s">
        <v>2929</v>
      </c>
      <c r="F1860" s="41" t="s">
        <v>2930</v>
      </c>
      <c r="G1860" s="41" t="s">
        <v>2931</v>
      </c>
    </row>
    <row r="1861" spans="1:7" x14ac:dyDescent="0.25">
      <c r="A1861" s="41" t="s">
        <v>5022</v>
      </c>
      <c r="B1861" s="41" t="s">
        <v>1070</v>
      </c>
      <c r="C1861" s="41" t="s">
        <v>2928</v>
      </c>
      <c r="D1861" s="41" t="s">
        <v>5021</v>
      </c>
      <c r="E1861" s="41" t="s">
        <v>2929</v>
      </c>
      <c r="F1861" s="41" t="s">
        <v>2933</v>
      </c>
      <c r="G1861" s="41" t="s">
        <v>2934</v>
      </c>
    </row>
    <row r="1862" spans="1:7" x14ac:dyDescent="0.25">
      <c r="A1862" s="41" t="s">
        <v>5023</v>
      </c>
      <c r="B1862" s="41" t="s">
        <v>1070</v>
      </c>
      <c r="C1862" s="41" t="s">
        <v>2928</v>
      </c>
      <c r="D1862" s="41" t="s">
        <v>5021</v>
      </c>
      <c r="E1862" s="41" t="s">
        <v>2929</v>
      </c>
      <c r="F1862" s="41" t="s">
        <v>2930</v>
      </c>
      <c r="G1862" s="41" t="s">
        <v>2931</v>
      </c>
    </row>
    <row r="1863" spans="1:7" x14ac:dyDescent="0.25">
      <c r="A1863" s="41" t="s">
        <v>5024</v>
      </c>
      <c r="B1863" s="41" t="s">
        <v>1070</v>
      </c>
      <c r="C1863" s="41" t="s">
        <v>2928</v>
      </c>
      <c r="D1863" s="41" t="s">
        <v>5021</v>
      </c>
      <c r="E1863" s="41" t="s">
        <v>2929</v>
      </c>
      <c r="F1863" s="41" t="s">
        <v>2949</v>
      </c>
      <c r="G1863" s="41" t="s">
        <v>2950</v>
      </c>
    </row>
    <row r="1864" spans="1:7" x14ac:dyDescent="0.25">
      <c r="A1864" s="41" t="s">
        <v>5025</v>
      </c>
      <c r="B1864" s="41" t="s">
        <v>5026</v>
      </c>
      <c r="C1864" s="41" t="s">
        <v>2928</v>
      </c>
      <c r="D1864" s="41" t="s">
        <v>5025</v>
      </c>
      <c r="E1864" s="41" t="s">
        <v>2929</v>
      </c>
      <c r="F1864" s="41" t="s">
        <v>2930</v>
      </c>
      <c r="G1864" s="41" t="s">
        <v>2931</v>
      </c>
    </row>
    <row r="1865" spans="1:7" x14ac:dyDescent="0.25">
      <c r="A1865" s="41" t="s">
        <v>5027</v>
      </c>
      <c r="B1865" s="41" t="s">
        <v>5026</v>
      </c>
      <c r="C1865" s="41" t="s">
        <v>2928</v>
      </c>
      <c r="D1865" s="41" t="s">
        <v>5025</v>
      </c>
      <c r="E1865" s="41" t="s">
        <v>2929</v>
      </c>
      <c r="F1865" s="41" t="s">
        <v>2933</v>
      </c>
      <c r="G1865" s="41" t="s">
        <v>2934</v>
      </c>
    </row>
    <row r="1866" spans="1:7" x14ac:dyDescent="0.25">
      <c r="A1866" s="41" t="s">
        <v>5028</v>
      </c>
      <c r="B1866" s="41" t="s">
        <v>5026</v>
      </c>
      <c r="C1866" s="41" t="s">
        <v>2928</v>
      </c>
      <c r="D1866" s="41" t="s">
        <v>5025</v>
      </c>
      <c r="E1866" s="41" t="s">
        <v>2929</v>
      </c>
      <c r="F1866" s="41" t="s">
        <v>2933</v>
      </c>
      <c r="G1866" s="41" t="s">
        <v>2934</v>
      </c>
    </row>
    <row r="1867" spans="1:7" x14ac:dyDescent="0.25">
      <c r="A1867" s="41" t="s">
        <v>5029</v>
      </c>
      <c r="B1867" s="41" t="s">
        <v>5026</v>
      </c>
      <c r="C1867" s="41" t="s">
        <v>2928</v>
      </c>
      <c r="D1867" s="41" t="s">
        <v>5025</v>
      </c>
      <c r="E1867" s="41" t="s">
        <v>2929</v>
      </c>
      <c r="F1867" s="41" t="s">
        <v>2930</v>
      </c>
      <c r="G1867" s="41" t="s">
        <v>2931</v>
      </c>
    </row>
    <row r="1868" spans="1:7" x14ac:dyDescent="0.25">
      <c r="A1868" s="41" t="s">
        <v>5030</v>
      </c>
      <c r="B1868" s="41" t="s">
        <v>5026</v>
      </c>
      <c r="C1868" s="41" t="s">
        <v>2928</v>
      </c>
      <c r="D1868" s="41" t="s">
        <v>5025</v>
      </c>
      <c r="E1868" s="41" t="s">
        <v>2929</v>
      </c>
      <c r="F1868" s="41" t="s">
        <v>2949</v>
      </c>
      <c r="G1868" s="41" t="s">
        <v>2950</v>
      </c>
    </row>
    <row r="1869" spans="1:7" x14ac:dyDescent="0.25">
      <c r="A1869" s="41" t="s">
        <v>5031</v>
      </c>
      <c r="B1869" s="41" t="s">
        <v>5026</v>
      </c>
      <c r="C1869" s="41" t="s">
        <v>2928</v>
      </c>
      <c r="D1869" s="41" t="s">
        <v>5025</v>
      </c>
      <c r="E1869" s="41" t="s">
        <v>2929</v>
      </c>
      <c r="F1869" s="41" t="s">
        <v>2949</v>
      </c>
      <c r="G1869" s="41" t="s">
        <v>2950</v>
      </c>
    </row>
    <row r="1870" spans="1:7" x14ac:dyDescent="0.25">
      <c r="A1870" s="41" t="s">
        <v>5032</v>
      </c>
      <c r="B1870" s="41" t="s">
        <v>5033</v>
      </c>
      <c r="C1870" s="41" t="s">
        <v>2928</v>
      </c>
      <c r="D1870" s="41" t="s">
        <v>5032</v>
      </c>
      <c r="E1870" s="41" t="s">
        <v>2929</v>
      </c>
      <c r="F1870" s="41" t="s">
        <v>2930</v>
      </c>
      <c r="G1870" s="41" t="s">
        <v>2931</v>
      </c>
    </row>
    <row r="1871" spans="1:7" x14ac:dyDescent="0.25">
      <c r="A1871" s="41" t="s">
        <v>5034</v>
      </c>
      <c r="B1871" s="41" t="s">
        <v>1037</v>
      </c>
      <c r="C1871" s="41" t="s">
        <v>2928</v>
      </c>
      <c r="D1871" s="41" t="s">
        <v>5034</v>
      </c>
      <c r="E1871" s="41" t="s">
        <v>2929</v>
      </c>
      <c r="F1871" s="41" t="s">
        <v>2930</v>
      </c>
      <c r="G1871" s="41" t="s">
        <v>2931</v>
      </c>
    </row>
    <row r="1872" spans="1:7" x14ac:dyDescent="0.25">
      <c r="A1872" s="41" t="s">
        <v>5035</v>
      </c>
      <c r="B1872" s="41" t="s">
        <v>1037</v>
      </c>
      <c r="C1872" s="41" t="s">
        <v>2928</v>
      </c>
      <c r="D1872" s="41" t="s">
        <v>5034</v>
      </c>
      <c r="E1872" s="41" t="s">
        <v>2929</v>
      </c>
      <c r="F1872" s="41" t="s">
        <v>2933</v>
      </c>
      <c r="G1872" s="41" t="s">
        <v>2934</v>
      </c>
    </row>
    <row r="1873" spans="1:7" x14ac:dyDescent="0.25">
      <c r="A1873" s="41" t="s">
        <v>5036</v>
      </c>
      <c r="B1873" s="41" t="s">
        <v>1037</v>
      </c>
      <c r="C1873" s="41" t="s">
        <v>2928</v>
      </c>
      <c r="D1873" s="41" t="s">
        <v>5034</v>
      </c>
      <c r="E1873" s="41" t="s">
        <v>2929</v>
      </c>
      <c r="F1873" s="41" t="s">
        <v>2933</v>
      </c>
      <c r="G1873" s="41" t="s">
        <v>2934</v>
      </c>
    </row>
    <row r="1874" spans="1:7" x14ac:dyDescent="0.25">
      <c r="A1874" s="41" t="s">
        <v>5037</v>
      </c>
      <c r="B1874" s="41" t="s">
        <v>1037</v>
      </c>
      <c r="C1874" s="41" t="s">
        <v>2928</v>
      </c>
      <c r="D1874" s="41" t="s">
        <v>5034</v>
      </c>
      <c r="E1874" s="41" t="s">
        <v>2929</v>
      </c>
      <c r="F1874" s="41" t="s">
        <v>2930</v>
      </c>
      <c r="G1874" s="41" t="s">
        <v>2931</v>
      </c>
    </row>
    <row r="1875" spans="1:7" x14ac:dyDescent="0.25">
      <c r="A1875" s="41" t="s">
        <v>5038</v>
      </c>
      <c r="B1875" s="41" t="s">
        <v>1037</v>
      </c>
      <c r="C1875" s="41" t="s">
        <v>2928</v>
      </c>
      <c r="D1875" s="41" t="s">
        <v>5034</v>
      </c>
      <c r="E1875" s="41" t="s">
        <v>2929</v>
      </c>
      <c r="F1875" s="41" t="s">
        <v>2949</v>
      </c>
      <c r="G1875" s="41" t="s">
        <v>2950</v>
      </c>
    </row>
    <row r="1876" spans="1:7" x14ac:dyDescent="0.25">
      <c r="A1876" s="41" t="s">
        <v>5039</v>
      </c>
      <c r="B1876" s="41" t="s">
        <v>1037</v>
      </c>
      <c r="C1876" s="41" t="s">
        <v>2928</v>
      </c>
      <c r="D1876" s="41" t="s">
        <v>5034</v>
      </c>
      <c r="E1876" s="41" t="s">
        <v>2929</v>
      </c>
      <c r="F1876" s="41" t="s">
        <v>2949</v>
      </c>
      <c r="G1876" s="41" t="s">
        <v>2950</v>
      </c>
    </row>
    <row r="1877" spans="1:7" x14ac:dyDescent="0.25">
      <c r="A1877" s="41" t="s">
        <v>5040</v>
      </c>
      <c r="B1877" s="41" t="s">
        <v>5041</v>
      </c>
      <c r="C1877" s="41" t="s">
        <v>2928</v>
      </c>
      <c r="D1877" s="41" t="s">
        <v>5040</v>
      </c>
      <c r="E1877" s="41" t="s">
        <v>2929</v>
      </c>
      <c r="F1877" s="41" t="s">
        <v>2930</v>
      </c>
      <c r="G1877" s="41" t="s">
        <v>2931</v>
      </c>
    </row>
    <row r="1878" spans="1:7" x14ac:dyDescent="0.25">
      <c r="A1878" s="41" t="s">
        <v>5042</v>
      </c>
      <c r="B1878" s="41" t="s">
        <v>5041</v>
      </c>
      <c r="C1878" s="41" t="s">
        <v>2928</v>
      </c>
      <c r="D1878" s="41" t="s">
        <v>5040</v>
      </c>
      <c r="E1878" s="41" t="s">
        <v>2929</v>
      </c>
      <c r="F1878" s="41" t="s">
        <v>2933</v>
      </c>
      <c r="G1878" s="41" t="s">
        <v>2934</v>
      </c>
    </row>
    <row r="1879" spans="1:7" x14ac:dyDescent="0.25">
      <c r="A1879" s="41" t="s">
        <v>5043</v>
      </c>
      <c r="B1879" s="41" t="s">
        <v>5041</v>
      </c>
      <c r="C1879" s="41" t="s">
        <v>2928</v>
      </c>
      <c r="D1879" s="41" t="s">
        <v>5040</v>
      </c>
      <c r="E1879" s="41" t="s">
        <v>2929</v>
      </c>
      <c r="F1879" s="41" t="s">
        <v>2933</v>
      </c>
      <c r="G1879" s="41" t="s">
        <v>2934</v>
      </c>
    </row>
    <row r="1880" spans="1:7" x14ac:dyDescent="0.25">
      <c r="A1880" s="41" t="s">
        <v>5044</v>
      </c>
      <c r="B1880" s="41" t="s">
        <v>5041</v>
      </c>
      <c r="C1880" s="41" t="s">
        <v>2928</v>
      </c>
      <c r="D1880" s="41" t="s">
        <v>5040</v>
      </c>
      <c r="E1880" s="41" t="s">
        <v>2929</v>
      </c>
      <c r="F1880" s="41" t="s">
        <v>2930</v>
      </c>
      <c r="G1880" s="41" t="s">
        <v>2931</v>
      </c>
    </row>
    <row r="1881" spans="1:7" x14ac:dyDescent="0.25">
      <c r="A1881" s="41" t="s">
        <v>5045</v>
      </c>
      <c r="B1881" s="41" t="s">
        <v>5041</v>
      </c>
      <c r="C1881" s="41" t="s">
        <v>2928</v>
      </c>
      <c r="D1881" s="41" t="s">
        <v>5040</v>
      </c>
      <c r="E1881" s="41" t="s">
        <v>2929</v>
      </c>
      <c r="F1881" s="41" t="s">
        <v>2949</v>
      </c>
      <c r="G1881" s="41" t="s">
        <v>2950</v>
      </c>
    </row>
    <row r="1882" spans="1:7" x14ac:dyDescent="0.25">
      <c r="A1882" s="41" t="s">
        <v>5046</v>
      </c>
      <c r="B1882" s="41" t="s">
        <v>5041</v>
      </c>
      <c r="C1882" s="41" t="s">
        <v>2928</v>
      </c>
      <c r="D1882" s="41" t="s">
        <v>5040</v>
      </c>
      <c r="E1882" s="41" t="s">
        <v>2929</v>
      </c>
      <c r="F1882" s="41" t="s">
        <v>2949</v>
      </c>
      <c r="G1882" s="41" t="s">
        <v>2950</v>
      </c>
    </row>
    <row r="1883" spans="1:7" x14ac:dyDescent="0.25">
      <c r="A1883" s="41" t="s">
        <v>5047</v>
      </c>
      <c r="B1883" s="41" t="s">
        <v>5041</v>
      </c>
      <c r="C1883" s="41" t="s">
        <v>2928</v>
      </c>
      <c r="D1883" s="41" t="s">
        <v>5040</v>
      </c>
      <c r="E1883" s="41" t="s">
        <v>2929</v>
      </c>
      <c r="F1883" s="41" t="s">
        <v>2949</v>
      </c>
      <c r="G1883" s="41" t="s">
        <v>2950</v>
      </c>
    </row>
    <row r="1884" spans="1:7" x14ac:dyDescent="0.25">
      <c r="A1884" s="41" t="s">
        <v>5048</v>
      </c>
      <c r="B1884" s="41" t="s">
        <v>1101</v>
      </c>
      <c r="C1884" s="41" t="s">
        <v>2928</v>
      </c>
      <c r="D1884" s="41" t="s">
        <v>5048</v>
      </c>
      <c r="E1884" s="41" t="s">
        <v>2929</v>
      </c>
      <c r="F1884" s="41" t="s">
        <v>2930</v>
      </c>
      <c r="G1884" s="41" t="s">
        <v>2931</v>
      </c>
    </row>
    <row r="1885" spans="1:7" x14ac:dyDescent="0.25">
      <c r="A1885" s="41" t="s">
        <v>5049</v>
      </c>
      <c r="B1885" s="41" t="s">
        <v>5050</v>
      </c>
      <c r="C1885" s="41" t="s">
        <v>2928</v>
      </c>
      <c r="D1885" s="41" t="s">
        <v>5049</v>
      </c>
      <c r="E1885" s="41" t="s">
        <v>2929</v>
      </c>
      <c r="F1885" s="41" t="s">
        <v>2930</v>
      </c>
      <c r="G1885" s="41" t="s">
        <v>2931</v>
      </c>
    </row>
    <row r="1886" spans="1:7" x14ac:dyDescent="0.25">
      <c r="A1886" s="41" t="s">
        <v>5051</v>
      </c>
      <c r="B1886" s="41" t="s">
        <v>5050</v>
      </c>
      <c r="C1886" s="41" t="s">
        <v>2928</v>
      </c>
      <c r="D1886" s="41" t="s">
        <v>5049</v>
      </c>
      <c r="E1886" s="41" t="s">
        <v>2929</v>
      </c>
      <c r="F1886" s="41" t="s">
        <v>2933</v>
      </c>
      <c r="G1886" s="41" t="s">
        <v>2934</v>
      </c>
    </row>
    <row r="1887" spans="1:7" x14ac:dyDescent="0.25">
      <c r="A1887" s="41" t="s">
        <v>5052</v>
      </c>
      <c r="B1887" s="41" t="s">
        <v>5050</v>
      </c>
      <c r="C1887" s="41" t="s">
        <v>2928</v>
      </c>
      <c r="D1887" s="41" t="s">
        <v>5049</v>
      </c>
      <c r="E1887" s="41" t="s">
        <v>2929</v>
      </c>
      <c r="F1887" s="41" t="s">
        <v>2933</v>
      </c>
      <c r="G1887" s="41" t="s">
        <v>2934</v>
      </c>
    </row>
    <row r="1888" spans="1:7" x14ac:dyDescent="0.25">
      <c r="A1888" s="41" t="s">
        <v>5053</v>
      </c>
      <c r="B1888" s="41" t="s">
        <v>5050</v>
      </c>
      <c r="C1888" s="41" t="s">
        <v>2928</v>
      </c>
      <c r="D1888" s="41" t="s">
        <v>5049</v>
      </c>
      <c r="E1888" s="41" t="s">
        <v>2929</v>
      </c>
      <c r="F1888" s="41" t="s">
        <v>2949</v>
      </c>
      <c r="G1888" s="41" t="s">
        <v>2950</v>
      </c>
    </row>
    <row r="1889" spans="1:7" x14ac:dyDescent="0.25">
      <c r="A1889" s="41" t="s">
        <v>5054</v>
      </c>
      <c r="B1889" s="41" t="s">
        <v>5055</v>
      </c>
      <c r="C1889" s="41" t="s">
        <v>2928</v>
      </c>
      <c r="D1889" s="41" t="s">
        <v>5054</v>
      </c>
      <c r="E1889" s="41" t="s">
        <v>2929</v>
      </c>
      <c r="F1889" s="41" t="s">
        <v>2930</v>
      </c>
      <c r="G1889" s="41" t="s">
        <v>2931</v>
      </c>
    </row>
    <row r="1890" spans="1:7" x14ac:dyDescent="0.25">
      <c r="A1890" s="41" t="s">
        <v>5056</v>
      </c>
      <c r="B1890" s="41" t="s">
        <v>5055</v>
      </c>
      <c r="C1890" s="41" t="s">
        <v>2928</v>
      </c>
      <c r="D1890" s="41" t="s">
        <v>5054</v>
      </c>
      <c r="E1890" s="41" t="s">
        <v>2929</v>
      </c>
      <c r="F1890" s="41" t="s">
        <v>2933</v>
      </c>
      <c r="G1890" s="41" t="s">
        <v>2934</v>
      </c>
    </row>
    <row r="1891" spans="1:7" x14ac:dyDescent="0.25">
      <c r="A1891" s="41" t="s">
        <v>5057</v>
      </c>
      <c r="B1891" s="41" t="s">
        <v>5055</v>
      </c>
      <c r="C1891" s="41" t="s">
        <v>2928</v>
      </c>
      <c r="D1891" s="41" t="s">
        <v>5054</v>
      </c>
      <c r="E1891" s="41" t="s">
        <v>2929</v>
      </c>
      <c r="F1891" s="41" t="s">
        <v>2933</v>
      </c>
      <c r="G1891" s="41" t="s">
        <v>2934</v>
      </c>
    </row>
    <row r="1892" spans="1:7" x14ac:dyDescent="0.25">
      <c r="A1892" s="41" t="s">
        <v>5058</v>
      </c>
      <c r="B1892" s="41" t="s">
        <v>5055</v>
      </c>
      <c r="C1892" s="41" t="s">
        <v>2928</v>
      </c>
      <c r="D1892" s="41" t="s">
        <v>5054</v>
      </c>
      <c r="E1892" s="41" t="s">
        <v>2929</v>
      </c>
      <c r="F1892" s="41" t="s">
        <v>2933</v>
      </c>
      <c r="G1892" s="41" t="s">
        <v>2934</v>
      </c>
    </row>
    <row r="1893" spans="1:7" x14ac:dyDescent="0.25">
      <c r="A1893" s="41" t="s">
        <v>5059</v>
      </c>
      <c r="B1893" s="41" t="s">
        <v>5055</v>
      </c>
      <c r="C1893" s="41" t="s">
        <v>2928</v>
      </c>
      <c r="D1893" s="41" t="s">
        <v>5054</v>
      </c>
      <c r="E1893" s="41" t="s">
        <v>2929</v>
      </c>
      <c r="F1893" s="41" t="s">
        <v>2933</v>
      </c>
      <c r="G1893" s="41" t="s">
        <v>2934</v>
      </c>
    </row>
    <row r="1894" spans="1:7" x14ac:dyDescent="0.25">
      <c r="A1894" s="41" t="s">
        <v>5060</v>
      </c>
      <c r="B1894" s="41" t="s">
        <v>5055</v>
      </c>
      <c r="C1894" s="41" t="s">
        <v>2928</v>
      </c>
      <c r="D1894" s="41" t="s">
        <v>5054</v>
      </c>
      <c r="E1894" s="41" t="s">
        <v>2929</v>
      </c>
      <c r="F1894" s="41" t="s">
        <v>2933</v>
      </c>
      <c r="G1894" s="41" t="s">
        <v>2934</v>
      </c>
    </row>
    <row r="1895" spans="1:7" x14ac:dyDescent="0.25">
      <c r="A1895" s="41" t="s">
        <v>5061</v>
      </c>
      <c r="B1895" s="41" t="s">
        <v>5055</v>
      </c>
      <c r="C1895" s="41" t="s">
        <v>2928</v>
      </c>
      <c r="D1895" s="41" t="s">
        <v>5054</v>
      </c>
      <c r="E1895" s="41" t="s">
        <v>2929</v>
      </c>
      <c r="F1895" s="41" t="s">
        <v>2933</v>
      </c>
      <c r="G1895" s="41" t="s">
        <v>2934</v>
      </c>
    </row>
    <row r="1896" spans="1:7" x14ac:dyDescent="0.25">
      <c r="A1896" s="41" t="s">
        <v>5062</v>
      </c>
      <c r="B1896" s="41" t="s">
        <v>5055</v>
      </c>
      <c r="C1896" s="41" t="s">
        <v>2928</v>
      </c>
      <c r="D1896" s="41" t="s">
        <v>5054</v>
      </c>
      <c r="E1896" s="41" t="s">
        <v>2929</v>
      </c>
      <c r="F1896" s="41" t="s">
        <v>2933</v>
      </c>
      <c r="G1896" s="41" t="s">
        <v>2934</v>
      </c>
    </row>
    <row r="1897" spans="1:7" x14ac:dyDescent="0.25">
      <c r="A1897" s="41" t="s">
        <v>5063</v>
      </c>
      <c r="B1897" s="41" t="s">
        <v>5055</v>
      </c>
      <c r="C1897" s="41" t="s">
        <v>2928</v>
      </c>
      <c r="D1897" s="41" t="s">
        <v>5054</v>
      </c>
      <c r="E1897" s="41" t="s">
        <v>2929</v>
      </c>
      <c r="F1897" s="41" t="s">
        <v>2930</v>
      </c>
      <c r="G1897" s="41" t="s">
        <v>2931</v>
      </c>
    </row>
    <row r="1898" spans="1:7" x14ac:dyDescent="0.25">
      <c r="A1898" s="41" t="s">
        <v>5064</v>
      </c>
      <c r="B1898" s="41" t="s">
        <v>5055</v>
      </c>
      <c r="C1898" s="41" t="s">
        <v>2928</v>
      </c>
      <c r="D1898" s="41" t="s">
        <v>5054</v>
      </c>
      <c r="E1898" s="41" t="s">
        <v>2929</v>
      </c>
      <c r="F1898" s="41" t="s">
        <v>2930</v>
      </c>
      <c r="G1898" s="41" t="s">
        <v>2931</v>
      </c>
    </row>
    <row r="1899" spans="1:7" x14ac:dyDescent="0.25">
      <c r="A1899" s="41" t="s">
        <v>5065</v>
      </c>
      <c r="B1899" s="41" t="s">
        <v>5055</v>
      </c>
      <c r="C1899" s="41" t="s">
        <v>2928</v>
      </c>
      <c r="D1899" s="41" t="s">
        <v>5054</v>
      </c>
      <c r="E1899" s="41" t="s">
        <v>2929</v>
      </c>
      <c r="F1899" s="41" t="s">
        <v>2930</v>
      </c>
      <c r="G1899" s="41" t="s">
        <v>2931</v>
      </c>
    </row>
    <row r="1900" spans="1:7" x14ac:dyDescent="0.25">
      <c r="A1900" s="41" t="s">
        <v>5066</v>
      </c>
      <c r="B1900" s="41" t="s">
        <v>5055</v>
      </c>
      <c r="C1900" s="41" t="s">
        <v>2928</v>
      </c>
      <c r="D1900" s="41" t="s">
        <v>5054</v>
      </c>
      <c r="E1900" s="41" t="s">
        <v>2929</v>
      </c>
      <c r="F1900" s="41" t="s">
        <v>2930</v>
      </c>
      <c r="G1900" s="41" t="s">
        <v>2931</v>
      </c>
    </row>
    <row r="1901" spans="1:7" x14ac:dyDescent="0.25">
      <c r="A1901" s="41" t="s">
        <v>5067</v>
      </c>
      <c r="B1901" s="41" t="s">
        <v>5055</v>
      </c>
      <c r="C1901" s="41" t="s">
        <v>2928</v>
      </c>
      <c r="D1901" s="41" t="s">
        <v>5054</v>
      </c>
      <c r="E1901" s="41" t="s">
        <v>2929</v>
      </c>
      <c r="F1901" s="41" t="s">
        <v>2930</v>
      </c>
      <c r="G1901" s="41" t="s">
        <v>2931</v>
      </c>
    </row>
    <row r="1902" spans="1:7" x14ac:dyDescent="0.25">
      <c r="A1902" s="41" t="s">
        <v>5068</v>
      </c>
      <c r="B1902" s="41" t="s">
        <v>5055</v>
      </c>
      <c r="C1902" s="41" t="s">
        <v>2928</v>
      </c>
      <c r="D1902" s="41" t="s">
        <v>5054</v>
      </c>
      <c r="E1902" s="41" t="s">
        <v>2929</v>
      </c>
      <c r="F1902" s="41" t="s">
        <v>2930</v>
      </c>
      <c r="G1902" s="41" t="s">
        <v>2931</v>
      </c>
    </row>
    <row r="1903" spans="1:7" x14ac:dyDescent="0.25">
      <c r="A1903" s="41" t="s">
        <v>5069</v>
      </c>
      <c r="B1903" s="41" t="s">
        <v>5055</v>
      </c>
      <c r="C1903" s="41" t="s">
        <v>2928</v>
      </c>
      <c r="D1903" s="41" t="s">
        <v>5054</v>
      </c>
      <c r="E1903" s="41" t="s">
        <v>2929</v>
      </c>
      <c r="F1903" s="41" t="s">
        <v>2930</v>
      </c>
      <c r="G1903" s="41" t="s">
        <v>2931</v>
      </c>
    </row>
    <row r="1904" spans="1:7" x14ac:dyDescent="0.25">
      <c r="A1904" s="41" t="s">
        <v>5070</v>
      </c>
      <c r="B1904" s="41" t="s">
        <v>5055</v>
      </c>
      <c r="C1904" s="41" t="s">
        <v>2928</v>
      </c>
      <c r="D1904" s="41" t="s">
        <v>5054</v>
      </c>
      <c r="E1904" s="41" t="s">
        <v>2929</v>
      </c>
      <c r="F1904" s="41" t="s">
        <v>2949</v>
      </c>
      <c r="G1904" s="41" t="s">
        <v>2950</v>
      </c>
    </row>
    <row r="1905" spans="1:7" x14ac:dyDescent="0.25">
      <c r="A1905" s="41" t="s">
        <v>5071</v>
      </c>
      <c r="B1905" s="41" t="s">
        <v>5055</v>
      </c>
      <c r="C1905" s="41" t="s">
        <v>2928</v>
      </c>
      <c r="D1905" s="41" t="s">
        <v>5054</v>
      </c>
      <c r="E1905" s="41" t="s">
        <v>2929</v>
      </c>
      <c r="F1905" s="41" t="s">
        <v>2949</v>
      </c>
      <c r="G1905" s="41" t="s">
        <v>2950</v>
      </c>
    </row>
    <row r="1906" spans="1:7" x14ac:dyDescent="0.25">
      <c r="A1906" s="41" t="s">
        <v>5072</v>
      </c>
      <c r="B1906" s="41" t="s">
        <v>5055</v>
      </c>
      <c r="C1906" s="41" t="s">
        <v>2928</v>
      </c>
      <c r="D1906" s="41" t="s">
        <v>5054</v>
      </c>
      <c r="E1906" s="41" t="s">
        <v>2929</v>
      </c>
      <c r="F1906" s="41" t="s">
        <v>2949</v>
      </c>
      <c r="G1906" s="41" t="s">
        <v>2950</v>
      </c>
    </row>
    <row r="1907" spans="1:7" x14ac:dyDescent="0.25">
      <c r="A1907" s="41" t="s">
        <v>5073</v>
      </c>
      <c r="B1907" s="41" t="s">
        <v>5055</v>
      </c>
      <c r="C1907" s="41" t="s">
        <v>2928</v>
      </c>
      <c r="D1907" s="41" t="s">
        <v>5054</v>
      </c>
      <c r="E1907" s="41" t="s">
        <v>2929</v>
      </c>
      <c r="F1907" s="41" t="s">
        <v>2949</v>
      </c>
      <c r="G1907" s="41" t="s">
        <v>2950</v>
      </c>
    </row>
    <row r="1908" spans="1:7" x14ac:dyDescent="0.25">
      <c r="A1908" s="41" t="s">
        <v>5074</v>
      </c>
      <c r="B1908" s="41" t="s">
        <v>5055</v>
      </c>
      <c r="C1908" s="41" t="s">
        <v>2928</v>
      </c>
      <c r="D1908" s="41" t="s">
        <v>5054</v>
      </c>
      <c r="E1908" s="41" t="s">
        <v>2929</v>
      </c>
      <c r="F1908" s="41" t="s">
        <v>2949</v>
      </c>
      <c r="G1908" s="41" t="s">
        <v>2950</v>
      </c>
    </row>
    <row r="1909" spans="1:7" x14ac:dyDescent="0.25">
      <c r="A1909" s="41" t="s">
        <v>5075</v>
      </c>
      <c r="B1909" s="41" t="s">
        <v>5055</v>
      </c>
      <c r="C1909" s="41" t="s">
        <v>2928</v>
      </c>
      <c r="D1909" s="41" t="s">
        <v>5054</v>
      </c>
      <c r="E1909" s="41" t="s">
        <v>2929</v>
      </c>
      <c r="F1909" s="41" t="s">
        <v>2949</v>
      </c>
      <c r="G1909" s="41" t="s">
        <v>2950</v>
      </c>
    </row>
    <row r="1910" spans="1:7" x14ac:dyDescent="0.25">
      <c r="A1910" s="41" t="s">
        <v>5076</v>
      </c>
      <c r="B1910" s="41" t="s">
        <v>5055</v>
      </c>
      <c r="C1910" s="41" t="s">
        <v>2928</v>
      </c>
      <c r="D1910" s="41" t="s">
        <v>5054</v>
      </c>
      <c r="E1910" s="41" t="s">
        <v>2929</v>
      </c>
      <c r="F1910" s="41" t="s">
        <v>2949</v>
      </c>
      <c r="G1910" s="41" t="s">
        <v>2950</v>
      </c>
    </row>
    <row r="1911" spans="1:7" x14ac:dyDescent="0.25">
      <c r="A1911" s="41" t="s">
        <v>5077</v>
      </c>
      <c r="B1911" s="41" t="s">
        <v>655</v>
      </c>
      <c r="C1911" s="41" t="s">
        <v>2928</v>
      </c>
      <c r="D1911" s="41" t="s">
        <v>5077</v>
      </c>
      <c r="E1911" s="41" t="s">
        <v>2929</v>
      </c>
      <c r="F1911" s="41" t="s">
        <v>2930</v>
      </c>
      <c r="G1911" s="41" t="s">
        <v>2931</v>
      </c>
    </row>
    <row r="1912" spans="1:7" x14ac:dyDescent="0.25">
      <c r="A1912" s="41" t="s">
        <v>5078</v>
      </c>
      <c r="B1912" s="41" t="s">
        <v>655</v>
      </c>
      <c r="C1912" s="41" t="s">
        <v>2928</v>
      </c>
      <c r="D1912" s="41" t="s">
        <v>5077</v>
      </c>
      <c r="E1912" s="41" t="s">
        <v>2929</v>
      </c>
      <c r="F1912" s="41" t="s">
        <v>2933</v>
      </c>
      <c r="G1912" s="41" t="s">
        <v>2934</v>
      </c>
    </row>
    <row r="1913" spans="1:7" x14ac:dyDescent="0.25">
      <c r="A1913" s="41" t="s">
        <v>5079</v>
      </c>
      <c r="B1913" s="41" t="s">
        <v>655</v>
      </c>
      <c r="C1913" s="41" t="s">
        <v>2928</v>
      </c>
      <c r="D1913" s="41" t="s">
        <v>5077</v>
      </c>
      <c r="E1913" s="41" t="s">
        <v>2929</v>
      </c>
      <c r="F1913" s="41" t="s">
        <v>2933</v>
      </c>
      <c r="G1913" s="41" t="s">
        <v>2934</v>
      </c>
    </row>
    <row r="1914" spans="1:7" x14ac:dyDescent="0.25">
      <c r="A1914" s="41" t="s">
        <v>5080</v>
      </c>
      <c r="B1914" s="41" t="s">
        <v>655</v>
      </c>
      <c r="C1914" s="41" t="s">
        <v>2928</v>
      </c>
      <c r="D1914" s="41" t="s">
        <v>5077</v>
      </c>
      <c r="E1914" s="41" t="s">
        <v>2929</v>
      </c>
      <c r="F1914" s="41" t="s">
        <v>2933</v>
      </c>
      <c r="G1914" s="41" t="s">
        <v>2934</v>
      </c>
    </row>
    <row r="1915" spans="1:7" x14ac:dyDescent="0.25">
      <c r="A1915" s="41" t="s">
        <v>5081</v>
      </c>
      <c r="B1915" s="41" t="s">
        <v>655</v>
      </c>
      <c r="C1915" s="41" t="s">
        <v>2928</v>
      </c>
      <c r="D1915" s="41" t="s">
        <v>5077</v>
      </c>
      <c r="E1915" s="41" t="s">
        <v>2929</v>
      </c>
      <c r="F1915" s="41" t="s">
        <v>2933</v>
      </c>
      <c r="G1915" s="41" t="s">
        <v>2934</v>
      </c>
    </row>
    <row r="1916" spans="1:7" x14ac:dyDescent="0.25">
      <c r="A1916" s="41" t="s">
        <v>5082</v>
      </c>
      <c r="B1916" s="41" t="s">
        <v>655</v>
      </c>
      <c r="C1916" s="41" t="s">
        <v>2928</v>
      </c>
      <c r="D1916" s="41" t="s">
        <v>5077</v>
      </c>
      <c r="E1916" s="41" t="s">
        <v>2929</v>
      </c>
      <c r="F1916" s="41" t="s">
        <v>2933</v>
      </c>
      <c r="G1916" s="41" t="s">
        <v>2934</v>
      </c>
    </row>
    <row r="1917" spans="1:7" x14ac:dyDescent="0.25">
      <c r="A1917" s="41" t="s">
        <v>5083</v>
      </c>
      <c r="B1917" s="41" t="s">
        <v>655</v>
      </c>
      <c r="C1917" s="41" t="s">
        <v>2928</v>
      </c>
      <c r="D1917" s="41" t="s">
        <v>5077</v>
      </c>
      <c r="E1917" s="41" t="s">
        <v>2929</v>
      </c>
      <c r="F1917" s="41" t="s">
        <v>2933</v>
      </c>
      <c r="G1917" s="41" t="s">
        <v>2934</v>
      </c>
    </row>
    <row r="1918" spans="1:7" x14ac:dyDescent="0.25">
      <c r="A1918" s="41" t="s">
        <v>5084</v>
      </c>
      <c r="B1918" s="41" t="s">
        <v>655</v>
      </c>
      <c r="C1918" s="41" t="s">
        <v>2928</v>
      </c>
      <c r="D1918" s="41" t="s">
        <v>5077</v>
      </c>
      <c r="E1918" s="41" t="s">
        <v>2929</v>
      </c>
      <c r="F1918" s="41" t="s">
        <v>2933</v>
      </c>
      <c r="G1918" s="41" t="s">
        <v>2934</v>
      </c>
    </row>
    <row r="1919" spans="1:7" x14ac:dyDescent="0.25">
      <c r="A1919" s="41" t="s">
        <v>5085</v>
      </c>
      <c r="B1919" s="41" t="s">
        <v>655</v>
      </c>
      <c r="C1919" s="41" t="s">
        <v>2928</v>
      </c>
      <c r="D1919" s="41" t="s">
        <v>5077</v>
      </c>
      <c r="E1919" s="41" t="s">
        <v>2929</v>
      </c>
      <c r="F1919" s="41" t="s">
        <v>2930</v>
      </c>
      <c r="G1919" s="41" t="s">
        <v>2931</v>
      </c>
    </row>
    <row r="1920" spans="1:7" x14ac:dyDescent="0.25">
      <c r="A1920" s="41" t="s">
        <v>5086</v>
      </c>
      <c r="B1920" s="41" t="s">
        <v>655</v>
      </c>
      <c r="C1920" s="41" t="s">
        <v>2928</v>
      </c>
      <c r="D1920" s="41" t="s">
        <v>5077</v>
      </c>
      <c r="E1920" s="41" t="s">
        <v>2929</v>
      </c>
      <c r="F1920" s="41" t="s">
        <v>2930</v>
      </c>
      <c r="G1920" s="41" t="s">
        <v>2931</v>
      </c>
    </row>
    <row r="1921" spans="1:7" x14ac:dyDescent="0.25">
      <c r="A1921" s="41" t="s">
        <v>5087</v>
      </c>
      <c r="B1921" s="41" t="s">
        <v>655</v>
      </c>
      <c r="C1921" s="41" t="s">
        <v>2928</v>
      </c>
      <c r="D1921" s="41" t="s">
        <v>5077</v>
      </c>
      <c r="E1921" s="41" t="s">
        <v>2929</v>
      </c>
      <c r="F1921" s="41" t="s">
        <v>2930</v>
      </c>
      <c r="G1921" s="41" t="s">
        <v>2931</v>
      </c>
    </row>
    <row r="1922" spans="1:7" x14ac:dyDescent="0.25">
      <c r="A1922" s="41" t="s">
        <v>5088</v>
      </c>
      <c r="B1922" s="41" t="s">
        <v>655</v>
      </c>
      <c r="C1922" s="41" t="s">
        <v>2928</v>
      </c>
      <c r="D1922" s="41" t="s">
        <v>5077</v>
      </c>
      <c r="E1922" s="41" t="s">
        <v>2929</v>
      </c>
      <c r="F1922" s="41" t="s">
        <v>2930</v>
      </c>
      <c r="G1922" s="41" t="s">
        <v>2931</v>
      </c>
    </row>
    <row r="1923" spans="1:7" x14ac:dyDescent="0.25">
      <c r="A1923" s="41" t="s">
        <v>5089</v>
      </c>
      <c r="B1923" s="41" t="s">
        <v>655</v>
      </c>
      <c r="C1923" s="41" t="s">
        <v>2928</v>
      </c>
      <c r="D1923" s="41" t="s">
        <v>5077</v>
      </c>
      <c r="E1923" s="41" t="s">
        <v>2929</v>
      </c>
      <c r="F1923" s="41" t="s">
        <v>2930</v>
      </c>
      <c r="G1923" s="41" t="s">
        <v>2931</v>
      </c>
    </row>
    <row r="1924" spans="1:7" x14ac:dyDescent="0.25">
      <c r="A1924" s="41" t="s">
        <v>5090</v>
      </c>
      <c r="B1924" s="41" t="s">
        <v>655</v>
      </c>
      <c r="C1924" s="41" t="s">
        <v>2928</v>
      </c>
      <c r="D1924" s="41" t="s">
        <v>5077</v>
      </c>
      <c r="E1924" s="41" t="s">
        <v>2929</v>
      </c>
      <c r="F1924" s="41" t="s">
        <v>2930</v>
      </c>
      <c r="G1924" s="41" t="s">
        <v>2931</v>
      </c>
    </row>
    <row r="1925" spans="1:7" x14ac:dyDescent="0.25">
      <c r="A1925" s="41" t="s">
        <v>5091</v>
      </c>
      <c r="B1925" s="41" t="s">
        <v>655</v>
      </c>
      <c r="C1925" s="41" t="s">
        <v>2928</v>
      </c>
      <c r="D1925" s="41" t="s">
        <v>5077</v>
      </c>
      <c r="E1925" s="41" t="s">
        <v>2929</v>
      </c>
      <c r="F1925" s="41" t="s">
        <v>2930</v>
      </c>
      <c r="G1925" s="41" t="s">
        <v>2931</v>
      </c>
    </row>
    <row r="1926" spans="1:7" x14ac:dyDescent="0.25">
      <c r="A1926" s="41" t="s">
        <v>5092</v>
      </c>
      <c r="B1926" s="41" t="s">
        <v>655</v>
      </c>
      <c r="C1926" s="41" t="s">
        <v>2928</v>
      </c>
      <c r="D1926" s="41" t="s">
        <v>5077</v>
      </c>
      <c r="E1926" s="41" t="s">
        <v>2929</v>
      </c>
      <c r="F1926" s="41" t="s">
        <v>2949</v>
      </c>
      <c r="G1926" s="41" t="s">
        <v>2950</v>
      </c>
    </row>
    <row r="1927" spans="1:7" x14ac:dyDescent="0.25">
      <c r="A1927" s="41" t="s">
        <v>5093</v>
      </c>
      <c r="B1927" s="41" t="s">
        <v>655</v>
      </c>
      <c r="C1927" s="41" t="s">
        <v>2928</v>
      </c>
      <c r="D1927" s="41" t="s">
        <v>5077</v>
      </c>
      <c r="E1927" s="41" t="s">
        <v>2929</v>
      </c>
      <c r="F1927" s="41" t="s">
        <v>2949</v>
      </c>
      <c r="G1927" s="41" t="s">
        <v>2950</v>
      </c>
    </row>
    <row r="1928" spans="1:7" x14ac:dyDescent="0.25">
      <c r="A1928" s="41" t="s">
        <v>5094</v>
      </c>
      <c r="B1928" s="41" t="s">
        <v>655</v>
      </c>
      <c r="C1928" s="41" t="s">
        <v>2928</v>
      </c>
      <c r="D1928" s="41" t="s">
        <v>5077</v>
      </c>
      <c r="E1928" s="41" t="s">
        <v>2929</v>
      </c>
      <c r="F1928" s="41" t="s">
        <v>2949</v>
      </c>
      <c r="G1928" s="41" t="s">
        <v>2950</v>
      </c>
    </row>
    <row r="1929" spans="1:7" x14ac:dyDescent="0.25">
      <c r="A1929" s="41" t="s">
        <v>5095</v>
      </c>
      <c r="B1929" s="41" t="s">
        <v>655</v>
      </c>
      <c r="C1929" s="41" t="s">
        <v>2928</v>
      </c>
      <c r="D1929" s="41" t="s">
        <v>5077</v>
      </c>
      <c r="E1929" s="41" t="s">
        <v>2929</v>
      </c>
      <c r="F1929" s="41" t="s">
        <v>2949</v>
      </c>
      <c r="G1929" s="41" t="s">
        <v>2950</v>
      </c>
    </row>
    <row r="1930" spans="1:7" x14ac:dyDescent="0.25">
      <c r="A1930" s="41" t="s">
        <v>5096</v>
      </c>
      <c r="B1930" s="41" t="s">
        <v>655</v>
      </c>
      <c r="C1930" s="41" t="s">
        <v>2928</v>
      </c>
      <c r="D1930" s="41" t="s">
        <v>5077</v>
      </c>
      <c r="E1930" s="41" t="s">
        <v>2929</v>
      </c>
      <c r="F1930" s="41" t="s">
        <v>2949</v>
      </c>
      <c r="G1930" s="41" t="s">
        <v>2950</v>
      </c>
    </row>
    <row r="1931" spans="1:7" x14ac:dyDescent="0.25">
      <c r="A1931" s="41" t="s">
        <v>5097</v>
      </c>
      <c r="B1931" s="41" t="s">
        <v>655</v>
      </c>
      <c r="C1931" s="41" t="s">
        <v>2928</v>
      </c>
      <c r="D1931" s="41" t="s">
        <v>5077</v>
      </c>
      <c r="E1931" s="41" t="s">
        <v>2929</v>
      </c>
      <c r="F1931" s="41" t="s">
        <v>2949</v>
      </c>
      <c r="G1931" s="41" t="s">
        <v>2950</v>
      </c>
    </row>
    <row r="1932" spans="1:7" x14ac:dyDescent="0.25">
      <c r="A1932" s="41" t="s">
        <v>5098</v>
      </c>
      <c r="B1932" s="41" t="s">
        <v>655</v>
      </c>
      <c r="C1932" s="41" t="s">
        <v>2928</v>
      </c>
      <c r="D1932" s="41" t="s">
        <v>5077</v>
      </c>
      <c r="E1932" s="41" t="s">
        <v>2929</v>
      </c>
      <c r="F1932" s="41" t="s">
        <v>2949</v>
      </c>
      <c r="G1932" s="41" t="s">
        <v>2950</v>
      </c>
    </row>
    <row r="1933" spans="1:7" x14ac:dyDescent="0.25">
      <c r="A1933" s="41" t="s">
        <v>5099</v>
      </c>
      <c r="B1933" s="41" t="s">
        <v>5100</v>
      </c>
      <c r="C1933" s="41" t="s">
        <v>2928</v>
      </c>
      <c r="D1933" s="41" t="s">
        <v>5099</v>
      </c>
      <c r="E1933" s="41" t="s">
        <v>2929</v>
      </c>
      <c r="F1933" s="41" t="s">
        <v>2930</v>
      </c>
      <c r="G1933" s="41" t="s">
        <v>2931</v>
      </c>
    </row>
    <row r="1934" spans="1:7" x14ac:dyDescent="0.25">
      <c r="A1934" s="41" t="s">
        <v>5101</v>
      </c>
      <c r="B1934" s="41" t="s">
        <v>5100</v>
      </c>
      <c r="C1934" s="41" t="s">
        <v>2928</v>
      </c>
      <c r="D1934" s="41" t="s">
        <v>5099</v>
      </c>
      <c r="E1934" s="41" t="s">
        <v>2929</v>
      </c>
      <c r="F1934" s="41" t="s">
        <v>2933</v>
      </c>
      <c r="G1934" s="41" t="s">
        <v>2934</v>
      </c>
    </row>
    <row r="1935" spans="1:7" x14ac:dyDescent="0.25">
      <c r="A1935" s="41" t="s">
        <v>5102</v>
      </c>
      <c r="B1935" s="41" t="s">
        <v>5100</v>
      </c>
      <c r="C1935" s="41" t="s">
        <v>2928</v>
      </c>
      <c r="D1935" s="41" t="s">
        <v>5099</v>
      </c>
      <c r="E1935" s="41" t="s">
        <v>2929</v>
      </c>
      <c r="F1935" s="41" t="s">
        <v>2933</v>
      </c>
      <c r="G1935" s="41" t="s">
        <v>2934</v>
      </c>
    </row>
    <row r="1936" spans="1:7" x14ac:dyDescent="0.25">
      <c r="A1936" s="41" t="s">
        <v>5103</v>
      </c>
      <c r="B1936" s="41" t="s">
        <v>5100</v>
      </c>
      <c r="C1936" s="41" t="s">
        <v>2928</v>
      </c>
      <c r="D1936" s="41" t="s">
        <v>5099</v>
      </c>
      <c r="E1936" s="41" t="s">
        <v>2929</v>
      </c>
      <c r="F1936" s="41" t="s">
        <v>2933</v>
      </c>
      <c r="G1936" s="41" t="s">
        <v>2934</v>
      </c>
    </row>
    <row r="1937" spans="1:7" x14ac:dyDescent="0.25">
      <c r="A1937" s="41" t="s">
        <v>5104</v>
      </c>
      <c r="B1937" s="41" t="s">
        <v>5100</v>
      </c>
      <c r="C1937" s="41" t="s">
        <v>2928</v>
      </c>
      <c r="D1937" s="41" t="s">
        <v>5099</v>
      </c>
      <c r="E1937" s="41" t="s">
        <v>2929</v>
      </c>
      <c r="F1937" s="41" t="s">
        <v>2933</v>
      </c>
      <c r="G1937" s="41" t="s">
        <v>2934</v>
      </c>
    </row>
    <row r="1938" spans="1:7" x14ac:dyDescent="0.25">
      <c r="A1938" s="41" t="s">
        <v>5105</v>
      </c>
      <c r="B1938" s="41" t="s">
        <v>5100</v>
      </c>
      <c r="C1938" s="41" t="s">
        <v>2928</v>
      </c>
      <c r="D1938" s="41" t="s">
        <v>5099</v>
      </c>
      <c r="E1938" s="41" t="s">
        <v>2929</v>
      </c>
      <c r="F1938" s="41" t="s">
        <v>2933</v>
      </c>
      <c r="G1938" s="41" t="s">
        <v>2934</v>
      </c>
    </row>
    <row r="1939" spans="1:7" x14ac:dyDescent="0.25">
      <c r="A1939" s="41" t="s">
        <v>5106</v>
      </c>
      <c r="B1939" s="41" t="s">
        <v>5100</v>
      </c>
      <c r="C1939" s="41" t="s">
        <v>2928</v>
      </c>
      <c r="D1939" s="41" t="s">
        <v>5099</v>
      </c>
      <c r="E1939" s="41" t="s">
        <v>2929</v>
      </c>
      <c r="F1939" s="41" t="s">
        <v>2933</v>
      </c>
      <c r="G1939" s="41" t="s">
        <v>2934</v>
      </c>
    </row>
    <row r="1940" spans="1:7" x14ac:dyDescent="0.25">
      <c r="A1940" s="41" t="s">
        <v>5107</v>
      </c>
      <c r="B1940" s="41" t="s">
        <v>5100</v>
      </c>
      <c r="C1940" s="41" t="s">
        <v>2928</v>
      </c>
      <c r="D1940" s="41" t="s">
        <v>5099</v>
      </c>
      <c r="E1940" s="41" t="s">
        <v>2929</v>
      </c>
      <c r="F1940" s="41" t="s">
        <v>2933</v>
      </c>
      <c r="G1940" s="41" t="s">
        <v>2934</v>
      </c>
    </row>
    <row r="1941" spans="1:7" x14ac:dyDescent="0.25">
      <c r="A1941" s="41" t="s">
        <v>5108</v>
      </c>
      <c r="B1941" s="41" t="s">
        <v>5100</v>
      </c>
      <c r="C1941" s="41" t="s">
        <v>2928</v>
      </c>
      <c r="D1941" s="41" t="s">
        <v>5099</v>
      </c>
      <c r="E1941" s="41" t="s">
        <v>2929</v>
      </c>
      <c r="F1941" s="41" t="s">
        <v>2930</v>
      </c>
      <c r="G1941" s="41" t="s">
        <v>2931</v>
      </c>
    </row>
    <row r="1942" spans="1:7" x14ac:dyDescent="0.25">
      <c r="A1942" s="41" t="s">
        <v>5109</v>
      </c>
      <c r="B1942" s="41" t="s">
        <v>5100</v>
      </c>
      <c r="C1942" s="41" t="s">
        <v>2928</v>
      </c>
      <c r="D1942" s="41" t="s">
        <v>5099</v>
      </c>
      <c r="E1942" s="41" t="s">
        <v>2929</v>
      </c>
      <c r="F1942" s="41" t="s">
        <v>2930</v>
      </c>
      <c r="G1942" s="41" t="s">
        <v>2931</v>
      </c>
    </row>
    <row r="1943" spans="1:7" x14ac:dyDescent="0.25">
      <c r="A1943" s="41" t="s">
        <v>5110</v>
      </c>
      <c r="B1943" s="41" t="s">
        <v>5100</v>
      </c>
      <c r="C1943" s="41" t="s">
        <v>2928</v>
      </c>
      <c r="D1943" s="41" t="s">
        <v>5099</v>
      </c>
      <c r="E1943" s="41" t="s">
        <v>2929</v>
      </c>
      <c r="F1943" s="41" t="s">
        <v>2930</v>
      </c>
      <c r="G1943" s="41" t="s">
        <v>2931</v>
      </c>
    </row>
    <row r="1944" spans="1:7" x14ac:dyDescent="0.25">
      <c r="A1944" s="41" t="s">
        <v>5111</v>
      </c>
      <c r="B1944" s="41" t="s">
        <v>5100</v>
      </c>
      <c r="C1944" s="41" t="s">
        <v>2928</v>
      </c>
      <c r="D1944" s="41" t="s">
        <v>5099</v>
      </c>
      <c r="E1944" s="41" t="s">
        <v>2929</v>
      </c>
      <c r="F1944" s="41" t="s">
        <v>2930</v>
      </c>
      <c r="G1944" s="41" t="s">
        <v>2931</v>
      </c>
    </row>
    <row r="1945" spans="1:7" x14ac:dyDescent="0.25">
      <c r="A1945" s="41" t="s">
        <v>5112</v>
      </c>
      <c r="B1945" s="41" t="s">
        <v>5100</v>
      </c>
      <c r="C1945" s="41" t="s">
        <v>2928</v>
      </c>
      <c r="D1945" s="41" t="s">
        <v>5099</v>
      </c>
      <c r="E1945" s="41" t="s">
        <v>2929</v>
      </c>
      <c r="F1945" s="41" t="s">
        <v>2930</v>
      </c>
      <c r="G1945" s="41" t="s">
        <v>2931</v>
      </c>
    </row>
    <row r="1946" spans="1:7" x14ac:dyDescent="0.25">
      <c r="A1946" s="41" t="s">
        <v>5113</v>
      </c>
      <c r="B1946" s="41" t="s">
        <v>5100</v>
      </c>
      <c r="C1946" s="41" t="s">
        <v>2928</v>
      </c>
      <c r="D1946" s="41" t="s">
        <v>5099</v>
      </c>
      <c r="E1946" s="41" t="s">
        <v>2929</v>
      </c>
      <c r="F1946" s="41" t="s">
        <v>2930</v>
      </c>
      <c r="G1946" s="41" t="s">
        <v>2931</v>
      </c>
    </row>
    <row r="1947" spans="1:7" x14ac:dyDescent="0.25">
      <c r="A1947" s="41" t="s">
        <v>5114</v>
      </c>
      <c r="B1947" s="41" t="s">
        <v>5100</v>
      </c>
      <c r="C1947" s="41" t="s">
        <v>2928</v>
      </c>
      <c r="D1947" s="41" t="s">
        <v>5099</v>
      </c>
      <c r="E1947" s="41" t="s">
        <v>2929</v>
      </c>
      <c r="F1947" s="41" t="s">
        <v>2930</v>
      </c>
      <c r="G1947" s="41" t="s">
        <v>2931</v>
      </c>
    </row>
    <row r="1948" spans="1:7" x14ac:dyDescent="0.25">
      <c r="A1948" s="41" t="s">
        <v>5115</v>
      </c>
      <c r="B1948" s="41" t="s">
        <v>5100</v>
      </c>
      <c r="C1948" s="41" t="s">
        <v>2928</v>
      </c>
      <c r="D1948" s="41" t="s">
        <v>5099</v>
      </c>
      <c r="E1948" s="41" t="s">
        <v>2929</v>
      </c>
      <c r="F1948" s="41" t="s">
        <v>2949</v>
      </c>
      <c r="G1948" s="41" t="s">
        <v>2950</v>
      </c>
    </row>
    <row r="1949" spans="1:7" x14ac:dyDescent="0.25">
      <c r="A1949" s="41" t="s">
        <v>5116</v>
      </c>
      <c r="B1949" s="41" t="s">
        <v>5100</v>
      </c>
      <c r="C1949" s="41" t="s">
        <v>2928</v>
      </c>
      <c r="D1949" s="41" t="s">
        <v>5099</v>
      </c>
      <c r="E1949" s="41" t="s">
        <v>2929</v>
      </c>
      <c r="F1949" s="41" t="s">
        <v>2949</v>
      </c>
      <c r="G1949" s="41" t="s">
        <v>2950</v>
      </c>
    </row>
    <row r="1950" spans="1:7" x14ac:dyDescent="0.25">
      <c r="A1950" s="41" t="s">
        <v>5117</v>
      </c>
      <c r="B1950" s="41" t="s">
        <v>5100</v>
      </c>
      <c r="C1950" s="41" t="s">
        <v>2928</v>
      </c>
      <c r="D1950" s="41" t="s">
        <v>5099</v>
      </c>
      <c r="E1950" s="41" t="s">
        <v>2929</v>
      </c>
      <c r="F1950" s="41" t="s">
        <v>2949</v>
      </c>
      <c r="G1950" s="41" t="s">
        <v>2950</v>
      </c>
    </row>
    <row r="1951" spans="1:7" x14ac:dyDescent="0.25">
      <c r="A1951" s="41" t="s">
        <v>5118</v>
      </c>
      <c r="B1951" s="41" t="s">
        <v>5100</v>
      </c>
      <c r="C1951" s="41" t="s">
        <v>2928</v>
      </c>
      <c r="D1951" s="41" t="s">
        <v>5099</v>
      </c>
      <c r="E1951" s="41" t="s">
        <v>2929</v>
      </c>
      <c r="F1951" s="41" t="s">
        <v>2949</v>
      </c>
      <c r="G1951" s="41" t="s">
        <v>2950</v>
      </c>
    </row>
    <row r="1952" spans="1:7" x14ac:dyDescent="0.25">
      <c r="A1952" s="41" t="s">
        <v>5119</v>
      </c>
      <c r="B1952" s="41" t="s">
        <v>5100</v>
      </c>
      <c r="C1952" s="41" t="s">
        <v>2928</v>
      </c>
      <c r="D1952" s="41" t="s">
        <v>5099</v>
      </c>
      <c r="E1952" s="41" t="s">
        <v>2929</v>
      </c>
      <c r="F1952" s="41" t="s">
        <v>2949</v>
      </c>
      <c r="G1952" s="41" t="s">
        <v>2950</v>
      </c>
    </row>
    <row r="1953" spans="1:7" x14ac:dyDescent="0.25">
      <c r="A1953" s="41" t="s">
        <v>5120</v>
      </c>
      <c r="B1953" s="41" t="s">
        <v>5100</v>
      </c>
      <c r="C1953" s="41" t="s">
        <v>2928</v>
      </c>
      <c r="D1953" s="41" t="s">
        <v>5099</v>
      </c>
      <c r="E1953" s="41" t="s">
        <v>2929</v>
      </c>
      <c r="F1953" s="41" t="s">
        <v>2949</v>
      </c>
      <c r="G1953" s="41" t="s">
        <v>2950</v>
      </c>
    </row>
    <row r="1954" spans="1:7" x14ac:dyDescent="0.25">
      <c r="A1954" s="41" t="s">
        <v>5121</v>
      </c>
      <c r="B1954" s="41" t="s">
        <v>5100</v>
      </c>
      <c r="C1954" s="41" t="s">
        <v>2928</v>
      </c>
      <c r="D1954" s="41" t="s">
        <v>5099</v>
      </c>
      <c r="E1954" s="41" t="s">
        <v>2929</v>
      </c>
      <c r="F1954" s="41" t="s">
        <v>2949</v>
      </c>
      <c r="G1954" s="41" t="s">
        <v>2950</v>
      </c>
    </row>
    <row r="1955" spans="1:7" x14ac:dyDescent="0.25">
      <c r="A1955" s="41" t="s">
        <v>5122</v>
      </c>
      <c r="B1955" s="41" t="s">
        <v>5123</v>
      </c>
      <c r="C1955" s="41" t="s">
        <v>2928</v>
      </c>
      <c r="D1955" s="41" t="s">
        <v>5122</v>
      </c>
      <c r="E1955" s="41" t="s">
        <v>2929</v>
      </c>
      <c r="F1955" s="41" t="s">
        <v>2930</v>
      </c>
      <c r="G1955" s="41" t="s">
        <v>2931</v>
      </c>
    </row>
    <row r="1956" spans="1:7" x14ac:dyDescent="0.25">
      <c r="A1956" s="41" t="s">
        <v>5124</v>
      </c>
      <c r="B1956" s="41" t="s">
        <v>5123</v>
      </c>
      <c r="C1956" s="41" t="s">
        <v>2928</v>
      </c>
      <c r="D1956" s="41" t="s">
        <v>5122</v>
      </c>
      <c r="E1956" s="41" t="s">
        <v>2929</v>
      </c>
      <c r="F1956" s="41" t="s">
        <v>2933</v>
      </c>
      <c r="G1956" s="41" t="s">
        <v>2934</v>
      </c>
    </row>
    <row r="1957" spans="1:7" x14ac:dyDescent="0.25">
      <c r="A1957" s="41" t="s">
        <v>5125</v>
      </c>
      <c r="B1957" s="41" t="s">
        <v>5123</v>
      </c>
      <c r="C1957" s="41" t="s">
        <v>2928</v>
      </c>
      <c r="D1957" s="41" t="s">
        <v>5122</v>
      </c>
      <c r="E1957" s="41" t="s">
        <v>2929</v>
      </c>
      <c r="F1957" s="41" t="s">
        <v>2933</v>
      </c>
      <c r="G1957" s="41" t="s">
        <v>2934</v>
      </c>
    </row>
    <row r="1958" spans="1:7" x14ac:dyDescent="0.25">
      <c r="A1958" s="41" t="s">
        <v>5126</v>
      </c>
      <c r="B1958" s="41" t="s">
        <v>5123</v>
      </c>
      <c r="C1958" s="41" t="s">
        <v>2928</v>
      </c>
      <c r="D1958" s="41" t="s">
        <v>5122</v>
      </c>
      <c r="E1958" s="41" t="s">
        <v>2929</v>
      </c>
      <c r="F1958" s="41" t="s">
        <v>2949</v>
      </c>
      <c r="G1958" s="41" t="s">
        <v>2950</v>
      </c>
    </row>
    <row r="1959" spans="1:7" x14ac:dyDescent="0.25">
      <c r="A1959" s="41" t="s">
        <v>5127</v>
      </c>
      <c r="B1959" s="41" t="s">
        <v>5123</v>
      </c>
      <c r="C1959" s="41" t="s">
        <v>2928</v>
      </c>
      <c r="D1959" s="41" t="s">
        <v>5122</v>
      </c>
      <c r="E1959" s="41" t="s">
        <v>2929</v>
      </c>
      <c r="F1959" s="41" t="s">
        <v>2949</v>
      </c>
      <c r="G1959" s="41" t="s">
        <v>2950</v>
      </c>
    </row>
    <row r="1960" spans="1:7" x14ac:dyDescent="0.25">
      <c r="A1960" s="41" t="s">
        <v>5128</v>
      </c>
      <c r="B1960" s="41" t="s">
        <v>5129</v>
      </c>
      <c r="C1960" s="41" t="s">
        <v>2928</v>
      </c>
      <c r="D1960" s="41" t="s">
        <v>5128</v>
      </c>
      <c r="E1960" s="41" t="s">
        <v>2929</v>
      </c>
      <c r="F1960" s="41" t="s">
        <v>2930</v>
      </c>
      <c r="G1960" s="41" t="s">
        <v>2931</v>
      </c>
    </row>
    <row r="1961" spans="1:7" x14ac:dyDescent="0.25">
      <c r="A1961" s="41" t="s">
        <v>5130</v>
      </c>
      <c r="B1961" s="41" t="s">
        <v>5129</v>
      </c>
      <c r="C1961" s="41" t="s">
        <v>2928</v>
      </c>
      <c r="D1961" s="41" t="s">
        <v>5128</v>
      </c>
      <c r="E1961" s="41" t="s">
        <v>2929</v>
      </c>
      <c r="F1961" s="41" t="s">
        <v>2933</v>
      </c>
      <c r="G1961" s="41" t="s">
        <v>2934</v>
      </c>
    </row>
    <row r="1962" spans="1:7" x14ac:dyDescent="0.25">
      <c r="A1962" s="41" t="s">
        <v>5131</v>
      </c>
      <c r="B1962" s="41" t="s">
        <v>5129</v>
      </c>
      <c r="C1962" s="41" t="s">
        <v>2928</v>
      </c>
      <c r="D1962" s="41" t="s">
        <v>5128</v>
      </c>
      <c r="E1962" s="41" t="s">
        <v>2929</v>
      </c>
      <c r="F1962" s="41" t="s">
        <v>2933</v>
      </c>
      <c r="G1962" s="41" t="s">
        <v>2934</v>
      </c>
    </row>
    <row r="1963" spans="1:7" x14ac:dyDescent="0.25">
      <c r="A1963" s="41" t="s">
        <v>5132</v>
      </c>
      <c r="B1963" s="41" t="s">
        <v>5129</v>
      </c>
      <c r="C1963" s="41" t="s">
        <v>2928</v>
      </c>
      <c r="D1963" s="41" t="s">
        <v>5128</v>
      </c>
      <c r="E1963" s="41" t="s">
        <v>2929</v>
      </c>
      <c r="F1963" s="41" t="s">
        <v>2933</v>
      </c>
      <c r="G1963" s="41" t="s">
        <v>2934</v>
      </c>
    </row>
    <row r="1964" spans="1:7" x14ac:dyDescent="0.25">
      <c r="A1964" s="41" t="s">
        <v>5133</v>
      </c>
      <c r="B1964" s="41" t="s">
        <v>5129</v>
      </c>
      <c r="C1964" s="41" t="s">
        <v>2928</v>
      </c>
      <c r="D1964" s="41" t="s">
        <v>5128</v>
      </c>
      <c r="E1964" s="41" t="s">
        <v>2929</v>
      </c>
      <c r="F1964" s="41" t="s">
        <v>2933</v>
      </c>
      <c r="G1964" s="41" t="s">
        <v>2934</v>
      </c>
    </row>
    <row r="1965" spans="1:7" x14ac:dyDescent="0.25">
      <c r="A1965" s="41" t="s">
        <v>5134</v>
      </c>
      <c r="B1965" s="41" t="s">
        <v>5129</v>
      </c>
      <c r="C1965" s="41" t="s">
        <v>2928</v>
      </c>
      <c r="D1965" s="41" t="s">
        <v>5128</v>
      </c>
      <c r="E1965" s="41" t="s">
        <v>2929</v>
      </c>
      <c r="F1965" s="41" t="s">
        <v>2933</v>
      </c>
      <c r="G1965" s="41" t="s">
        <v>2934</v>
      </c>
    </row>
    <row r="1966" spans="1:7" x14ac:dyDescent="0.25">
      <c r="A1966" s="41" t="s">
        <v>5135</v>
      </c>
      <c r="B1966" s="41" t="s">
        <v>5129</v>
      </c>
      <c r="C1966" s="41" t="s">
        <v>2928</v>
      </c>
      <c r="D1966" s="41" t="s">
        <v>5128</v>
      </c>
      <c r="E1966" s="41" t="s">
        <v>2929</v>
      </c>
      <c r="F1966" s="41" t="s">
        <v>2933</v>
      </c>
      <c r="G1966" s="41" t="s">
        <v>2934</v>
      </c>
    </row>
    <row r="1967" spans="1:7" x14ac:dyDescent="0.25">
      <c r="A1967" s="41" t="s">
        <v>5136</v>
      </c>
      <c r="B1967" s="41" t="s">
        <v>5129</v>
      </c>
      <c r="C1967" s="41" t="s">
        <v>2928</v>
      </c>
      <c r="D1967" s="41" t="s">
        <v>5128</v>
      </c>
      <c r="E1967" s="41" t="s">
        <v>2929</v>
      </c>
      <c r="F1967" s="41" t="s">
        <v>2933</v>
      </c>
      <c r="G1967" s="41" t="s">
        <v>2934</v>
      </c>
    </row>
    <row r="1968" spans="1:7" x14ac:dyDescent="0.25">
      <c r="A1968" s="41" t="s">
        <v>5137</v>
      </c>
      <c r="B1968" s="41" t="s">
        <v>5129</v>
      </c>
      <c r="C1968" s="41" t="s">
        <v>2928</v>
      </c>
      <c r="D1968" s="41" t="s">
        <v>5128</v>
      </c>
      <c r="E1968" s="41" t="s">
        <v>2929</v>
      </c>
      <c r="F1968" s="41" t="s">
        <v>2930</v>
      </c>
      <c r="G1968" s="41" t="s">
        <v>2931</v>
      </c>
    </row>
    <row r="1969" spans="1:7" x14ac:dyDescent="0.25">
      <c r="A1969" s="41" t="s">
        <v>5138</v>
      </c>
      <c r="B1969" s="41" t="s">
        <v>5129</v>
      </c>
      <c r="C1969" s="41" t="s">
        <v>2928</v>
      </c>
      <c r="D1969" s="41" t="s">
        <v>5128</v>
      </c>
      <c r="E1969" s="41" t="s">
        <v>2929</v>
      </c>
      <c r="F1969" s="41" t="s">
        <v>2930</v>
      </c>
      <c r="G1969" s="41" t="s">
        <v>2931</v>
      </c>
    </row>
    <row r="1970" spans="1:7" x14ac:dyDescent="0.25">
      <c r="A1970" s="41" t="s">
        <v>5139</v>
      </c>
      <c r="B1970" s="41" t="s">
        <v>5129</v>
      </c>
      <c r="C1970" s="41" t="s">
        <v>2928</v>
      </c>
      <c r="D1970" s="41" t="s">
        <v>5128</v>
      </c>
      <c r="E1970" s="41" t="s">
        <v>2929</v>
      </c>
      <c r="F1970" s="41" t="s">
        <v>2930</v>
      </c>
      <c r="G1970" s="41" t="s">
        <v>2931</v>
      </c>
    </row>
    <row r="1971" spans="1:7" x14ac:dyDescent="0.25">
      <c r="A1971" s="41" t="s">
        <v>5140</v>
      </c>
      <c r="B1971" s="41" t="s">
        <v>5129</v>
      </c>
      <c r="C1971" s="41" t="s">
        <v>2928</v>
      </c>
      <c r="D1971" s="41" t="s">
        <v>5128</v>
      </c>
      <c r="E1971" s="41" t="s">
        <v>2929</v>
      </c>
      <c r="F1971" s="41" t="s">
        <v>2930</v>
      </c>
      <c r="G1971" s="41" t="s">
        <v>2931</v>
      </c>
    </row>
    <row r="1972" spans="1:7" x14ac:dyDescent="0.25">
      <c r="A1972" s="41" t="s">
        <v>5141</v>
      </c>
      <c r="B1972" s="41" t="s">
        <v>5129</v>
      </c>
      <c r="C1972" s="41" t="s">
        <v>2928</v>
      </c>
      <c r="D1972" s="41" t="s">
        <v>5128</v>
      </c>
      <c r="E1972" s="41" t="s">
        <v>2929</v>
      </c>
      <c r="F1972" s="41" t="s">
        <v>2930</v>
      </c>
      <c r="G1972" s="41" t="s">
        <v>2931</v>
      </c>
    </row>
    <row r="1973" spans="1:7" x14ac:dyDescent="0.25">
      <c r="A1973" s="41" t="s">
        <v>5142</v>
      </c>
      <c r="B1973" s="41" t="s">
        <v>5129</v>
      </c>
      <c r="C1973" s="41" t="s">
        <v>2928</v>
      </c>
      <c r="D1973" s="41" t="s">
        <v>5128</v>
      </c>
      <c r="E1973" s="41" t="s">
        <v>2929</v>
      </c>
      <c r="F1973" s="41" t="s">
        <v>2930</v>
      </c>
      <c r="G1973" s="41" t="s">
        <v>2931</v>
      </c>
    </row>
    <row r="1974" spans="1:7" x14ac:dyDescent="0.25">
      <c r="A1974" s="41" t="s">
        <v>5143</v>
      </c>
      <c r="B1974" s="41" t="s">
        <v>5129</v>
      </c>
      <c r="C1974" s="41" t="s">
        <v>2928</v>
      </c>
      <c r="D1974" s="41" t="s">
        <v>5128</v>
      </c>
      <c r="E1974" s="41" t="s">
        <v>2929</v>
      </c>
      <c r="F1974" s="41" t="s">
        <v>2930</v>
      </c>
      <c r="G1974" s="41" t="s">
        <v>2931</v>
      </c>
    </row>
    <row r="1975" spans="1:7" x14ac:dyDescent="0.25">
      <c r="A1975" s="41" t="s">
        <v>5144</v>
      </c>
      <c r="B1975" s="41" t="s">
        <v>5129</v>
      </c>
      <c r="C1975" s="41" t="s">
        <v>2928</v>
      </c>
      <c r="D1975" s="41" t="s">
        <v>5128</v>
      </c>
      <c r="E1975" s="41" t="s">
        <v>2929</v>
      </c>
      <c r="F1975" s="41" t="s">
        <v>2949</v>
      </c>
      <c r="G1975" s="41" t="s">
        <v>2950</v>
      </c>
    </row>
    <row r="1976" spans="1:7" x14ac:dyDescent="0.25">
      <c r="A1976" s="41" t="s">
        <v>5145</v>
      </c>
      <c r="B1976" s="41" t="s">
        <v>5129</v>
      </c>
      <c r="C1976" s="41" t="s">
        <v>2928</v>
      </c>
      <c r="D1976" s="41" t="s">
        <v>5128</v>
      </c>
      <c r="E1976" s="41" t="s">
        <v>2929</v>
      </c>
      <c r="F1976" s="41" t="s">
        <v>2949</v>
      </c>
      <c r="G1976" s="41" t="s">
        <v>2950</v>
      </c>
    </row>
    <row r="1977" spans="1:7" x14ac:dyDescent="0.25">
      <c r="A1977" s="41" t="s">
        <v>5146</v>
      </c>
      <c r="B1977" s="41" t="s">
        <v>5129</v>
      </c>
      <c r="C1977" s="41" t="s">
        <v>2928</v>
      </c>
      <c r="D1977" s="41" t="s">
        <v>5128</v>
      </c>
      <c r="E1977" s="41" t="s">
        <v>2929</v>
      </c>
      <c r="F1977" s="41" t="s">
        <v>2949</v>
      </c>
      <c r="G1977" s="41" t="s">
        <v>2950</v>
      </c>
    </row>
    <row r="1978" spans="1:7" x14ac:dyDescent="0.25">
      <c r="A1978" s="41" t="s">
        <v>5147</v>
      </c>
      <c r="B1978" s="41" t="s">
        <v>5129</v>
      </c>
      <c r="C1978" s="41" t="s">
        <v>2928</v>
      </c>
      <c r="D1978" s="41" t="s">
        <v>5128</v>
      </c>
      <c r="E1978" s="41" t="s">
        <v>2929</v>
      </c>
      <c r="F1978" s="41" t="s">
        <v>2949</v>
      </c>
      <c r="G1978" s="41" t="s">
        <v>2950</v>
      </c>
    </row>
    <row r="1979" spans="1:7" x14ac:dyDescent="0.25">
      <c r="A1979" s="41" t="s">
        <v>5148</v>
      </c>
      <c r="B1979" s="41" t="s">
        <v>5129</v>
      </c>
      <c r="C1979" s="41" t="s">
        <v>2928</v>
      </c>
      <c r="D1979" s="41" t="s">
        <v>5128</v>
      </c>
      <c r="E1979" s="41" t="s">
        <v>2929</v>
      </c>
      <c r="F1979" s="41" t="s">
        <v>2949</v>
      </c>
      <c r="G1979" s="41" t="s">
        <v>2950</v>
      </c>
    </row>
    <row r="1980" spans="1:7" x14ac:dyDescent="0.25">
      <c r="A1980" s="41" t="s">
        <v>5149</v>
      </c>
      <c r="B1980" s="41" t="s">
        <v>5129</v>
      </c>
      <c r="C1980" s="41" t="s">
        <v>2928</v>
      </c>
      <c r="D1980" s="41" t="s">
        <v>5128</v>
      </c>
      <c r="E1980" s="41" t="s">
        <v>2929</v>
      </c>
      <c r="F1980" s="41" t="s">
        <v>2949</v>
      </c>
      <c r="G1980" s="41" t="s">
        <v>2950</v>
      </c>
    </row>
    <row r="1981" spans="1:7" x14ac:dyDescent="0.25">
      <c r="A1981" s="41" t="s">
        <v>5150</v>
      </c>
      <c r="B1981" s="41" t="s">
        <v>5129</v>
      </c>
      <c r="C1981" s="41" t="s">
        <v>2928</v>
      </c>
      <c r="D1981" s="41" t="s">
        <v>5128</v>
      </c>
      <c r="E1981" s="41" t="s">
        <v>2929</v>
      </c>
      <c r="F1981" s="41" t="s">
        <v>2949</v>
      </c>
      <c r="G1981" s="41" t="s">
        <v>2950</v>
      </c>
    </row>
    <row r="1982" spans="1:7" x14ac:dyDescent="0.25">
      <c r="A1982" s="41" t="s">
        <v>5151</v>
      </c>
      <c r="B1982" s="41" t="s">
        <v>5152</v>
      </c>
      <c r="C1982" s="41" t="s">
        <v>2928</v>
      </c>
      <c r="D1982" s="41" t="s">
        <v>5151</v>
      </c>
      <c r="E1982" s="41" t="s">
        <v>2929</v>
      </c>
      <c r="F1982" s="41" t="s">
        <v>2930</v>
      </c>
      <c r="G1982" s="41" t="s">
        <v>2931</v>
      </c>
    </row>
    <row r="1983" spans="1:7" x14ac:dyDescent="0.25">
      <c r="A1983" s="41" t="s">
        <v>5153</v>
      </c>
      <c r="B1983" s="41" t="s">
        <v>5152</v>
      </c>
      <c r="C1983" s="41" t="s">
        <v>2928</v>
      </c>
      <c r="D1983" s="41" t="s">
        <v>5151</v>
      </c>
      <c r="E1983" s="41" t="s">
        <v>2929</v>
      </c>
      <c r="F1983" s="41" t="s">
        <v>2933</v>
      </c>
      <c r="G1983" s="41" t="s">
        <v>2934</v>
      </c>
    </row>
    <row r="1984" spans="1:7" x14ac:dyDescent="0.25">
      <c r="A1984" s="41" t="s">
        <v>5154</v>
      </c>
      <c r="B1984" s="41" t="s">
        <v>5152</v>
      </c>
      <c r="C1984" s="41" t="s">
        <v>2928</v>
      </c>
      <c r="D1984" s="41" t="s">
        <v>5151</v>
      </c>
      <c r="E1984" s="41" t="s">
        <v>2929</v>
      </c>
      <c r="F1984" s="41" t="s">
        <v>2930</v>
      </c>
      <c r="G1984" s="41" t="s">
        <v>2931</v>
      </c>
    </row>
    <row r="1985" spans="1:7" x14ac:dyDescent="0.25">
      <c r="A1985" s="41" t="s">
        <v>5155</v>
      </c>
      <c r="B1985" s="41" t="s">
        <v>5152</v>
      </c>
      <c r="C1985" s="41" t="s">
        <v>2928</v>
      </c>
      <c r="D1985" s="41" t="s">
        <v>5151</v>
      </c>
      <c r="E1985" s="41" t="s">
        <v>2929</v>
      </c>
      <c r="F1985" s="41" t="s">
        <v>2949</v>
      </c>
      <c r="G1985" s="41" t="s">
        <v>2950</v>
      </c>
    </row>
    <row r="1986" spans="1:7" x14ac:dyDescent="0.25">
      <c r="A1986" s="41" t="s">
        <v>5156</v>
      </c>
      <c r="B1986" s="41" t="s">
        <v>1172</v>
      </c>
      <c r="C1986" s="41" t="s">
        <v>2928</v>
      </c>
      <c r="D1986" s="41" t="s">
        <v>5156</v>
      </c>
      <c r="E1986" s="41" t="s">
        <v>2929</v>
      </c>
      <c r="F1986" s="41" t="s">
        <v>2930</v>
      </c>
      <c r="G1986" s="41" t="s">
        <v>2931</v>
      </c>
    </row>
    <row r="1987" spans="1:7" x14ac:dyDescent="0.25">
      <c r="A1987" s="41" t="s">
        <v>5157</v>
      </c>
      <c r="B1987" s="41" t="s">
        <v>1172</v>
      </c>
      <c r="C1987" s="41" t="s">
        <v>2928</v>
      </c>
      <c r="D1987" s="41" t="s">
        <v>5156</v>
      </c>
      <c r="E1987" s="41" t="s">
        <v>2929</v>
      </c>
      <c r="F1987" s="41" t="s">
        <v>2949</v>
      </c>
      <c r="G1987" s="41" t="s">
        <v>2950</v>
      </c>
    </row>
    <row r="1988" spans="1:7" x14ac:dyDescent="0.25">
      <c r="A1988" s="41" t="s">
        <v>5158</v>
      </c>
      <c r="B1988" s="41" t="s">
        <v>4678</v>
      </c>
      <c r="C1988" s="41" t="s">
        <v>2928</v>
      </c>
      <c r="D1988" s="41" t="s">
        <v>5158</v>
      </c>
      <c r="E1988" s="41" t="s">
        <v>2929</v>
      </c>
      <c r="F1988" s="41" t="s">
        <v>2930</v>
      </c>
      <c r="G1988" s="41" t="s">
        <v>2931</v>
      </c>
    </row>
    <row r="1989" spans="1:7" x14ac:dyDescent="0.25">
      <c r="A1989" s="41" t="s">
        <v>5159</v>
      </c>
      <c r="B1989" s="41" t="s">
        <v>4678</v>
      </c>
      <c r="C1989" s="41" t="s">
        <v>2928</v>
      </c>
      <c r="D1989" s="41" t="s">
        <v>5158</v>
      </c>
      <c r="E1989" s="41" t="s">
        <v>2929</v>
      </c>
      <c r="F1989" s="41" t="s">
        <v>2949</v>
      </c>
      <c r="G1989" s="41" t="s">
        <v>2950</v>
      </c>
    </row>
    <row r="1990" spans="1:7" x14ac:dyDescent="0.25">
      <c r="A1990" s="41" t="s">
        <v>5160</v>
      </c>
      <c r="B1990" s="41" t="s">
        <v>5161</v>
      </c>
      <c r="C1990" s="41" t="s">
        <v>2928</v>
      </c>
      <c r="D1990" s="41" t="s">
        <v>5160</v>
      </c>
      <c r="E1990" s="41" t="s">
        <v>2929</v>
      </c>
      <c r="F1990" s="41" t="s">
        <v>2930</v>
      </c>
      <c r="G1990" s="41" t="s">
        <v>2931</v>
      </c>
    </row>
    <row r="1991" spans="1:7" x14ac:dyDescent="0.25">
      <c r="A1991" s="41" t="s">
        <v>5162</v>
      </c>
      <c r="B1991" s="41" t="s">
        <v>5161</v>
      </c>
      <c r="C1991" s="41" t="s">
        <v>2928</v>
      </c>
      <c r="D1991" s="41" t="s">
        <v>5160</v>
      </c>
      <c r="E1991" s="41" t="s">
        <v>2929</v>
      </c>
      <c r="F1991" s="41" t="s">
        <v>2933</v>
      </c>
      <c r="G1991" s="41" t="s">
        <v>2934</v>
      </c>
    </row>
    <row r="1992" spans="1:7" x14ac:dyDescent="0.25">
      <c r="A1992" s="41" t="s">
        <v>5163</v>
      </c>
      <c r="B1992" s="41" t="s">
        <v>5161</v>
      </c>
      <c r="C1992" s="41" t="s">
        <v>2928</v>
      </c>
      <c r="D1992" s="41" t="s">
        <v>5160</v>
      </c>
      <c r="E1992" s="41" t="s">
        <v>2929</v>
      </c>
      <c r="F1992" s="41" t="s">
        <v>2933</v>
      </c>
      <c r="G1992" s="41" t="s">
        <v>2934</v>
      </c>
    </row>
    <row r="1993" spans="1:7" x14ac:dyDescent="0.25">
      <c r="A1993" s="41" t="s">
        <v>5164</v>
      </c>
      <c r="B1993" s="41" t="s">
        <v>5161</v>
      </c>
      <c r="C1993" s="41" t="s">
        <v>2928</v>
      </c>
      <c r="D1993" s="41" t="s">
        <v>5160</v>
      </c>
      <c r="E1993" s="41" t="s">
        <v>2929</v>
      </c>
      <c r="F1993" s="41" t="s">
        <v>2933</v>
      </c>
      <c r="G1993" s="41" t="s">
        <v>2934</v>
      </c>
    </row>
    <row r="1994" spans="1:7" x14ac:dyDescent="0.25">
      <c r="A1994" s="41" t="s">
        <v>5165</v>
      </c>
      <c r="B1994" s="41" t="s">
        <v>5161</v>
      </c>
      <c r="C1994" s="41" t="s">
        <v>2928</v>
      </c>
      <c r="D1994" s="41" t="s">
        <v>5160</v>
      </c>
      <c r="E1994" s="41" t="s">
        <v>2929</v>
      </c>
      <c r="F1994" s="41" t="s">
        <v>2933</v>
      </c>
      <c r="G1994" s="41" t="s">
        <v>2934</v>
      </c>
    </row>
    <row r="1995" spans="1:7" x14ac:dyDescent="0.25">
      <c r="A1995" s="41" t="s">
        <v>5166</v>
      </c>
      <c r="B1995" s="41" t="s">
        <v>5161</v>
      </c>
      <c r="C1995" s="41" t="s">
        <v>2928</v>
      </c>
      <c r="D1995" s="41" t="s">
        <v>5160</v>
      </c>
      <c r="E1995" s="41" t="s">
        <v>2929</v>
      </c>
      <c r="F1995" s="41" t="s">
        <v>2933</v>
      </c>
      <c r="G1995" s="41" t="s">
        <v>2934</v>
      </c>
    </row>
    <row r="1996" spans="1:7" x14ac:dyDescent="0.25">
      <c r="A1996" s="41" t="s">
        <v>5167</v>
      </c>
      <c r="B1996" s="41" t="s">
        <v>5161</v>
      </c>
      <c r="C1996" s="41" t="s">
        <v>2928</v>
      </c>
      <c r="D1996" s="41" t="s">
        <v>5160</v>
      </c>
      <c r="E1996" s="41" t="s">
        <v>2929</v>
      </c>
      <c r="F1996" s="41" t="s">
        <v>2933</v>
      </c>
      <c r="G1996" s="41" t="s">
        <v>2934</v>
      </c>
    </row>
    <row r="1997" spans="1:7" x14ac:dyDescent="0.25">
      <c r="A1997" s="41" t="s">
        <v>5168</v>
      </c>
      <c r="B1997" s="41" t="s">
        <v>5161</v>
      </c>
      <c r="C1997" s="41" t="s">
        <v>2928</v>
      </c>
      <c r="D1997" s="41" t="s">
        <v>5160</v>
      </c>
      <c r="E1997" s="41" t="s">
        <v>2929</v>
      </c>
      <c r="F1997" s="41" t="s">
        <v>2933</v>
      </c>
      <c r="G1997" s="41" t="s">
        <v>2934</v>
      </c>
    </row>
    <row r="1998" spans="1:7" x14ac:dyDescent="0.25">
      <c r="A1998" s="41" t="s">
        <v>5169</v>
      </c>
      <c r="B1998" s="41" t="s">
        <v>5161</v>
      </c>
      <c r="C1998" s="41" t="s">
        <v>2928</v>
      </c>
      <c r="D1998" s="41" t="s">
        <v>5160</v>
      </c>
      <c r="E1998" s="41" t="s">
        <v>2929</v>
      </c>
      <c r="F1998" s="41" t="s">
        <v>2930</v>
      </c>
      <c r="G1998" s="41" t="s">
        <v>2931</v>
      </c>
    </row>
    <row r="1999" spans="1:7" x14ac:dyDescent="0.25">
      <c r="A1999" s="41" t="s">
        <v>5170</v>
      </c>
      <c r="B1999" s="41" t="s">
        <v>5161</v>
      </c>
      <c r="C1999" s="41" t="s">
        <v>2928</v>
      </c>
      <c r="D1999" s="41" t="s">
        <v>5160</v>
      </c>
      <c r="E1999" s="41" t="s">
        <v>2929</v>
      </c>
      <c r="F1999" s="41" t="s">
        <v>2930</v>
      </c>
      <c r="G1999" s="41" t="s">
        <v>2931</v>
      </c>
    </row>
    <row r="2000" spans="1:7" x14ac:dyDescent="0.25">
      <c r="A2000" s="41" t="s">
        <v>5171</v>
      </c>
      <c r="B2000" s="41" t="s">
        <v>5161</v>
      </c>
      <c r="C2000" s="41" t="s">
        <v>2928</v>
      </c>
      <c r="D2000" s="41" t="s">
        <v>5160</v>
      </c>
      <c r="E2000" s="41" t="s">
        <v>2929</v>
      </c>
      <c r="F2000" s="41" t="s">
        <v>2930</v>
      </c>
      <c r="G2000" s="41" t="s">
        <v>2931</v>
      </c>
    </row>
    <row r="2001" spans="1:7" x14ac:dyDescent="0.25">
      <c r="A2001" s="41" t="s">
        <v>5172</v>
      </c>
      <c r="B2001" s="41" t="s">
        <v>5161</v>
      </c>
      <c r="C2001" s="41" t="s">
        <v>2928</v>
      </c>
      <c r="D2001" s="41" t="s">
        <v>5160</v>
      </c>
      <c r="E2001" s="41" t="s">
        <v>2929</v>
      </c>
      <c r="F2001" s="41" t="s">
        <v>2930</v>
      </c>
      <c r="G2001" s="41" t="s">
        <v>2931</v>
      </c>
    </row>
    <row r="2002" spans="1:7" x14ac:dyDescent="0.25">
      <c r="A2002" s="41" t="s">
        <v>5173</v>
      </c>
      <c r="B2002" s="41" t="s">
        <v>5161</v>
      </c>
      <c r="C2002" s="41" t="s">
        <v>2928</v>
      </c>
      <c r="D2002" s="41" t="s">
        <v>5160</v>
      </c>
      <c r="E2002" s="41" t="s">
        <v>2929</v>
      </c>
      <c r="F2002" s="41" t="s">
        <v>2930</v>
      </c>
      <c r="G2002" s="41" t="s">
        <v>2931</v>
      </c>
    </row>
    <row r="2003" spans="1:7" x14ac:dyDescent="0.25">
      <c r="A2003" s="41" t="s">
        <v>5174</v>
      </c>
      <c r="B2003" s="41" t="s">
        <v>5161</v>
      </c>
      <c r="C2003" s="41" t="s">
        <v>2928</v>
      </c>
      <c r="D2003" s="41" t="s">
        <v>5160</v>
      </c>
      <c r="E2003" s="41" t="s">
        <v>2929</v>
      </c>
      <c r="F2003" s="41" t="s">
        <v>2930</v>
      </c>
      <c r="G2003" s="41" t="s">
        <v>2931</v>
      </c>
    </row>
    <row r="2004" spans="1:7" x14ac:dyDescent="0.25">
      <c r="A2004" s="41" t="s">
        <v>5175</v>
      </c>
      <c r="B2004" s="41" t="s">
        <v>5161</v>
      </c>
      <c r="C2004" s="41" t="s">
        <v>2928</v>
      </c>
      <c r="D2004" s="41" t="s">
        <v>5160</v>
      </c>
      <c r="E2004" s="41" t="s">
        <v>2929</v>
      </c>
      <c r="F2004" s="41" t="s">
        <v>2930</v>
      </c>
      <c r="G2004" s="41" t="s">
        <v>2931</v>
      </c>
    </row>
    <row r="2005" spans="1:7" x14ac:dyDescent="0.25">
      <c r="A2005" s="41" t="s">
        <v>5176</v>
      </c>
      <c r="B2005" s="41" t="s">
        <v>5161</v>
      </c>
      <c r="C2005" s="41" t="s">
        <v>2928</v>
      </c>
      <c r="D2005" s="41" t="s">
        <v>5160</v>
      </c>
      <c r="E2005" s="41" t="s">
        <v>2929</v>
      </c>
      <c r="F2005" s="41" t="s">
        <v>2949</v>
      </c>
      <c r="G2005" s="41" t="s">
        <v>2950</v>
      </c>
    </row>
    <row r="2006" spans="1:7" x14ac:dyDescent="0.25">
      <c r="A2006" s="41" t="s">
        <v>5177</v>
      </c>
      <c r="B2006" s="41" t="s">
        <v>5161</v>
      </c>
      <c r="C2006" s="41" t="s">
        <v>2928</v>
      </c>
      <c r="D2006" s="41" t="s">
        <v>5160</v>
      </c>
      <c r="E2006" s="41" t="s">
        <v>2929</v>
      </c>
      <c r="F2006" s="41" t="s">
        <v>2949</v>
      </c>
      <c r="G2006" s="41" t="s">
        <v>2950</v>
      </c>
    </row>
    <row r="2007" spans="1:7" x14ac:dyDescent="0.25">
      <c r="A2007" s="41" t="s">
        <v>5178</v>
      </c>
      <c r="B2007" s="41" t="s">
        <v>5161</v>
      </c>
      <c r="C2007" s="41" t="s">
        <v>2928</v>
      </c>
      <c r="D2007" s="41" t="s">
        <v>5160</v>
      </c>
      <c r="E2007" s="41" t="s">
        <v>2929</v>
      </c>
      <c r="F2007" s="41" t="s">
        <v>2949</v>
      </c>
      <c r="G2007" s="41" t="s">
        <v>2950</v>
      </c>
    </row>
    <row r="2008" spans="1:7" x14ac:dyDescent="0.25">
      <c r="A2008" s="41" t="s">
        <v>5179</v>
      </c>
      <c r="B2008" s="41" t="s">
        <v>5161</v>
      </c>
      <c r="C2008" s="41" t="s">
        <v>2928</v>
      </c>
      <c r="D2008" s="41" t="s">
        <v>5160</v>
      </c>
      <c r="E2008" s="41" t="s">
        <v>2929</v>
      </c>
      <c r="F2008" s="41" t="s">
        <v>2949</v>
      </c>
      <c r="G2008" s="41" t="s">
        <v>2950</v>
      </c>
    </row>
    <row r="2009" spans="1:7" x14ac:dyDescent="0.25">
      <c r="A2009" s="41" t="s">
        <v>5180</v>
      </c>
      <c r="B2009" s="41" t="s">
        <v>5161</v>
      </c>
      <c r="C2009" s="41" t="s">
        <v>2928</v>
      </c>
      <c r="D2009" s="41" t="s">
        <v>5160</v>
      </c>
      <c r="E2009" s="41" t="s">
        <v>2929</v>
      </c>
      <c r="F2009" s="41" t="s">
        <v>2949</v>
      </c>
      <c r="G2009" s="41" t="s">
        <v>2950</v>
      </c>
    </row>
    <row r="2010" spans="1:7" x14ac:dyDescent="0.25">
      <c r="A2010" s="41" t="s">
        <v>5181</v>
      </c>
      <c r="B2010" s="41" t="s">
        <v>5161</v>
      </c>
      <c r="C2010" s="41" t="s">
        <v>2928</v>
      </c>
      <c r="D2010" s="41" t="s">
        <v>5160</v>
      </c>
      <c r="E2010" s="41" t="s">
        <v>2929</v>
      </c>
      <c r="F2010" s="41" t="s">
        <v>2949</v>
      </c>
      <c r="G2010" s="41" t="s">
        <v>2950</v>
      </c>
    </row>
    <row r="2011" spans="1:7" x14ac:dyDescent="0.25">
      <c r="A2011" s="41" t="s">
        <v>5182</v>
      </c>
      <c r="B2011" s="41" t="s">
        <v>5161</v>
      </c>
      <c r="C2011" s="41" t="s">
        <v>2928</v>
      </c>
      <c r="D2011" s="41" t="s">
        <v>5160</v>
      </c>
      <c r="E2011" s="41" t="s">
        <v>2929</v>
      </c>
      <c r="F2011" s="41" t="s">
        <v>2949</v>
      </c>
      <c r="G2011" s="41" t="s">
        <v>2950</v>
      </c>
    </row>
    <row r="2012" spans="1:7" x14ac:dyDescent="0.25">
      <c r="A2012" s="41" t="s">
        <v>5183</v>
      </c>
      <c r="B2012" s="41" t="s">
        <v>5184</v>
      </c>
      <c r="C2012" s="41" t="s">
        <v>2928</v>
      </c>
      <c r="D2012" s="41" t="s">
        <v>5183</v>
      </c>
      <c r="E2012" s="41" t="s">
        <v>2929</v>
      </c>
      <c r="F2012" s="41" t="s">
        <v>2930</v>
      </c>
      <c r="G2012" s="41" t="s">
        <v>2931</v>
      </c>
    </row>
    <row r="2013" spans="1:7" x14ac:dyDescent="0.25">
      <c r="A2013" s="41" t="s">
        <v>5185</v>
      </c>
      <c r="B2013" s="41" t="s">
        <v>5184</v>
      </c>
      <c r="C2013" s="41" t="s">
        <v>2928</v>
      </c>
      <c r="D2013" s="41" t="s">
        <v>5183</v>
      </c>
      <c r="E2013" s="41" t="s">
        <v>2929</v>
      </c>
      <c r="F2013" s="41" t="s">
        <v>2933</v>
      </c>
      <c r="G2013" s="41" t="s">
        <v>2934</v>
      </c>
    </row>
    <row r="2014" spans="1:7" x14ac:dyDescent="0.25">
      <c r="A2014" s="41" t="s">
        <v>5186</v>
      </c>
      <c r="B2014" s="41" t="s">
        <v>5184</v>
      </c>
      <c r="C2014" s="41" t="s">
        <v>2928</v>
      </c>
      <c r="D2014" s="41" t="s">
        <v>5183</v>
      </c>
      <c r="E2014" s="41" t="s">
        <v>2929</v>
      </c>
      <c r="F2014" s="41" t="s">
        <v>2933</v>
      </c>
      <c r="G2014" s="41" t="s">
        <v>2934</v>
      </c>
    </row>
    <row r="2015" spans="1:7" x14ac:dyDescent="0.25">
      <c r="A2015" s="41" t="s">
        <v>5187</v>
      </c>
      <c r="B2015" s="41" t="s">
        <v>5184</v>
      </c>
      <c r="C2015" s="41" t="s">
        <v>2928</v>
      </c>
      <c r="D2015" s="41" t="s">
        <v>5183</v>
      </c>
      <c r="E2015" s="41" t="s">
        <v>2929</v>
      </c>
      <c r="F2015" s="41" t="s">
        <v>2930</v>
      </c>
      <c r="G2015" s="41" t="s">
        <v>2931</v>
      </c>
    </row>
    <row r="2016" spans="1:7" x14ac:dyDescent="0.25">
      <c r="A2016" s="41" t="s">
        <v>5188</v>
      </c>
      <c r="B2016" s="41" t="s">
        <v>5184</v>
      </c>
      <c r="C2016" s="41" t="s">
        <v>2928</v>
      </c>
      <c r="D2016" s="41" t="s">
        <v>5183</v>
      </c>
      <c r="E2016" s="41" t="s">
        <v>2929</v>
      </c>
      <c r="F2016" s="41" t="s">
        <v>2949</v>
      </c>
      <c r="G2016" s="41" t="s">
        <v>2950</v>
      </c>
    </row>
    <row r="2017" spans="1:7" x14ac:dyDescent="0.25">
      <c r="A2017" s="41" t="s">
        <v>5189</v>
      </c>
      <c r="B2017" s="41" t="s">
        <v>5184</v>
      </c>
      <c r="C2017" s="41" t="s">
        <v>2928</v>
      </c>
      <c r="D2017" s="41" t="s">
        <v>5183</v>
      </c>
      <c r="E2017" s="41" t="s">
        <v>2929</v>
      </c>
      <c r="F2017" s="41" t="s">
        <v>2949</v>
      </c>
      <c r="G2017" s="41" t="s">
        <v>2950</v>
      </c>
    </row>
    <row r="2018" spans="1:7" x14ac:dyDescent="0.25">
      <c r="A2018" s="41" t="s">
        <v>5190</v>
      </c>
      <c r="B2018" s="41" t="s">
        <v>5191</v>
      </c>
      <c r="C2018" s="41" t="s">
        <v>2928</v>
      </c>
      <c r="D2018" s="41" t="s">
        <v>5190</v>
      </c>
      <c r="E2018" s="41" t="s">
        <v>2929</v>
      </c>
      <c r="F2018" s="41" t="s">
        <v>2930</v>
      </c>
      <c r="G2018" s="41" t="s">
        <v>2931</v>
      </c>
    </row>
    <row r="2019" spans="1:7" x14ac:dyDescent="0.25">
      <c r="A2019" s="41" t="s">
        <v>5192</v>
      </c>
      <c r="B2019" s="41" t="s">
        <v>5191</v>
      </c>
      <c r="C2019" s="41" t="s">
        <v>2928</v>
      </c>
      <c r="D2019" s="41" t="s">
        <v>5190</v>
      </c>
      <c r="E2019" s="41" t="s">
        <v>2929</v>
      </c>
      <c r="F2019" s="41" t="s">
        <v>2933</v>
      </c>
      <c r="G2019" s="41" t="s">
        <v>2934</v>
      </c>
    </row>
    <row r="2020" spans="1:7" x14ac:dyDescent="0.25">
      <c r="A2020" s="41" t="s">
        <v>5193</v>
      </c>
      <c r="B2020" s="41" t="s">
        <v>5191</v>
      </c>
      <c r="C2020" s="41" t="s">
        <v>2928</v>
      </c>
      <c r="D2020" s="41" t="s">
        <v>5190</v>
      </c>
      <c r="E2020" s="41" t="s">
        <v>2929</v>
      </c>
      <c r="F2020" s="41" t="s">
        <v>2933</v>
      </c>
      <c r="G2020" s="41" t="s">
        <v>2934</v>
      </c>
    </row>
    <row r="2021" spans="1:7" x14ac:dyDescent="0.25">
      <c r="A2021" s="41" t="s">
        <v>5194</v>
      </c>
      <c r="B2021" s="41" t="s">
        <v>5191</v>
      </c>
      <c r="C2021" s="41" t="s">
        <v>2928</v>
      </c>
      <c r="D2021" s="41" t="s">
        <v>5190</v>
      </c>
      <c r="E2021" s="41" t="s">
        <v>2929</v>
      </c>
      <c r="F2021" s="41" t="s">
        <v>2930</v>
      </c>
      <c r="G2021" s="41" t="s">
        <v>2931</v>
      </c>
    </row>
    <row r="2022" spans="1:7" x14ac:dyDescent="0.25">
      <c r="A2022" s="41" t="s">
        <v>5195</v>
      </c>
      <c r="B2022" s="41" t="s">
        <v>5191</v>
      </c>
      <c r="C2022" s="41" t="s">
        <v>2928</v>
      </c>
      <c r="D2022" s="41" t="s">
        <v>5190</v>
      </c>
      <c r="E2022" s="41" t="s">
        <v>2929</v>
      </c>
      <c r="F2022" s="41" t="s">
        <v>2949</v>
      </c>
      <c r="G2022" s="41" t="s">
        <v>2950</v>
      </c>
    </row>
    <row r="2023" spans="1:7" x14ac:dyDescent="0.25">
      <c r="A2023" s="41" t="s">
        <v>5196</v>
      </c>
      <c r="B2023" s="41" t="s">
        <v>5191</v>
      </c>
      <c r="C2023" s="41" t="s">
        <v>2928</v>
      </c>
      <c r="D2023" s="41" t="s">
        <v>5190</v>
      </c>
      <c r="E2023" s="41" t="s">
        <v>2929</v>
      </c>
      <c r="F2023" s="41" t="s">
        <v>2949</v>
      </c>
      <c r="G2023" s="41" t="s">
        <v>2950</v>
      </c>
    </row>
    <row r="2024" spans="1:7" x14ac:dyDescent="0.25">
      <c r="A2024" s="41" t="s">
        <v>5197</v>
      </c>
      <c r="B2024" s="41" t="s">
        <v>1113</v>
      </c>
      <c r="C2024" s="41" t="s">
        <v>2928</v>
      </c>
      <c r="D2024" s="41" t="s">
        <v>5197</v>
      </c>
      <c r="E2024" s="41" t="s">
        <v>2929</v>
      </c>
      <c r="F2024" s="41" t="s">
        <v>2930</v>
      </c>
      <c r="G2024" s="41" t="s">
        <v>2931</v>
      </c>
    </row>
    <row r="2025" spans="1:7" x14ac:dyDescent="0.25">
      <c r="A2025" s="41" t="s">
        <v>5198</v>
      </c>
      <c r="B2025" s="41" t="s">
        <v>1113</v>
      </c>
      <c r="C2025" s="41" t="s">
        <v>2928</v>
      </c>
      <c r="D2025" s="41" t="s">
        <v>5197</v>
      </c>
      <c r="E2025" s="41" t="s">
        <v>2929</v>
      </c>
      <c r="F2025" s="41" t="s">
        <v>2933</v>
      </c>
      <c r="G2025" s="41" t="s">
        <v>2934</v>
      </c>
    </row>
    <row r="2026" spans="1:7" x14ac:dyDescent="0.25">
      <c r="A2026" s="41" t="s">
        <v>5199</v>
      </c>
      <c r="B2026" s="41" t="s">
        <v>1113</v>
      </c>
      <c r="C2026" s="41" t="s">
        <v>2928</v>
      </c>
      <c r="D2026" s="41" t="s">
        <v>5197</v>
      </c>
      <c r="E2026" s="41" t="s">
        <v>2929</v>
      </c>
      <c r="F2026" s="41" t="s">
        <v>2933</v>
      </c>
      <c r="G2026" s="41" t="s">
        <v>2934</v>
      </c>
    </row>
    <row r="2027" spans="1:7" x14ac:dyDescent="0.25">
      <c r="A2027" s="41" t="s">
        <v>5200</v>
      </c>
      <c r="B2027" s="41" t="s">
        <v>1113</v>
      </c>
      <c r="C2027" s="41" t="s">
        <v>2928</v>
      </c>
      <c r="D2027" s="41" t="s">
        <v>5197</v>
      </c>
      <c r="E2027" s="41" t="s">
        <v>2929</v>
      </c>
      <c r="F2027" s="41" t="s">
        <v>2949</v>
      </c>
      <c r="G2027" s="41" t="s">
        <v>2950</v>
      </c>
    </row>
    <row r="2028" spans="1:7" x14ac:dyDescent="0.25">
      <c r="A2028" s="41" t="s">
        <v>5201</v>
      </c>
      <c r="B2028" s="41" t="s">
        <v>1113</v>
      </c>
      <c r="C2028" s="41" t="s">
        <v>2928</v>
      </c>
      <c r="D2028" s="41" t="s">
        <v>5197</v>
      </c>
      <c r="E2028" s="41" t="s">
        <v>2929</v>
      </c>
      <c r="F2028" s="41" t="s">
        <v>2949</v>
      </c>
      <c r="G2028" s="41" t="s">
        <v>2950</v>
      </c>
    </row>
    <row r="2029" spans="1:7" x14ac:dyDescent="0.25">
      <c r="A2029" s="41" t="s">
        <v>5202</v>
      </c>
      <c r="B2029" s="41" t="s">
        <v>1138</v>
      </c>
      <c r="C2029" s="41" t="s">
        <v>2928</v>
      </c>
      <c r="D2029" s="41" t="s">
        <v>5202</v>
      </c>
      <c r="E2029" s="41" t="s">
        <v>2929</v>
      </c>
      <c r="F2029" s="41" t="s">
        <v>2930</v>
      </c>
      <c r="G2029" s="41" t="s">
        <v>2931</v>
      </c>
    </row>
    <row r="2030" spans="1:7" x14ac:dyDescent="0.25">
      <c r="A2030" s="41" t="s">
        <v>5203</v>
      </c>
      <c r="B2030" s="41" t="s">
        <v>1138</v>
      </c>
      <c r="C2030" s="41" t="s">
        <v>2928</v>
      </c>
      <c r="D2030" s="41" t="s">
        <v>5202</v>
      </c>
      <c r="E2030" s="41" t="s">
        <v>2929</v>
      </c>
      <c r="F2030" s="41" t="s">
        <v>2933</v>
      </c>
      <c r="G2030" s="41" t="s">
        <v>2934</v>
      </c>
    </row>
    <row r="2031" spans="1:7" x14ac:dyDescent="0.25">
      <c r="A2031" s="41" t="s">
        <v>5204</v>
      </c>
      <c r="B2031" s="41" t="s">
        <v>1138</v>
      </c>
      <c r="C2031" s="41" t="s">
        <v>2928</v>
      </c>
      <c r="D2031" s="41" t="s">
        <v>5202</v>
      </c>
      <c r="E2031" s="41" t="s">
        <v>2929</v>
      </c>
      <c r="F2031" s="41" t="s">
        <v>2949</v>
      </c>
      <c r="G2031" s="41" t="s">
        <v>2950</v>
      </c>
    </row>
    <row r="2032" spans="1:7" x14ac:dyDescent="0.25">
      <c r="A2032" s="41" t="s">
        <v>5205</v>
      </c>
      <c r="B2032" s="41" t="s">
        <v>1181</v>
      </c>
      <c r="C2032" s="41" t="s">
        <v>2928</v>
      </c>
      <c r="D2032" s="41" t="s">
        <v>5205</v>
      </c>
      <c r="E2032" s="41" t="s">
        <v>2929</v>
      </c>
      <c r="F2032" s="41" t="s">
        <v>2930</v>
      </c>
      <c r="G2032" s="41" t="s">
        <v>2931</v>
      </c>
    </row>
    <row r="2033" spans="1:7" x14ac:dyDescent="0.25">
      <c r="A2033" s="41" t="s">
        <v>5206</v>
      </c>
      <c r="B2033" s="41" t="s">
        <v>1181</v>
      </c>
      <c r="C2033" s="41" t="s">
        <v>2928</v>
      </c>
      <c r="D2033" s="41" t="s">
        <v>5205</v>
      </c>
      <c r="E2033" s="41" t="s">
        <v>2929</v>
      </c>
      <c r="F2033" s="41" t="s">
        <v>2949</v>
      </c>
      <c r="G2033" s="41" t="s">
        <v>2950</v>
      </c>
    </row>
    <row r="2034" spans="1:7" x14ac:dyDescent="0.25">
      <c r="A2034" s="41" t="s">
        <v>5207</v>
      </c>
      <c r="B2034" s="41" t="s">
        <v>1129</v>
      </c>
      <c r="C2034" s="41" t="s">
        <v>2928</v>
      </c>
      <c r="D2034" s="41" t="s">
        <v>5207</v>
      </c>
      <c r="E2034" s="41" t="s">
        <v>2929</v>
      </c>
      <c r="F2034" s="41" t="s">
        <v>2930</v>
      </c>
      <c r="G2034" s="41" t="s">
        <v>2931</v>
      </c>
    </row>
    <row r="2035" spans="1:7" x14ac:dyDescent="0.25">
      <c r="A2035" s="41" t="s">
        <v>5208</v>
      </c>
      <c r="B2035" s="41" t="s">
        <v>1129</v>
      </c>
      <c r="C2035" s="41" t="s">
        <v>2928</v>
      </c>
      <c r="D2035" s="41" t="s">
        <v>5207</v>
      </c>
      <c r="E2035" s="41" t="s">
        <v>2929</v>
      </c>
      <c r="F2035" s="41" t="s">
        <v>2933</v>
      </c>
      <c r="G2035" s="41" t="s">
        <v>2934</v>
      </c>
    </row>
    <row r="2036" spans="1:7" x14ac:dyDescent="0.25">
      <c r="A2036" s="41" t="s">
        <v>5209</v>
      </c>
      <c r="B2036" s="41" t="s">
        <v>1129</v>
      </c>
      <c r="C2036" s="41" t="s">
        <v>2928</v>
      </c>
      <c r="D2036" s="41" t="s">
        <v>5207</v>
      </c>
      <c r="E2036" s="41" t="s">
        <v>2929</v>
      </c>
      <c r="F2036" s="41" t="s">
        <v>2949</v>
      </c>
      <c r="G2036" s="41" t="s">
        <v>2950</v>
      </c>
    </row>
    <row r="2037" spans="1:7" x14ac:dyDescent="0.25">
      <c r="A2037" s="41" t="s">
        <v>5210</v>
      </c>
      <c r="B2037" s="41" t="s">
        <v>5211</v>
      </c>
      <c r="C2037" s="41" t="s">
        <v>2928</v>
      </c>
      <c r="D2037" s="41" t="s">
        <v>5210</v>
      </c>
      <c r="E2037" s="41" t="s">
        <v>2929</v>
      </c>
      <c r="F2037" s="41" t="s">
        <v>2930</v>
      </c>
      <c r="G2037" s="41" t="s">
        <v>2931</v>
      </c>
    </row>
    <row r="2038" spans="1:7" x14ac:dyDescent="0.25">
      <c r="A2038" s="41" t="s">
        <v>5212</v>
      </c>
      <c r="B2038" s="41" t="s">
        <v>5211</v>
      </c>
      <c r="C2038" s="41" t="s">
        <v>2928</v>
      </c>
      <c r="D2038" s="41" t="s">
        <v>5210</v>
      </c>
      <c r="E2038" s="41" t="s">
        <v>2929</v>
      </c>
      <c r="F2038" s="41" t="s">
        <v>2933</v>
      </c>
      <c r="G2038" s="41" t="s">
        <v>2934</v>
      </c>
    </row>
    <row r="2039" spans="1:7" x14ac:dyDescent="0.25">
      <c r="A2039" s="41" t="s">
        <v>5213</v>
      </c>
      <c r="B2039" s="41" t="s">
        <v>5211</v>
      </c>
      <c r="C2039" s="41" t="s">
        <v>2928</v>
      </c>
      <c r="D2039" s="41" t="s">
        <v>5210</v>
      </c>
      <c r="E2039" s="41" t="s">
        <v>2929</v>
      </c>
      <c r="F2039" s="41" t="s">
        <v>2933</v>
      </c>
      <c r="G2039" s="41" t="s">
        <v>2934</v>
      </c>
    </row>
    <row r="2040" spans="1:7" x14ac:dyDescent="0.25">
      <c r="A2040" s="41" t="s">
        <v>5214</v>
      </c>
      <c r="B2040" s="41" t="s">
        <v>5211</v>
      </c>
      <c r="C2040" s="41" t="s">
        <v>2928</v>
      </c>
      <c r="D2040" s="41" t="s">
        <v>5210</v>
      </c>
      <c r="E2040" s="41" t="s">
        <v>2929</v>
      </c>
      <c r="F2040" s="41" t="s">
        <v>2949</v>
      </c>
      <c r="G2040" s="41" t="s">
        <v>2950</v>
      </c>
    </row>
    <row r="2041" spans="1:7" x14ac:dyDescent="0.25">
      <c r="A2041" s="41" t="s">
        <v>5215</v>
      </c>
      <c r="B2041" s="41" t="s">
        <v>5216</v>
      </c>
      <c r="C2041" s="41" t="s">
        <v>2928</v>
      </c>
      <c r="D2041" s="41" t="s">
        <v>5215</v>
      </c>
      <c r="E2041" s="41" t="s">
        <v>2929</v>
      </c>
      <c r="F2041" s="41" t="s">
        <v>2930</v>
      </c>
      <c r="G2041" s="41" t="s">
        <v>2931</v>
      </c>
    </row>
    <row r="2042" spans="1:7" x14ac:dyDescent="0.25">
      <c r="A2042" s="41" t="s">
        <v>5217</v>
      </c>
      <c r="B2042" s="41" t="s">
        <v>5216</v>
      </c>
      <c r="C2042" s="41" t="s">
        <v>2928</v>
      </c>
      <c r="D2042" s="41" t="s">
        <v>5215</v>
      </c>
      <c r="E2042" s="41" t="s">
        <v>2929</v>
      </c>
      <c r="F2042" s="41" t="s">
        <v>2933</v>
      </c>
      <c r="G2042" s="41" t="s">
        <v>2934</v>
      </c>
    </row>
    <row r="2043" spans="1:7" x14ac:dyDescent="0.25">
      <c r="A2043" s="41" t="s">
        <v>5218</v>
      </c>
      <c r="B2043" s="41" t="s">
        <v>5216</v>
      </c>
      <c r="C2043" s="41" t="s">
        <v>2928</v>
      </c>
      <c r="D2043" s="41" t="s">
        <v>5215</v>
      </c>
      <c r="E2043" s="41" t="s">
        <v>2929</v>
      </c>
      <c r="F2043" s="41" t="s">
        <v>2930</v>
      </c>
      <c r="G2043" s="41" t="s">
        <v>2931</v>
      </c>
    </row>
    <row r="2044" spans="1:7" x14ac:dyDescent="0.25">
      <c r="A2044" s="41" t="s">
        <v>5219</v>
      </c>
      <c r="B2044" s="41" t="s">
        <v>5216</v>
      </c>
      <c r="C2044" s="41" t="s">
        <v>2928</v>
      </c>
      <c r="D2044" s="41" t="s">
        <v>5215</v>
      </c>
      <c r="E2044" s="41" t="s">
        <v>2929</v>
      </c>
      <c r="F2044" s="41" t="s">
        <v>2949</v>
      </c>
      <c r="G2044" s="41" t="s">
        <v>2950</v>
      </c>
    </row>
    <row r="2045" spans="1:7" x14ac:dyDescent="0.25">
      <c r="A2045" s="41" t="s">
        <v>5220</v>
      </c>
      <c r="B2045" s="41" t="s">
        <v>5216</v>
      </c>
      <c r="C2045" s="41" t="s">
        <v>2928</v>
      </c>
      <c r="D2045" s="41" t="s">
        <v>5215</v>
      </c>
      <c r="E2045" s="41" t="s">
        <v>2929</v>
      </c>
      <c r="F2045" s="41" t="s">
        <v>2949</v>
      </c>
      <c r="G2045" s="41" t="s">
        <v>2950</v>
      </c>
    </row>
    <row r="2046" spans="1:7" x14ac:dyDescent="0.25">
      <c r="A2046" s="41" t="s">
        <v>5221</v>
      </c>
      <c r="B2046" s="41" t="s">
        <v>5222</v>
      </c>
      <c r="C2046" s="41" t="s">
        <v>2928</v>
      </c>
      <c r="D2046" s="41" t="s">
        <v>5221</v>
      </c>
      <c r="E2046" s="41" t="s">
        <v>2929</v>
      </c>
      <c r="F2046" s="41" t="s">
        <v>2930</v>
      </c>
      <c r="G2046" s="41" t="s">
        <v>2931</v>
      </c>
    </row>
    <row r="2047" spans="1:7" x14ac:dyDescent="0.25">
      <c r="A2047" s="41" t="s">
        <v>5223</v>
      </c>
      <c r="B2047" s="41" t="s">
        <v>5222</v>
      </c>
      <c r="C2047" s="41" t="s">
        <v>2928</v>
      </c>
      <c r="D2047" s="41" t="s">
        <v>5221</v>
      </c>
      <c r="E2047" s="41" t="s">
        <v>2929</v>
      </c>
      <c r="F2047" s="41" t="s">
        <v>2933</v>
      </c>
      <c r="G2047" s="41" t="s">
        <v>2934</v>
      </c>
    </row>
    <row r="2048" spans="1:7" x14ac:dyDescent="0.25">
      <c r="A2048" s="41" t="s">
        <v>5224</v>
      </c>
      <c r="B2048" s="41" t="s">
        <v>5222</v>
      </c>
      <c r="C2048" s="41" t="s">
        <v>2928</v>
      </c>
      <c r="D2048" s="41" t="s">
        <v>5221</v>
      </c>
      <c r="E2048" s="41" t="s">
        <v>2929</v>
      </c>
      <c r="F2048" s="41" t="s">
        <v>2933</v>
      </c>
      <c r="G2048" s="41" t="s">
        <v>2934</v>
      </c>
    </row>
    <row r="2049" spans="1:7" x14ac:dyDescent="0.25">
      <c r="A2049" s="41" t="s">
        <v>5225</v>
      </c>
      <c r="B2049" s="41" t="s">
        <v>5222</v>
      </c>
      <c r="C2049" s="41" t="s">
        <v>2928</v>
      </c>
      <c r="D2049" s="41" t="s">
        <v>5221</v>
      </c>
      <c r="E2049" s="41" t="s">
        <v>2929</v>
      </c>
      <c r="F2049" s="41" t="s">
        <v>2930</v>
      </c>
      <c r="G2049" s="41" t="s">
        <v>2931</v>
      </c>
    </row>
    <row r="2050" spans="1:7" x14ac:dyDescent="0.25">
      <c r="A2050" s="41" t="s">
        <v>5226</v>
      </c>
      <c r="B2050" s="41" t="s">
        <v>5222</v>
      </c>
      <c r="C2050" s="41" t="s">
        <v>2928</v>
      </c>
      <c r="D2050" s="41" t="s">
        <v>5221</v>
      </c>
      <c r="E2050" s="41" t="s">
        <v>2929</v>
      </c>
      <c r="F2050" s="41" t="s">
        <v>2949</v>
      </c>
      <c r="G2050" s="41" t="s">
        <v>2950</v>
      </c>
    </row>
    <row r="2051" spans="1:7" x14ac:dyDescent="0.25">
      <c r="A2051" s="41" t="s">
        <v>5227</v>
      </c>
      <c r="B2051" s="41" t="s">
        <v>5222</v>
      </c>
      <c r="C2051" s="41" t="s">
        <v>2928</v>
      </c>
      <c r="D2051" s="41" t="s">
        <v>5221</v>
      </c>
      <c r="E2051" s="41" t="s">
        <v>2929</v>
      </c>
      <c r="F2051" s="41" t="s">
        <v>2949</v>
      </c>
      <c r="G2051" s="41" t="s">
        <v>2950</v>
      </c>
    </row>
    <row r="2052" spans="1:7" x14ac:dyDescent="0.25">
      <c r="A2052" s="41" t="s">
        <v>5228</v>
      </c>
      <c r="B2052" s="41" t="s">
        <v>5222</v>
      </c>
      <c r="C2052" s="41" t="s">
        <v>2928</v>
      </c>
      <c r="D2052" s="41" t="s">
        <v>5221</v>
      </c>
      <c r="E2052" s="41" t="s">
        <v>2929</v>
      </c>
      <c r="F2052" s="41" t="s">
        <v>2949</v>
      </c>
      <c r="G2052" s="41" t="s">
        <v>2950</v>
      </c>
    </row>
    <row r="2053" spans="1:7" x14ac:dyDescent="0.25">
      <c r="A2053" s="41" t="s">
        <v>5229</v>
      </c>
      <c r="B2053" s="41" t="s">
        <v>1058</v>
      </c>
      <c r="C2053" s="41" t="s">
        <v>2928</v>
      </c>
      <c r="D2053" s="41" t="s">
        <v>5229</v>
      </c>
      <c r="E2053" s="41" t="s">
        <v>2929</v>
      </c>
      <c r="F2053" s="41" t="s">
        <v>2930</v>
      </c>
      <c r="G2053" s="41" t="s">
        <v>2931</v>
      </c>
    </row>
    <row r="2054" spans="1:7" x14ac:dyDescent="0.25">
      <c r="A2054" s="41" t="s">
        <v>5230</v>
      </c>
      <c r="B2054" s="41" t="s">
        <v>1058</v>
      </c>
      <c r="C2054" s="41" t="s">
        <v>2928</v>
      </c>
      <c r="D2054" s="41" t="s">
        <v>5229</v>
      </c>
      <c r="E2054" s="41" t="s">
        <v>2929</v>
      </c>
      <c r="F2054" s="41" t="s">
        <v>2933</v>
      </c>
      <c r="G2054" s="41" t="s">
        <v>2934</v>
      </c>
    </row>
    <row r="2055" spans="1:7" x14ac:dyDescent="0.25">
      <c r="A2055" s="41" t="s">
        <v>5231</v>
      </c>
      <c r="B2055" s="41" t="s">
        <v>1058</v>
      </c>
      <c r="C2055" s="41" t="s">
        <v>2928</v>
      </c>
      <c r="D2055" s="41" t="s">
        <v>5229</v>
      </c>
      <c r="E2055" s="41" t="s">
        <v>2929</v>
      </c>
      <c r="F2055" s="41" t="s">
        <v>2933</v>
      </c>
      <c r="G2055" s="41" t="s">
        <v>2934</v>
      </c>
    </row>
    <row r="2056" spans="1:7" x14ac:dyDescent="0.25">
      <c r="A2056" s="41" t="s">
        <v>5232</v>
      </c>
      <c r="B2056" s="41" t="s">
        <v>1058</v>
      </c>
      <c r="C2056" s="41" t="s">
        <v>2928</v>
      </c>
      <c r="D2056" s="41" t="s">
        <v>5229</v>
      </c>
      <c r="E2056" s="41" t="s">
        <v>2929</v>
      </c>
      <c r="F2056" s="41" t="s">
        <v>2949</v>
      </c>
      <c r="G2056" s="41" t="s">
        <v>2950</v>
      </c>
    </row>
    <row r="2057" spans="1:7" x14ac:dyDescent="0.25">
      <c r="A2057" s="41" t="s">
        <v>5233</v>
      </c>
      <c r="B2057" s="41" t="s">
        <v>1058</v>
      </c>
      <c r="C2057" s="41" t="s">
        <v>2928</v>
      </c>
      <c r="D2057" s="41" t="s">
        <v>5229</v>
      </c>
      <c r="E2057" s="41" t="s">
        <v>2929</v>
      </c>
      <c r="F2057" s="41" t="s">
        <v>2949</v>
      </c>
      <c r="G2057" s="41" t="s">
        <v>2950</v>
      </c>
    </row>
    <row r="2058" spans="1:7" x14ac:dyDescent="0.25">
      <c r="A2058" s="41" t="s">
        <v>5234</v>
      </c>
      <c r="B2058" s="41" t="s">
        <v>5235</v>
      </c>
      <c r="C2058" s="41" t="s">
        <v>2928</v>
      </c>
      <c r="D2058" s="41" t="s">
        <v>5234</v>
      </c>
      <c r="E2058" s="41" t="s">
        <v>2929</v>
      </c>
      <c r="F2058" s="41" t="s">
        <v>2930</v>
      </c>
      <c r="G2058" s="41" t="s">
        <v>2931</v>
      </c>
    </row>
    <row r="2059" spans="1:7" x14ac:dyDescent="0.25">
      <c r="A2059" s="41" t="s">
        <v>5236</v>
      </c>
      <c r="B2059" s="41" t="s">
        <v>5235</v>
      </c>
      <c r="C2059" s="41" t="s">
        <v>2928</v>
      </c>
      <c r="D2059" s="41" t="s">
        <v>5234</v>
      </c>
      <c r="E2059" s="41" t="s">
        <v>2929</v>
      </c>
      <c r="F2059" s="41" t="s">
        <v>2933</v>
      </c>
      <c r="G2059" s="41" t="s">
        <v>2934</v>
      </c>
    </row>
    <row r="2060" spans="1:7" x14ac:dyDescent="0.25">
      <c r="A2060" s="41" t="s">
        <v>5237</v>
      </c>
      <c r="B2060" s="41" t="s">
        <v>5235</v>
      </c>
      <c r="C2060" s="41" t="s">
        <v>2928</v>
      </c>
      <c r="D2060" s="41" t="s">
        <v>5234</v>
      </c>
      <c r="E2060" s="41" t="s">
        <v>2929</v>
      </c>
      <c r="F2060" s="41" t="s">
        <v>2930</v>
      </c>
      <c r="G2060" s="41" t="s">
        <v>2931</v>
      </c>
    </row>
    <row r="2061" spans="1:7" x14ac:dyDescent="0.25">
      <c r="A2061" s="41" t="s">
        <v>5238</v>
      </c>
      <c r="B2061" s="41" t="s">
        <v>5235</v>
      </c>
      <c r="C2061" s="41" t="s">
        <v>2928</v>
      </c>
      <c r="D2061" s="41" t="s">
        <v>5234</v>
      </c>
      <c r="E2061" s="41" t="s">
        <v>2929</v>
      </c>
      <c r="F2061" s="41" t="s">
        <v>2949</v>
      </c>
      <c r="G2061" s="41" t="s">
        <v>2950</v>
      </c>
    </row>
    <row r="2062" spans="1:7" x14ac:dyDescent="0.25">
      <c r="A2062" s="41" t="s">
        <v>5239</v>
      </c>
      <c r="B2062" s="41" t="s">
        <v>904</v>
      </c>
      <c r="C2062" s="41" t="s">
        <v>2928</v>
      </c>
      <c r="D2062" s="41" t="s">
        <v>5239</v>
      </c>
      <c r="E2062" s="41" t="s">
        <v>2929</v>
      </c>
      <c r="F2062" s="41" t="s">
        <v>2930</v>
      </c>
      <c r="G2062" s="41" t="s">
        <v>2931</v>
      </c>
    </row>
    <row r="2063" spans="1:7" x14ac:dyDescent="0.25">
      <c r="A2063" s="41" t="s">
        <v>5240</v>
      </c>
      <c r="B2063" s="41" t="s">
        <v>904</v>
      </c>
      <c r="C2063" s="41" t="s">
        <v>2928</v>
      </c>
      <c r="D2063" s="41" t="s">
        <v>5239</v>
      </c>
      <c r="E2063" s="41" t="s">
        <v>2929</v>
      </c>
      <c r="F2063" s="41" t="s">
        <v>2930</v>
      </c>
      <c r="G2063" s="41" t="s">
        <v>2931</v>
      </c>
    </row>
    <row r="2064" spans="1:7" x14ac:dyDescent="0.25">
      <c r="A2064" s="41" t="s">
        <v>5241</v>
      </c>
      <c r="B2064" s="41" t="s">
        <v>5242</v>
      </c>
      <c r="C2064" s="41" t="s">
        <v>2928</v>
      </c>
      <c r="D2064" s="41" t="s">
        <v>5241</v>
      </c>
      <c r="E2064" s="41" t="s">
        <v>2929</v>
      </c>
      <c r="F2064" s="41" t="s">
        <v>2930</v>
      </c>
      <c r="G2064" s="41" t="s">
        <v>2931</v>
      </c>
    </row>
    <row r="2065" spans="1:7" x14ac:dyDescent="0.25">
      <c r="A2065" s="41" t="s">
        <v>5243</v>
      </c>
      <c r="B2065" s="41" t="s">
        <v>5242</v>
      </c>
      <c r="C2065" s="41" t="s">
        <v>2928</v>
      </c>
      <c r="D2065" s="41" t="s">
        <v>5241</v>
      </c>
      <c r="E2065" s="41" t="s">
        <v>2929</v>
      </c>
      <c r="F2065" s="41" t="s">
        <v>2933</v>
      </c>
      <c r="G2065" s="41" t="s">
        <v>2934</v>
      </c>
    </row>
    <row r="2066" spans="1:7" x14ac:dyDescent="0.25">
      <c r="A2066" s="41" t="s">
        <v>5244</v>
      </c>
      <c r="B2066" s="41" t="s">
        <v>5242</v>
      </c>
      <c r="C2066" s="41" t="s">
        <v>2928</v>
      </c>
      <c r="D2066" s="41" t="s">
        <v>5241</v>
      </c>
      <c r="E2066" s="41" t="s">
        <v>2929</v>
      </c>
      <c r="F2066" s="41" t="s">
        <v>2933</v>
      </c>
      <c r="G2066" s="41" t="s">
        <v>2934</v>
      </c>
    </row>
    <row r="2067" spans="1:7" x14ac:dyDescent="0.25">
      <c r="A2067" s="41" t="s">
        <v>5245</v>
      </c>
      <c r="B2067" s="41" t="s">
        <v>5242</v>
      </c>
      <c r="C2067" s="41" t="s">
        <v>2928</v>
      </c>
      <c r="D2067" s="41" t="s">
        <v>5241</v>
      </c>
      <c r="E2067" s="41" t="s">
        <v>2929</v>
      </c>
      <c r="F2067" s="41" t="s">
        <v>2933</v>
      </c>
      <c r="G2067" s="41" t="s">
        <v>2934</v>
      </c>
    </row>
    <row r="2068" spans="1:7" x14ac:dyDescent="0.25">
      <c r="A2068" s="41" t="s">
        <v>5246</v>
      </c>
      <c r="B2068" s="41" t="s">
        <v>5242</v>
      </c>
      <c r="C2068" s="41" t="s">
        <v>2928</v>
      </c>
      <c r="D2068" s="41" t="s">
        <v>5241</v>
      </c>
      <c r="E2068" s="41" t="s">
        <v>2929</v>
      </c>
      <c r="F2068" s="41" t="s">
        <v>2933</v>
      </c>
      <c r="G2068" s="41" t="s">
        <v>2934</v>
      </c>
    </row>
    <row r="2069" spans="1:7" x14ac:dyDescent="0.25">
      <c r="A2069" s="41" t="s">
        <v>5247</v>
      </c>
      <c r="B2069" s="41" t="s">
        <v>5242</v>
      </c>
      <c r="C2069" s="41" t="s">
        <v>2928</v>
      </c>
      <c r="D2069" s="41" t="s">
        <v>5241</v>
      </c>
      <c r="E2069" s="41" t="s">
        <v>2929</v>
      </c>
      <c r="F2069" s="41" t="s">
        <v>2933</v>
      </c>
      <c r="G2069" s="41" t="s">
        <v>2934</v>
      </c>
    </row>
    <row r="2070" spans="1:7" x14ac:dyDescent="0.25">
      <c r="A2070" s="41" t="s">
        <v>5248</v>
      </c>
      <c r="B2070" s="41" t="s">
        <v>5242</v>
      </c>
      <c r="C2070" s="41" t="s">
        <v>2928</v>
      </c>
      <c r="D2070" s="41" t="s">
        <v>5241</v>
      </c>
      <c r="E2070" s="41" t="s">
        <v>2929</v>
      </c>
      <c r="F2070" s="41" t="s">
        <v>2933</v>
      </c>
      <c r="G2070" s="41" t="s">
        <v>2934</v>
      </c>
    </row>
    <row r="2071" spans="1:7" x14ac:dyDescent="0.25">
      <c r="A2071" s="41" t="s">
        <v>5249</v>
      </c>
      <c r="B2071" s="41" t="s">
        <v>5242</v>
      </c>
      <c r="C2071" s="41" t="s">
        <v>2928</v>
      </c>
      <c r="D2071" s="41" t="s">
        <v>5241</v>
      </c>
      <c r="E2071" s="41" t="s">
        <v>2929</v>
      </c>
      <c r="F2071" s="41" t="s">
        <v>2933</v>
      </c>
      <c r="G2071" s="41" t="s">
        <v>2934</v>
      </c>
    </row>
    <row r="2072" spans="1:7" x14ac:dyDescent="0.25">
      <c r="A2072" s="41" t="s">
        <v>5250</v>
      </c>
      <c r="B2072" s="41" t="s">
        <v>5242</v>
      </c>
      <c r="C2072" s="41" t="s">
        <v>2928</v>
      </c>
      <c r="D2072" s="41" t="s">
        <v>5241</v>
      </c>
      <c r="E2072" s="41" t="s">
        <v>2929</v>
      </c>
      <c r="F2072" s="41" t="s">
        <v>2930</v>
      </c>
      <c r="G2072" s="41" t="s">
        <v>2931</v>
      </c>
    </row>
    <row r="2073" spans="1:7" x14ac:dyDescent="0.25">
      <c r="A2073" s="41" t="s">
        <v>5251</v>
      </c>
      <c r="B2073" s="41" t="s">
        <v>5242</v>
      </c>
      <c r="C2073" s="41" t="s">
        <v>2928</v>
      </c>
      <c r="D2073" s="41" t="s">
        <v>5241</v>
      </c>
      <c r="E2073" s="41" t="s">
        <v>2929</v>
      </c>
      <c r="F2073" s="41" t="s">
        <v>2930</v>
      </c>
      <c r="G2073" s="41" t="s">
        <v>2931</v>
      </c>
    </row>
    <row r="2074" spans="1:7" x14ac:dyDescent="0.25">
      <c r="A2074" s="41" t="s">
        <v>5252</v>
      </c>
      <c r="B2074" s="41" t="s">
        <v>5242</v>
      </c>
      <c r="C2074" s="41" t="s">
        <v>2928</v>
      </c>
      <c r="D2074" s="41" t="s">
        <v>5241</v>
      </c>
      <c r="E2074" s="41" t="s">
        <v>2929</v>
      </c>
      <c r="F2074" s="41" t="s">
        <v>2930</v>
      </c>
      <c r="G2074" s="41" t="s">
        <v>2931</v>
      </c>
    </row>
    <row r="2075" spans="1:7" x14ac:dyDescent="0.25">
      <c r="A2075" s="41" t="s">
        <v>5253</v>
      </c>
      <c r="B2075" s="41" t="s">
        <v>5242</v>
      </c>
      <c r="C2075" s="41" t="s">
        <v>2928</v>
      </c>
      <c r="D2075" s="41" t="s">
        <v>5241</v>
      </c>
      <c r="E2075" s="41" t="s">
        <v>2929</v>
      </c>
      <c r="F2075" s="41" t="s">
        <v>2930</v>
      </c>
      <c r="G2075" s="41" t="s">
        <v>2931</v>
      </c>
    </row>
    <row r="2076" spans="1:7" x14ac:dyDescent="0.25">
      <c r="A2076" s="41" t="s">
        <v>5254</v>
      </c>
      <c r="B2076" s="41" t="s">
        <v>5242</v>
      </c>
      <c r="C2076" s="41" t="s">
        <v>2928</v>
      </c>
      <c r="D2076" s="41" t="s">
        <v>5241</v>
      </c>
      <c r="E2076" s="41" t="s">
        <v>2929</v>
      </c>
      <c r="F2076" s="41" t="s">
        <v>2930</v>
      </c>
      <c r="G2076" s="41" t="s">
        <v>2931</v>
      </c>
    </row>
    <row r="2077" spans="1:7" x14ac:dyDescent="0.25">
      <c r="A2077" s="41" t="s">
        <v>5255</v>
      </c>
      <c r="B2077" s="41" t="s">
        <v>5242</v>
      </c>
      <c r="C2077" s="41" t="s">
        <v>2928</v>
      </c>
      <c r="D2077" s="41" t="s">
        <v>5241</v>
      </c>
      <c r="E2077" s="41" t="s">
        <v>2929</v>
      </c>
      <c r="F2077" s="41" t="s">
        <v>2930</v>
      </c>
      <c r="G2077" s="41" t="s">
        <v>2931</v>
      </c>
    </row>
    <row r="2078" spans="1:7" x14ac:dyDescent="0.25">
      <c r="A2078" s="41" t="s">
        <v>5256</v>
      </c>
      <c r="B2078" s="41" t="s">
        <v>5242</v>
      </c>
      <c r="C2078" s="41" t="s">
        <v>2928</v>
      </c>
      <c r="D2078" s="41" t="s">
        <v>5241</v>
      </c>
      <c r="E2078" s="41" t="s">
        <v>2929</v>
      </c>
      <c r="F2078" s="41" t="s">
        <v>2930</v>
      </c>
      <c r="G2078" s="41" t="s">
        <v>2931</v>
      </c>
    </row>
    <row r="2079" spans="1:7" x14ac:dyDescent="0.25">
      <c r="A2079" s="41" t="s">
        <v>5257</v>
      </c>
      <c r="B2079" s="41" t="s">
        <v>5242</v>
      </c>
      <c r="C2079" s="41" t="s">
        <v>2928</v>
      </c>
      <c r="D2079" s="41" t="s">
        <v>5241</v>
      </c>
      <c r="E2079" s="41" t="s">
        <v>2929</v>
      </c>
      <c r="F2079" s="41" t="s">
        <v>2949</v>
      </c>
      <c r="G2079" s="41" t="s">
        <v>2950</v>
      </c>
    </row>
    <row r="2080" spans="1:7" x14ac:dyDescent="0.25">
      <c r="A2080" s="41" t="s">
        <v>5258</v>
      </c>
      <c r="B2080" s="41" t="s">
        <v>5242</v>
      </c>
      <c r="C2080" s="41" t="s">
        <v>2928</v>
      </c>
      <c r="D2080" s="41" t="s">
        <v>5241</v>
      </c>
      <c r="E2080" s="41" t="s">
        <v>2929</v>
      </c>
      <c r="F2080" s="41" t="s">
        <v>2949</v>
      </c>
      <c r="G2080" s="41" t="s">
        <v>2950</v>
      </c>
    </row>
    <row r="2081" spans="1:7" x14ac:dyDescent="0.25">
      <c r="A2081" s="41" t="s">
        <v>5259</v>
      </c>
      <c r="B2081" s="41" t="s">
        <v>5242</v>
      </c>
      <c r="C2081" s="41" t="s">
        <v>2928</v>
      </c>
      <c r="D2081" s="41" t="s">
        <v>5241</v>
      </c>
      <c r="E2081" s="41" t="s">
        <v>2929</v>
      </c>
      <c r="F2081" s="41" t="s">
        <v>2949</v>
      </c>
      <c r="G2081" s="41" t="s">
        <v>2950</v>
      </c>
    </row>
    <row r="2082" spans="1:7" x14ac:dyDescent="0.25">
      <c r="A2082" s="41" t="s">
        <v>5260</v>
      </c>
      <c r="B2082" s="41" t="s">
        <v>5242</v>
      </c>
      <c r="C2082" s="41" t="s">
        <v>2928</v>
      </c>
      <c r="D2082" s="41" t="s">
        <v>5241</v>
      </c>
      <c r="E2082" s="41" t="s">
        <v>2929</v>
      </c>
      <c r="F2082" s="41" t="s">
        <v>2949</v>
      </c>
      <c r="G2082" s="41" t="s">
        <v>2950</v>
      </c>
    </row>
    <row r="2083" spans="1:7" x14ac:dyDescent="0.25">
      <c r="A2083" s="41" t="s">
        <v>5261</v>
      </c>
      <c r="B2083" s="41" t="s">
        <v>5242</v>
      </c>
      <c r="C2083" s="41" t="s">
        <v>2928</v>
      </c>
      <c r="D2083" s="41" t="s">
        <v>5241</v>
      </c>
      <c r="E2083" s="41" t="s">
        <v>2929</v>
      </c>
      <c r="F2083" s="41" t="s">
        <v>2949</v>
      </c>
      <c r="G2083" s="41" t="s">
        <v>2950</v>
      </c>
    </row>
    <row r="2084" spans="1:7" x14ac:dyDescent="0.25">
      <c r="A2084" s="41" t="s">
        <v>5262</v>
      </c>
      <c r="B2084" s="41" t="s">
        <v>5242</v>
      </c>
      <c r="C2084" s="41" t="s">
        <v>2928</v>
      </c>
      <c r="D2084" s="41" t="s">
        <v>5241</v>
      </c>
      <c r="E2084" s="41" t="s">
        <v>2929</v>
      </c>
      <c r="F2084" s="41" t="s">
        <v>2949</v>
      </c>
      <c r="G2084" s="41" t="s">
        <v>2950</v>
      </c>
    </row>
    <row r="2085" spans="1:7" x14ac:dyDescent="0.25">
      <c r="A2085" s="41" t="s">
        <v>5263</v>
      </c>
      <c r="B2085" s="41" t="s">
        <v>5242</v>
      </c>
      <c r="C2085" s="41" t="s">
        <v>2928</v>
      </c>
      <c r="D2085" s="41" t="s">
        <v>5241</v>
      </c>
      <c r="E2085" s="41" t="s">
        <v>2929</v>
      </c>
      <c r="F2085" s="41" t="s">
        <v>2949</v>
      </c>
      <c r="G2085" s="41" t="s">
        <v>2950</v>
      </c>
    </row>
    <row r="2086" spans="1:7" x14ac:dyDescent="0.25">
      <c r="A2086" s="41" t="s">
        <v>5264</v>
      </c>
      <c r="B2086" s="41" t="s">
        <v>5265</v>
      </c>
      <c r="C2086" s="41" t="s">
        <v>2928</v>
      </c>
      <c r="D2086" s="41" t="s">
        <v>5264</v>
      </c>
      <c r="E2086" s="41" t="s">
        <v>2929</v>
      </c>
      <c r="F2086" s="41" t="s">
        <v>2930</v>
      </c>
      <c r="G2086" s="41" t="s">
        <v>2931</v>
      </c>
    </row>
    <row r="2087" spans="1:7" x14ac:dyDescent="0.25">
      <c r="A2087" s="41" t="s">
        <v>5266</v>
      </c>
      <c r="B2087" s="41" t="s">
        <v>5265</v>
      </c>
      <c r="C2087" s="41" t="s">
        <v>2928</v>
      </c>
      <c r="D2087" s="41" t="s">
        <v>5264</v>
      </c>
      <c r="E2087" s="41" t="s">
        <v>2929</v>
      </c>
      <c r="F2087" s="41" t="s">
        <v>2933</v>
      </c>
      <c r="G2087" s="41" t="s">
        <v>2934</v>
      </c>
    </row>
    <row r="2088" spans="1:7" x14ac:dyDescent="0.25">
      <c r="A2088" s="41" t="s">
        <v>5267</v>
      </c>
      <c r="B2088" s="41" t="s">
        <v>5265</v>
      </c>
      <c r="C2088" s="41" t="s">
        <v>2928</v>
      </c>
      <c r="D2088" s="41" t="s">
        <v>5264</v>
      </c>
      <c r="E2088" s="41" t="s">
        <v>2929</v>
      </c>
      <c r="F2088" s="41" t="s">
        <v>2933</v>
      </c>
      <c r="G2088" s="41" t="s">
        <v>2934</v>
      </c>
    </row>
    <row r="2089" spans="1:7" x14ac:dyDescent="0.25">
      <c r="A2089" s="41" t="s">
        <v>5268</v>
      </c>
      <c r="B2089" s="41" t="s">
        <v>5265</v>
      </c>
      <c r="C2089" s="41" t="s">
        <v>2928</v>
      </c>
      <c r="D2089" s="41" t="s">
        <v>5264</v>
      </c>
      <c r="E2089" s="41" t="s">
        <v>2929</v>
      </c>
      <c r="F2089" s="41" t="s">
        <v>2933</v>
      </c>
      <c r="G2089" s="41" t="s">
        <v>2934</v>
      </c>
    </row>
    <row r="2090" spans="1:7" x14ac:dyDescent="0.25">
      <c r="A2090" s="41" t="s">
        <v>5269</v>
      </c>
      <c r="B2090" s="41" t="s">
        <v>5265</v>
      </c>
      <c r="C2090" s="41" t="s">
        <v>2928</v>
      </c>
      <c r="D2090" s="41" t="s">
        <v>5264</v>
      </c>
      <c r="E2090" s="41" t="s">
        <v>2929</v>
      </c>
      <c r="F2090" s="41" t="s">
        <v>2933</v>
      </c>
      <c r="G2090" s="41" t="s">
        <v>2934</v>
      </c>
    </row>
    <row r="2091" spans="1:7" x14ac:dyDescent="0.25">
      <c r="A2091" s="41" t="s">
        <v>5270</v>
      </c>
      <c r="B2091" s="41" t="s">
        <v>5265</v>
      </c>
      <c r="C2091" s="41" t="s">
        <v>2928</v>
      </c>
      <c r="D2091" s="41" t="s">
        <v>5264</v>
      </c>
      <c r="E2091" s="41" t="s">
        <v>2929</v>
      </c>
      <c r="F2091" s="41" t="s">
        <v>2933</v>
      </c>
      <c r="G2091" s="41" t="s">
        <v>2934</v>
      </c>
    </row>
    <row r="2092" spans="1:7" x14ac:dyDescent="0.25">
      <c r="A2092" s="41" t="s">
        <v>5271</v>
      </c>
      <c r="B2092" s="41" t="s">
        <v>5265</v>
      </c>
      <c r="C2092" s="41" t="s">
        <v>2928</v>
      </c>
      <c r="D2092" s="41" t="s">
        <v>5264</v>
      </c>
      <c r="E2092" s="41" t="s">
        <v>2929</v>
      </c>
      <c r="F2092" s="41" t="s">
        <v>2933</v>
      </c>
      <c r="G2092" s="41" t="s">
        <v>2934</v>
      </c>
    </row>
    <row r="2093" spans="1:7" x14ac:dyDescent="0.25">
      <c r="A2093" s="41" t="s">
        <v>5272</v>
      </c>
      <c r="B2093" s="41" t="s">
        <v>5265</v>
      </c>
      <c r="C2093" s="41" t="s">
        <v>2928</v>
      </c>
      <c r="D2093" s="41" t="s">
        <v>5264</v>
      </c>
      <c r="E2093" s="41" t="s">
        <v>2929</v>
      </c>
      <c r="F2093" s="41" t="s">
        <v>2933</v>
      </c>
      <c r="G2093" s="41" t="s">
        <v>2934</v>
      </c>
    </row>
    <row r="2094" spans="1:7" x14ac:dyDescent="0.25">
      <c r="A2094" s="41" t="s">
        <v>5273</v>
      </c>
      <c r="B2094" s="41" t="s">
        <v>5265</v>
      </c>
      <c r="C2094" s="41" t="s">
        <v>2928</v>
      </c>
      <c r="D2094" s="41" t="s">
        <v>5264</v>
      </c>
      <c r="E2094" s="41" t="s">
        <v>2929</v>
      </c>
      <c r="F2094" s="41" t="s">
        <v>2930</v>
      </c>
      <c r="G2094" s="41" t="s">
        <v>2931</v>
      </c>
    </row>
    <row r="2095" spans="1:7" x14ac:dyDescent="0.25">
      <c r="A2095" s="41" t="s">
        <v>5274</v>
      </c>
      <c r="B2095" s="41" t="s">
        <v>5265</v>
      </c>
      <c r="C2095" s="41" t="s">
        <v>2928</v>
      </c>
      <c r="D2095" s="41" t="s">
        <v>5264</v>
      </c>
      <c r="E2095" s="41" t="s">
        <v>2929</v>
      </c>
      <c r="F2095" s="41" t="s">
        <v>2930</v>
      </c>
      <c r="G2095" s="41" t="s">
        <v>2931</v>
      </c>
    </row>
    <row r="2096" spans="1:7" x14ac:dyDescent="0.25">
      <c r="A2096" s="41" t="s">
        <v>5275</v>
      </c>
      <c r="B2096" s="41" t="s">
        <v>5265</v>
      </c>
      <c r="C2096" s="41" t="s">
        <v>2928</v>
      </c>
      <c r="D2096" s="41" t="s">
        <v>5264</v>
      </c>
      <c r="E2096" s="41" t="s">
        <v>2929</v>
      </c>
      <c r="F2096" s="41" t="s">
        <v>2930</v>
      </c>
      <c r="G2096" s="41" t="s">
        <v>2931</v>
      </c>
    </row>
    <row r="2097" spans="1:7" x14ac:dyDescent="0.25">
      <c r="A2097" s="41" t="s">
        <v>5276</v>
      </c>
      <c r="B2097" s="41" t="s">
        <v>5265</v>
      </c>
      <c r="C2097" s="41" t="s">
        <v>2928</v>
      </c>
      <c r="D2097" s="41" t="s">
        <v>5264</v>
      </c>
      <c r="E2097" s="41" t="s">
        <v>2929</v>
      </c>
      <c r="F2097" s="41" t="s">
        <v>2930</v>
      </c>
      <c r="G2097" s="41" t="s">
        <v>2931</v>
      </c>
    </row>
    <row r="2098" spans="1:7" x14ac:dyDescent="0.25">
      <c r="A2098" s="41" t="s">
        <v>5277</v>
      </c>
      <c r="B2098" s="41" t="s">
        <v>5265</v>
      </c>
      <c r="C2098" s="41" t="s">
        <v>2928</v>
      </c>
      <c r="D2098" s="41" t="s">
        <v>5264</v>
      </c>
      <c r="E2098" s="41" t="s">
        <v>2929</v>
      </c>
      <c r="F2098" s="41" t="s">
        <v>2930</v>
      </c>
      <c r="G2098" s="41" t="s">
        <v>2931</v>
      </c>
    </row>
    <row r="2099" spans="1:7" x14ac:dyDescent="0.25">
      <c r="A2099" s="41" t="s">
        <v>5278</v>
      </c>
      <c r="B2099" s="41" t="s">
        <v>5265</v>
      </c>
      <c r="C2099" s="41" t="s">
        <v>2928</v>
      </c>
      <c r="D2099" s="41" t="s">
        <v>5264</v>
      </c>
      <c r="E2099" s="41" t="s">
        <v>2929</v>
      </c>
      <c r="F2099" s="41" t="s">
        <v>2930</v>
      </c>
      <c r="G2099" s="41" t="s">
        <v>2931</v>
      </c>
    </row>
    <row r="2100" spans="1:7" x14ac:dyDescent="0.25">
      <c r="A2100" s="41" t="s">
        <v>5279</v>
      </c>
      <c r="B2100" s="41" t="s">
        <v>5265</v>
      </c>
      <c r="C2100" s="41" t="s">
        <v>2928</v>
      </c>
      <c r="D2100" s="41" t="s">
        <v>5264</v>
      </c>
      <c r="E2100" s="41" t="s">
        <v>2929</v>
      </c>
      <c r="F2100" s="41" t="s">
        <v>2930</v>
      </c>
      <c r="G2100" s="41" t="s">
        <v>2931</v>
      </c>
    </row>
    <row r="2101" spans="1:7" x14ac:dyDescent="0.25">
      <c r="A2101" s="41" t="s">
        <v>5280</v>
      </c>
      <c r="B2101" s="41" t="s">
        <v>5265</v>
      </c>
      <c r="C2101" s="41" t="s">
        <v>2928</v>
      </c>
      <c r="D2101" s="41" t="s">
        <v>5264</v>
      </c>
      <c r="E2101" s="41" t="s">
        <v>2929</v>
      </c>
      <c r="F2101" s="41" t="s">
        <v>2949</v>
      </c>
      <c r="G2101" s="41" t="s">
        <v>2950</v>
      </c>
    </row>
    <row r="2102" spans="1:7" x14ac:dyDescent="0.25">
      <c r="A2102" s="41" t="s">
        <v>5281</v>
      </c>
      <c r="B2102" s="41" t="s">
        <v>5265</v>
      </c>
      <c r="C2102" s="41" t="s">
        <v>2928</v>
      </c>
      <c r="D2102" s="41" t="s">
        <v>5264</v>
      </c>
      <c r="E2102" s="41" t="s">
        <v>2929</v>
      </c>
      <c r="F2102" s="41" t="s">
        <v>2949</v>
      </c>
      <c r="G2102" s="41" t="s">
        <v>2950</v>
      </c>
    </row>
    <row r="2103" spans="1:7" x14ac:dyDescent="0.25">
      <c r="A2103" s="41" t="s">
        <v>5282</v>
      </c>
      <c r="B2103" s="41" t="s">
        <v>5265</v>
      </c>
      <c r="C2103" s="41" t="s">
        <v>2928</v>
      </c>
      <c r="D2103" s="41" t="s">
        <v>5264</v>
      </c>
      <c r="E2103" s="41" t="s">
        <v>2929</v>
      </c>
      <c r="F2103" s="41" t="s">
        <v>2949</v>
      </c>
      <c r="G2103" s="41" t="s">
        <v>2950</v>
      </c>
    </row>
    <row r="2104" spans="1:7" x14ac:dyDescent="0.25">
      <c r="A2104" s="41" t="s">
        <v>5283</v>
      </c>
      <c r="B2104" s="41" t="s">
        <v>5265</v>
      </c>
      <c r="C2104" s="41" t="s">
        <v>2928</v>
      </c>
      <c r="D2104" s="41" t="s">
        <v>5264</v>
      </c>
      <c r="E2104" s="41" t="s">
        <v>2929</v>
      </c>
      <c r="F2104" s="41" t="s">
        <v>2949</v>
      </c>
      <c r="G2104" s="41" t="s">
        <v>2950</v>
      </c>
    </row>
    <row r="2105" spans="1:7" x14ac:dyDescent="0.25">
      <c r="A2105" s="41" t="s">
        <v>5284</v>
      </c>
      <c r="B2105" s="41" t="s">
        <v>5265</v>
      </c>
      <c r="C2105" s="41" t="s">
        <v>2928</v>
      </c>
      <c r="D2105" s="41" t="s">
        <v>5264</v>
      </c>
      <c r="E2105" s="41" t="s">
        <v>2929</v>
      </c>
      <c r="F2105" s="41" t="s">
        <v>2949</v>
      </c>
      <c r="G2105" s="41" t="s">
        <v>2950</v>
      </c>
    </row>
    <row r="2106" spans="1:7" x14ac:dyDescent="0.25">
      <c r="A2106" s="41" t="s">
        <v>5285</v>
      </c>
      <c r="B2106" s="41" t="s">
        <v>5265</v>
      </c>
      <c r="C2106" s="41" t="s">
        <v>2928</v>
      </c>
      <c r="D2106" s="41" t="s">
        <v>5264</v>
      </c>
      <c r="E2106" s="41" t="s">
        <v>2929</v>
      </c>
      <c r="F2106" s="41" t="s">
        <v>2949</v>
      </c>
      <c r="G2106" s="41" t="s">
        <v>2950</v>
      </c>
    </row>
    <row r="2107" spans="1:7" x14ac:dyDescent="0.25">
      <c r="A2107" s="41" t="s">
        <v>5286</v>
      </c>
      <c r="B2107" s="41" t="s">
        <v>5265</v>
      </c>
      <c r="C2107" s="41" t="s">
        <v>2928</v>
      </c>
      <c r="D2107" s="41" t="s">
        <v>5264</v>
      </c>
      <c r="E2107" s="41" t="s">
        <v>2929</v>
      </c>
      <c r="F2107" s="41" t="s">
        <v>2949</v>
      </c>
      <c r="G2107" s="41" t="s">
        <v>2950</v>
      </c>
    </row>
    <row r="2108" spans="1:7" x14ac:dyDescent="0.25">
      <c r="A2108" s="41" t="s">
        <v>5287</v>
      </c>
      <c r="B2108" s="41" t="s">
        <v>5288</v>
      </c>
      <c r="C2108" s="41" t="s">
        <v>2928</v>
      </c>
      <c r="D2108" s="41" t="s">
        <v>5287</v>
      </c>
      <c r="E2108" s="41" t="s">
        <v>2929</v>
      </c>
      <c r="F2108" s="41" t="s">
        <v>2930</v>
      </c>
      <c r="G2108" s="41" t="s">
        <v>2931</v>
      </c>
    </row>
    <row r="2109" spans="1:7" x14ac:dyDescent="0.25">
      <c r="A2109" s="41" t="s">
        <v>5289</v>
      </c>
      <c r="B2109" s="41" t="s">
        <v>5288</v>
      </c>
      <c r="C2109" s="41" t="s">
        <v>2928</v>
      </c>
      <c r="D2109" s="41" t="s">
        <v>5287</v>
      </c>
      <c r="E2109" s="41" t="s">
        <v>2929</v>
      </c>
      <c r="F2109" s="41" t="s">
        <v>2933</v>
      </c>
      <c r="G2109" s="41" t="s">
        <v>2934</v>
      </c>
    </row>
    <row r="2110" spans="1:7" x14ac:dyDescent="0.25">
      <c r="A2110" s="41" t="s">
        <v>5290</v>
      </c>
      <c r="B2110" s="41" t="s">
        <v>5288</v>
      </c>
      <c r="C2110" s="41" t="s">
        <v>2928</v>
      </c>
      <c r="D2110" s="41" t="s">
        <v>5287</v>
      </c>
      <c r="E2110" s="41" t="s">
        <v>2929</v>
      </c>
      <c r="F2110" s="41" t="s">
        <v>2933</v>
      </c>
      <c r="G2110" s="41" t="s">
        <v>2934</v>
      </c>
    </row>
    <row r="2111" spans="1:7" x14ac:dyDescent="0.25">
      <c r="A2111" s="41" t="s">
        <v>5291</v>
      </c>
      <c r="B2111" s="41" t="s">
        <v>5288</v>
      </c>
      <c r="C2111" s="41" t="s">
        <v>2928</v>
      </c>
      <c r="D2111" s="41" t="s">
        <v>5287</v>
      </c>
      <c r="E2111" s="41" t="s">
        <v>2929</v>
      </c>
      <c r="F2111" s="41" t="s">
        <v>2933</v>
      </c>
      <c r="G2111" s="41" t="s">
        <v>2934</v>
      </c>
    </row>
    <row r="2112" spans="1:7" x14ac:dyDescent="0.25">
      <c r="A2112" s="41" t="s">
        <v>5292</v>
      </c>
      <c r="B2112" s="41" t="s">
        <v>5288</v>
      </c>
      <c r="C2112" s="41" t="s">
        <v>2928</v>
      </c>
      <c r="D2112" s="41" t="s">
        <v>5287</v>
      </c>
      <c r="E2112" s="41" t="s">
        <v>2929</v>
      </c>
      <c r="F2112" s="41" t="s">
        <v>2933</v>
      </c>
      <c r="G2112" s="41" t="s">
        <v>2934</v>
      </c>
    </row>
    <row r="2113" spans="1:7" x14ac:dyDescent="0.25">
      <c r="A2113" s="41" t="s">
        <v>5293</v>
      </c>
      <c r="B2113" s="41" t="s">
        <v>5288</v>
      </c>
      <c r="C2113" s="41" t="s">
        <v>2928</v>
      </c>
      <c r="D2113" s="41" t="s">
        <v>5287</v>
      </c>
      <c r="E2113" s="41" t="s">
        <v>2929</v>
      </c>
      <c r="F2113" s="41" t="s">
        <v>2933</v>
      </c>
      <c r="G2113" s="41" t="s">
        <v>2934</v>
      </c>
    </row>
    <row r="2114" spans="1:7" x14ac:dyDescent="0.25">
      <c r="A2114" s="41" t="s">
        <v>5294</v>
      </c>
      <c r="B2114" s="41" t="s">
        <v>5288</v>
      </c>
      <c r="C2114" s="41" t="s">
        <v>2928</v>
      </c>
      <c r="D2114" s="41" t="s">
        <v>5287</v>
      </c>
      <c r="E2114" s="41" t="s">
        <v>2929</v>
      </c>
      <c r="F2114" s="41" t="s">
        <v>2933</v>
      </c>
      <c r="G2114" s="41" t="s">
        <v>2934</v>
      </c>
    </row>
    <row r="2115" spans="1:7" x14ac:dyDescent="0.25">
      <c r="A2115" s="41" t="s">
        <v>5295</v>
      </c>
      <c r="B2115" s="41" t="s">
        <v>5288</v>
      </c>
      <c r="C2115" s="41" t="s">
        <v>2928</v>
      </c>
      <c r="D2115" s="41" t="s">
        <v>5287</v>
      </c>
      <c r="E2115" s="41" t="s">
        <v>2929</v>
      </c>
      <c r="F2115" s="41" t="s">
        <v>2933</v>
      </c>
      <c r="G2115" s="41" t="s">
        <v>2934</v>
      </c>
    </row>
    <row r="2116" spans="1:7" x14ac:dyDescent="0.25">
      <c r="A2116" s="41" t="s">
        <v>5296</v>
      </c>
      <c r="B2116" s="41" t="s">
        <v>5288</v>
      </c>
      <c r="C2116" s="41" t="s">
        <v>2928</v>
      </c>
      <c r="D2116" s="41" t="s">
        <v>5287</v>
      </c>
      <c r="E2116" s="41" t="s">
        <v>2929</v>
      </c>
      <c r="F2116" s="41" t="s">
        <v>2930</v>
      </c>
      <c r="G2116" s="41" t="s">
        <v>2931</v>
      </c>
    </row>
    <row r="2117" spans="1:7" x14ac:dyDescent="0.25">
      <c r="A2117" s="41" t="s">
        <v>5297</v>
      </c>
      <c r="B2117" s="41" t="s">
        <v>5288</v>
      </c>
      <c r="C2117" s="41" t="s">
        <v>2928</v>
      </c>
      <c r="D2117" s="41" t="s">
        <v>5287</v>
      </c>
      <c r="E2117" s="41" t="s">
        <v>2929</v>
      </c>
      <c r="F2117" s="41" t="s">
        <v>2930</v>
      </c>
      <c r="G2117" s="41" t="s">
        <v>2931</v>
      </c>
    </row>
    <row r="2118" spans="1:7" x14ac:dyDescent="0.25">
      <c r="A2118" s="41" t="s">
        <v>5298</v>
      </c>
      <c r="B2118" s="41" t="s">
        <v>5288</v>
      </c>
      <c r="C2118" s="41" t="s">
        <v>2928</v>
      </c>
      <c r="D2118" s="41" t="s">
        <v>5287</v>
      </c>
      <c r="E2118" s="41" t="s">
        <v>2929</v>
      </c>
      <c r="F2118" s="41" t="s">
        <v>2930</v>
      </c>
      <c r="G2118" s="41" t="s">
        <v>2931</v>
      </c>
    </row>
    <row r="2119" spans="1:7" x14ac:dyDescent="0.25">
      <c r="A2119" s="41" t="s">
        <v>5299</v>
      </c>
      <c r="B2119" s="41" t="s">
        <v>5288</v>
      </c>
      <c r="C2119" s="41" t="s">
        <v>2928</v>
      </c>
      <c r="D2119" s="41" t="s">
        <v>5287</v>
      </c>
      <c r="E2119" s="41" t="s">
        <v>2929</v>
      </c>
      <c r="F2119" s="41" t="s">
        <v>2930</v>
      </c>
      <c r="G2119" s="41" t="s">
        <v>2931</v>
      </c>
    </row>
    <row r="2120" spans="1:7" x14ac:dyDescent="0.25">
      <c r="A2120" s="41" t="s">
        <v>5300</v>
      </c>
      <c r="B2120" s="41" t="s">
        <v>5288</v>
      </c>
      <c r="C2120" s="41" t="s">
        <v>2928</v>
      </c>
      <c r="D2120" s="41" t="s">
        <v>5287</v>
      </c>
      <c r="E2120" s="41" t="s">
        <v>2929</v>
      </c>
      <c r="F2120" s="41" t="s">
        <v>2930</v>
      </c>
      <c r="G2120" s="41" t="s">
        <v>2931</v>
      </c>
    </row>
    <row r="2121" spans="1:7" x14ac:dyDescent="0.25">
      <c r="A2121" s="41" t="s">
        <v>5301</v>
      </c>
      <c r="B2121" s="41" t="s">
        <v>5288</v>
      </c>
      <c r="C2121" s="41" t="s">
        <v>2928</v>
      </c>
      <c r="D2121" s="41" t="s">
        <v>5287</v>
      </c>
      <c r="E2121" s="41" t="s">
        <v>2929</v>
      </c>
      <c r="F2121" s="41" t="s">
        <v>2930</v>
      </c>
      <c r="G2121" s="41" t="s">
        <v>2931</v>
      </c>
    </row>
    <row r="2122" spans="1:7" x14ac:dyDescent="0.25">
      <c r="A2122" s="41" t="s">
        <v>5302</v>
      </c>
      <c r="B2122" s="41" t="s">
        <v>5288</v>
      </c>
      <c r="C2122" s="41" t="s">
        <v>2928</v>
      </c>
      <c r="D2122" s="41" t="s">
        <v>5287</v>
      </c>
      <c r="E2122" s="41" t="s">
        <v>2929</v>
      </c>
      <c r="F2122" s="41" t="s">
        <v>2930</v>
      </c>
      <c r="G2122" s="41" t="s">
        <v>2931</v>
      </c>
    </row>
    <row r="2123" spans="1:7" x14ac:dyDescent="0.25">
      <c r="A2123" s="41" t="s">
        <v>5303</v>
      </c>
      <c r="B2123" s="41" t="s">
        <v>5288</v>
      </c>
      <c r="C2123" s="41" t="s">
        <v>2928</v>
      </c>
      <c r="D2123" s="41" t="s">
        <v>5287</v>
      </c>
      <c r="E2123" s="41" t="s">
        <v>2929</v>
      </c>
      <c r="F2123" s="41" t="s">
        <v>2949</v>
      </c>
      <c r="G2123" s="41" t="s">
        <v>2950</v>
      </c>
    </row>
    <row r="2124" spans="1:7" x14ac:dyDescent="0.25">
      <c r="A2124" s="41" t="s">
        <v>5304</v>
      </c>
      <c r="B2124" s="41" t="s">
        <v>5288</v>
      </c>
      <c r="C2124" s="41" t="s">
        <v>2928</v>
      </c>
      <c r="D2124" s="41" t="s">
        <v>5287</v>
      </c>
      <c r="E2124" s="41" t="s">
        <v>2929</v>
      </c>
      <c r="F2124" s="41" t="s">
        <v>2949</v>
      </c>
      <c r="G2124" s="41" t="s">
        <v>2950</v>
      </c>
    </row>
    <row r="2125" spans="1:7" x14ac:dyDescent="0.25">
      <c r="A2125" s="41" t="s">
        <v>5305</v>
      </c>
      <c r="B2125" s="41" t="s">
        <v>5288</v>
      </c>
      <c r="C2125" s="41" t="s">
        <v>2928</v>
      </c>
      <c r="D2125" s="41" t="s">
        <v>5287</v>
      </c>
      <c r="E2125" s="41" t="s">
        <v>2929</v>
      </c>
      <c r="F2125" s="41" t="s">
        <v>2949</v>
      </c>
      <c r="G2125" s="41" t="s">
        <v>2950</v>
      </c>
    </row>
    <row r="2126" spans="1:7" x14ac:dyDescent="0.25">
      <c r="A2126" s="41" t="s">
        <v>5306</v>
      </c>
      <c r="B2126" s="41" t="s">
        <v>5288</v>
      </c>
      <c r="C2126" s="41" t="s">
        <v>2928</v>
      </c>
      <c r="D2126" s="41" t="s">
        <v>5287</v>
      </c>
      <c r="E2126" s="41" t="s">
        <v>2929</v>
      </c>
      <c r="F2126" s="41" t="s">
        <v>2949</v>
      </c>
      <c r="G2126" s="41" t="s">
        <v>2950</v>
      </c>
    </row>
    <row r="2127" spans="1:7" x14ac:dyDescent="0.25">
      <c r="A2127" s="41" t="s">
        <v>5307</v>
      </c>
      <c r="B2127" s="41" t="s">
        <v>5288</v>
      </c>
      <c r="C2127" s="41" t="s">
        <v>2928</v>
      </c>
      <c r="D2127" s="41" t="s">
        <v>5287</v>
      </c>
      <c r="E2127" s="41" t="s">
        <v>2929</v>
      </c>
      <c r="F2127" s="41" t="s">
        <v>2949</v>
      </c>
      <c r="G2127" s="41" t="s">
        <v>2950</v>
      </c>
    </row>
    <row r="2128" spans="1:7" x14ac:dyDescent="0.25">
      <c r="A2128" s="41" t="s">
        <v>5308</v>
      </c>
      <c r="B2128" s="41" t="s">
        <v>5288</v>
      </c>
      <c r="C2128" s="41" t="s">
        <v>2928</v>
      </c>
      <c r="D2128" s="41" t="s">
        <v>5287</v>
      </c>
      <c r="E2128" s="41" t="s">
        <v>2929</v>
      </c>
      <c r="F2128" s="41" t="s">
        <v>2949</v>
      </c>
      <c r="G2128" s="41" t="s">
        <v>2950</v>
      </c>
    </row>
    <row r="2129" spans="1:7" x14ac:dyDescent="0.25">
      <c r="A2129" s="41" t="s">
        <v>5309</v>
      </c>
      <c r="B2129" s="41" t="s">
        <v>5288</v>
      </c>
      <c r="C2129" s="41" t="s">
        <v>2928</v>
      </c>
      <c r="D2129" s="41" t="s">
        <v>5287</v>
      </c>
      <c r="E2129" s="41" t="s">
        <v>2929</v>
      </c>
      <c r="F2129" s="41" t="s">
        <v>2949</v>
      </c>
      <c r="G2129" s="41" t="s">
        <v>2950</v>
      </c>
    </row>
    <row r="2130" spans="1:7" x14ac:dyDescent="0.25">
      <c r="A2130" s="41" t="s">
        <v>5310</v>
      </c>
      <c r="B2130" s="41" t="s">
        <v>5311</v>
      </c>
      <c r="C2130" s="41" t="s">
        <v>2928</v>
      </c>
      <c r="D2130" s="41" t="s">
        <v>5310</v>
      </c>
      <c r="E2130" s="41" t="s">
        <v>2929</v>
      </c>
      <c r="F2130" s="41" t="s">
        <v>2930</v>
      </c>
      <c r="G2130" s="41" t="s">
        <v>2931</v>
      </c>
    </row>
    <row r="2131" spans="1:7" x14ac:dyDescent="0.25">
      <c r="A2131" s="41" t="s">
        <v>5312</v>
      </c>
      <c r="B2131" s="41" t="s">
        <v>5311</v>
      </c>
      <c r="C2131" s="41" t="s">
        <v>2928</v>
      </c>
      <c r="D2131" s="41" t="s">
        <v>5310</v>
      </c>
      <c r="E2131" s="41" t="s">
        <v>2929</v>
      </c>
      <c r="F2131" s="41" t="s">
        <v>2933</v>
      </c>
      <c r="G2131" s="41" t="s">
        <v>2934</v>
      </c>
    </row>
    <row r="2132" spans="1:7" x14ac:dyDescent="0.25">
      <c r="A2132" s="41" t="s">
        <v>5313</v>
      </c>
      <c r="B2132" s="41" t="s">
        <v>5311</v>
      </c>
      <c r="C2132" s="41" t="s">
        <v>2928</v>
      </c>
      <c r="D2132" s="41" t="s">
        <v>5310</v>
      </c>
      <c r="E2132" s="41" t="s">
        <v>2929</v>
      </c>
      <c r="F2132" s="41" t="s">
        <v>2933</v>
      </c>
      <c r="G2132" s="41" t="s">
        <v>2934</v>
      </c>
    </row>
    <row r="2133" spans="1:7" x14ac:dyDescent="0.25">
      <c r="A2133" s="41" t="s">
        <v>5314</v>
      </c>
      <c r="B2133" s="41" t="s">
        <v>5311</v>
      </c>
      <c r="C2133" s="41" t="s">
        <v>2928</v>
      </c>
      <c r="D2133" s="41" t="s">
        <v>5310</v>
      </c>
      <c r="E2133" s="41" t="s">
        <v>2929</v>
      </c>
      <c r="F2133" s="41" t="s">
        <v>2949</v>
      </c>
      <c r="G2133" s="41" t="s">
        <v>2950</v>
      </c>
    </row>
    <row r="2134" spans="1:7" x14ac:dyDescent="0.25">
      <c r="A2134" s="41" t="s">
        <v>5315</v>
      </c>
      <c r="B2134" s="41" t="s">
        <v>5311</v>
      </c>
      <c r="C2134" s="41" t="s">
        <v>2928</v>
      </c>
      <c r="D2134" s="41" t="s">
        <v>5310</v>
      </c>
      <c r="E2134" s="41" t="s">
        <v>2929</v>
      </c>
      <c r="F2134" s="41" t="s">
        <v>2949</v>
      </c>
      <c r="G2134" s="41" t="s">
        <v>2950</v>
      </c>
    </row>
    <row r="2135" spans="1:7" x14ac:dyDescent="0.25">
      <c r="A2135" s="41" t="s">
        <v>5316</v>
      </c>
      <c r="B2135" s="41" t="s">
        <v>5317</v>
      </c>
      <c r="C2135" s="41" t="s">
        <v>2928</v>
      </c>
      <c r="D2135" s="41" t="s">
        <v>5316</v>
      </c>
      <c r="E2135" s="41" t="s">
        <v>2929</v>
      </c>
      <c r="F2135" s="41" t="s">
        <v>2930</v>
      </c>
      <c r="G2135" s="41" t="s">
        <v>2931</v>
      </c>
    </row>
    <row r="2136" spans="1:7" x14ac:dyDescent="0.25">
      <c r="A2136" s="41" t="s">
        <v>5318</v>
      </c>
      <c r="B2136" s="41" t="s">
        <v>5317</v>
      </c>
      <c r="C2136" s="41" t="s">
        <v>2928</v>
      </c>
      <c r="D2136" s="41" t="s">
        <v>5316</v>
      </c>
      <c r="E2136" s="41" t="s">
        <v>2929</v>
      </c>
      <c r="F2136" s="41" t="s">
        <v>2933</v>
      </c>
      <c r="G2136" s="41" t="s">
        <v>2934</v>
      </c>
    </row>
    <row r="2137" spans="1:7" x14ac:dyDescent="0.25">
      <c r="A2137" s="41" t="s">
        <v>5319</v>
      </c>
      <c r="B2137" s="41" t="s">
        <v>5317</v>
      </c>
      <c r="C2137" s="41" t="s">
        <v>2928</v>
      </c>
      <c r="D2137" s="41" t="s">
        <v>5316</v>
      </c>
      <c r="E2137" s="41" t="s">
        <v>2929</v>
      </c>
      <c r="F2137" s="41" t="s">
        <v>2933</v>
      </c>
      <c r="G2137" s="41" t="s">
        <v>2934</v>
      </c>
    </row>
    <row r="2138" spans="1:7" x14ac:dyDescent="0.25">
      <c r="A2138" s="41" t="s">
        <v>5320</v>
      </c>
      <c r="B2138" s="41" t="s">
        <v>5317</v>
      </c>
      <c r="C2138" s="41" t="s">
        <v>2928</v>
      </c>
      <c r="D2138" s="41" t="s">
        <v>5316</v>
      </c>
      <c r="E2138" s="41" t="s">
        <v>2929</v>
      </c>
      <c r="F2138" s="41" t="s">
        <v>2933</v>
      </c>
      <c r="G2138" s="41" t="s">
        <v>2934</v>
      </c>
    </row>
    <row r="2139" spans="1:7" x14ac:dyDescent="0.25">
      <c r="A2139" s="41" t="s">
        <v>5321</v>
      </c>
      <c r="B2139" s="41" t="s">
        <v>5317</v>
      </c>
      <c r="C2139" s="41" t="s">
        <v>2928</v>
      </c>
      <c r="D2139" s="41" t="s">
        <v>5316</v>
      </c>
      <c r="E2139" s="41" t="s">
        <v>2929</v>
      </c>
      <c r="F2139" s="41" t="s">
        <v>2933</v>
      </c>
      <c r="G2139" s="41" t="s">
        <v>2934</v>
      </c>
    </row>
    <row r="2140" spans="1:7" x14ac:dyDescent="0.25">
      <c r="A2140" s="41" t="s">
        <v>5322</v>
      </c>
      <c r="B2140" s="41" t="s">
        <v>5317</v>
      </c>
      <c r="C2140" s="41" t="s">
        <v>2928</v>
      </c>
      <c r="D2140" s="41" t="s">
        <v>5316</v>
      </c>
      <c r="E2140" s="41" t="s">
        <v>2929</v>
      </c>
      <c r="F2140" s="41" t="s">
        <v>2933</v>
      </c>
      <c r="G2140" s="41" t="s">
        <v>2934</v>
      </c>
    </row>
    <row r="2141" spans="1:7" x14ac:dyDescent="0.25">
      <c r="A2141" s="41" t="s">
        <v>5323</v>
      </c>
      <c r="B2141" s="41" t="s">
        <v>5317</v>
      </c>
      <c r="C2141" s="41" t="s">
        <v>2928</v>
      </c>
      <c r="D2141" s="41" t="s">
        <v>5316</v>
      </c>
      <c r="E2141" s="41" t="s">
        <v>2929</v>
      </c>
      <c r="F2141" s="41" t="s">
        <v>2933</v>
      </c>
      <c r="G2141" s="41" t="s">
        <v>2934</v>
      </c>
    </row>
    <row r="2142" spans="1:7" x14ac:dyDescent="0.25">
      <c r="A2142" s="41" t="s">
        <v>5324</v>
      </c>
      <c r="B2142" s="41" t="s">
        <v>5317</v>
      </c>
      <c r="C2142" s="41" t="s">
        <v>2928</v>
      </c>
      <c r="D2142" s="41" t="s">
        <v>5316</v>
      </c>
      <c r="E2142" s="41" t="s">
        <v>2929</v>
      </c>
      <c r="F2142" s="41" t="s">
        <v>2933</v>
      </c>
      <c r="G2142" s="41" t="s">
        <v>2934</v>
      </c>
    </row>
    <row r="2143" spans="1:7" x14ac:dyDescent="0.25">
      <c r="A2143" s="41" t="s">
        <v>5325</v>
      </c>
      <c r="B2143" s="41" t="s">
        <v>5317</v>
      </c>
      <c r="C2143" s="41" t="s">
        <v>2928</v>
      </c>
      <c r="D2143" s="41" t="s">
        <v>5316</v>
      </c>
      <c r="E2143" s="41" t="s">
        <v>2929</v>
      </c>
      <c r="F2143" s="41" t="s">
        <v>2930</v>
      </c>
      <c r="G2143" s="41" t="s">
        <v>2931</v>
      </c>
    </row>
    <row r="2144" spans="1:7" x14ac:dyDescent="0.25">
      <c r="A2144" s="41" t="s">
        <v>5326</v>
      </c>
      <c r="B2144" s="41" t="s">
        <v>5317</v>
      </c>
      <c r="C2144" s="41" t="s">
        <v>2928</v>
      </c>
      <c r="D2144" s="41" t="s">
        <v>5316</v>
      </c>
      <c r="E2144" s="41" t="s">
        <v>2929</v>
      </c>
      <c r="F2144" s="41" t="s">
        <v>2930</v>
      </c>
      <c r="G2144" s="41" t="s">
        <v>2931</v>
      </c>
    </row>
    <row r="2145" spans="1:7" x14ac:dyDescent="0.25">
      <c r="A2145" s="41" t="s">
        <v>5327</v>
      </c>
      <c r="B2145" s="41" t="s">
        <v>5317</v>
      </c>
      <c r="C2145" s="41" t="s">
        <v>2928</v>
      </c>
      <c r="D2145" s="41" t="s">
        <v>5316</v>
      </c>
      <c r="E2145" s="41" t="s">
        <v>2929</v>
      </c>
      <c r="F2145" s="41" t="s">
        <v>2930</v>
      </c>
      <c r="G2145" s="41" t="s">
        <v>2931</v>
      </c>
    </row>
    <row r="2146" spans="1:7" x14ac:dyDescent="0.25">
      <c r="A2146" s="41" t="s">
        <v>5328</v>
      </c>
      <c r="B2146" s="41" t="s">
        <v>5317</v>
      </c>
      <c r="C2146" s="41" t="s">
        <v>2928</v>
      </c>
      <c r="D2146" s="41" t="s">
        <v>5316</v>
      </c>
      <c r="E2146" s="41" t="s">
        <v>2929</v>
      </c>
      <c r="F2146" s="41" t="s">
        <v>2930</v>
      </c>
      <c r="G2146" s="41" t="s">
        <v>2931</v>
      </c>
    </row>
    <row r="2147" spans="1:7" x14ac:dyDescent="0.25">
      <c r="A2147" s="41" t="s">
        <v>5329</v>
      </c>
      <c r="B2147" s="41" t="s">
        <v>5317</v>
      </c>
      <c r="C2147" s="41" t="s">
        <v>2928</v>
      </c>
      <c r="D2147" s="41" t="s">
        <v>5316</v>
      </c>
      <c r="E2147" s="41" t="s">
        <v>2929</v>
      </c>
      <c r="F2147" s="41" t="s">
        <v>2930</v>
      </c>
      <c r="G2147" s="41" t="s">
        <v>2931</v>
      </c>
    </row>
    <row r="2148" spans="1:7" x14ac:dyDescent="0.25">
      <c r="A2148" s="41" t="s">
        <v>5330</v>
      </c>
      <c r="B2148" s="41" t="s">
        <v>5317</v>
      </c>
      <c r="C2148" s="41" t="s">
        <v>2928</v>
      </c>
      <c r="D2148" s="41" t="s">
        <v>5316</v>
      </c>
      <c r="E2148" s="41" t="s">
        <v>2929</v>
      </c>
      <c r="F2148" s="41" t="s">
        <v>2930</v>
      </c>
      <c r="G2148" s="41" t="s">
        <v>2931</v>
      </c>
    </row>
    <row r="2149" spans="1:7" x14ac:dyDescent="0.25">
      <c r="A2149" s="41" t="s">
        <v>5331</v>
      </c>
      <c r="B2149" s="41" t="s">
        <v>5317</v>
      </c>
      <c r="C2149" s="41" t="s">
        <v>2928</v>
      </c>
      <c r="D2149" s="41" t="s">
        <v>5316</v>
      </c>
      <c r="E2149" s="41" t="s">
        <v>2929</v>
      </c>
      <c r="F2149" s="41" t="s">
        <v>2930</v>
      </c>
      <c r="G2149" s="41" t="s">
        <v>2931</v>
      </c>
    </row>
    <row r="2150" spans="1:7" x14ac:dyDescent="0.25">
      <c r="A2150" s="41" t="s">
        <v>5332</v>
      </c>
      <c r="B2150" s="41" t="s">
        <v>5317</v>
      </c>
      <c r="C2150" s="41" t="s">
        <v>2928</v>
      </c>
      <c r="D2150" s="41" t="s">
        <v>5316</v>
      </c>
      <c r="E2150" s="41" t="s">
        <v>2929</v>
      </c>
      <c r="F2150" s="41" t="s">
        <v>2949</v>
      </c>
      <c r="G2150" s="41" t="s">
        <v>2950</v>
      </c>
    </row>
    <row r="2151" spans="1:7" x14ac:dyDescent="0.25">
      <c r="A2151" s="41" t="s">
        <v>5333</v>
      </c>
      <c r="B2151" s="41" t="s">
        <v>5317</v>
      </c>
      <c r="C2151" s="41" t="s">
        <v>2928</v>
      </c>
      <c r="D2151" s="41" t="s">
        <v>5316</v>
      </c>
      <c r="E2151" s="41" t="s">
        <v>2929</v>
      </c>
      <c r="F2151" s="41" t="s">
        <v>2949</v>
      </c>
      <c r="G2151" s="41" t="s">
        <v>2950</v>
      </c>
    </row>
    <row r="2152" spans="1:7" x14ac:dyDescent="0.25">
      <c r="A2152" s="41" t="s">
        <v>5334</v>
      </c>
      <c r="B2152" s="41" t="s">
        <v>5317</v>
      </c>
      <c r="C2152" s="41" t="s">
        <v>2928</v>
      </c>
      <c r="D2152" s="41" t="s">
        <v>5316</v>
      </c>
      <c r="E2152" s="41" t="s">
        <v>2929</v>
      </c>
      <c r="F2152" s="41" t="s">
        <v>2949</v>
      </c>
      <c r="G2152" s="41" t="s">
        <v>2950</v>
      </c>
    </row>
    <row r="2153" spans="1:7" x14ac:dyDescent="0.25">
      <c r="A2153" s="41" t="s">
        <v>5335</v>
      </c>
      <c r="B2153" s="41" t="s">
        <v>5317</v>
      </c>
      <c r="C2153" s="41" t="s">
        <v>2928</v>
      </c>
      <c r="D2153" s="41" t="s">
        <v>5316</v>
      </c>
      <c r="E2153" s="41" t="s">
        <v>2929</v>
      </c>
      <c r="F2153" s="41" t="s">
        <v>2949</v>
      </c>
      <c r="G2153" s="41" t="s">
        <v>2950</v>
      </c>
    </row>
    <row r="2154" spans="1:7" x14ac:dyDescent="0.25">
      <c r="A2154" s="41" t="s">
        <v>5336</v>
      </c>
      <c r="B2154" s="41" t="s">
        <v>5317</v>
      </c>
      <c r="C2154" s="41" t="s">
        <v>2928</v>
      </c>
      <c r="D2154" s="41" t="s">
        <v>5316</v>
      </c>
      <c r="E2154" s="41" t="s">
        <v>2929</v>
      </c>
      <c r="F2154" s="41" t="s">
        <v>2949</v>
      </c>
      <c r="G2154" s="41" t="s">
        <v>2950</v>
      </c>
    </row>
    <row r="2155" spans="1:7" x14ac:dyDescent="0.25">
      <c r="A2155" s="41" t="s">
        <v>5337</v>
      </c>
      <c r="B2155" s="41" t="s">
        <v>5317</v>
      </c>
      <c r="C2155" s="41" t="s">
        <v>2928</v>
      </c>
      <c r="D2155" s="41" t="s">
        <v>5316</v>
      </c>
      <c r="E2155" s="41" t="s">
        <v>2929</v>
      </c>
      <c r="F2155" s="41" t="s">
        <v>2949</v>
      </c>
      <c r="G2155" s="41" t="s">
        <v>2950</v>
      </c>
    </row>
    <row r="2156" spans="1:7" x14ac:dyDescent="0.25">
      <c r="A2156" s="41" t="s">
        <v>5338</v>
      </c>
      <c r="B2156" s="41" t="s">
        <v>5317</v>
      </c>
      <c r="C2156" s="41" t="s">
        <v>2928</v>
      </c>
      <c r="D2156" s="41" t="s">
        <v>5316</v>
      </c>
      <c r="E2156" s="41" t="s">
        <v>2929</v>
      </c>
      <c r="F2156" s="41" t="s">
        <v>2949</v>
      </c>
      <c r="G2156" s="41" t="s">
        <v>2950</v>
      </c>
    </row>
    <row r="2157" spans="1:7" x14ac:dyDescent="0.25">
      <c r="A2157" s="41" t="s">
        <v>5339</v>
      </c>
      <c r="B2157" s="41" t="s">
        <v>5340</v>
      </c>
      <c r="C2157" s="41" t="s">
        <v>2928</v>
      </c>
      <c r="D2157" s="41" t="s">
        <v>5339</v>
      </c>
      <c r="E2157" s="41" t="s">
        <v>2929</v>
      </c>
      <c r="F2157" s="41" t="s">
        <v>2930</v>
      </c>
      <c r="G2157" s="41" t="s">
        <v>2931</v>
      </c>
    </row>
    <row r="2158" spans="1:7" x14ac:dyDescent="0.25">
      <c r="A2158" s="41" t="s">
        <v>5341</v>
      </c>
      <c r="B2158" s="41" t="s">
        <v>5340</v>
      </c>
      <c r="C2158" s="41" t="s">
        <v>2928</v>
      </c>
      <c r="D2158" s="41" t="s">
        <v>5339</v>
      </c>
      <c r="E2158" s="41" t="s">
        <v>2929</v>
      </c>
      <c r="F2158" s="41" t="s">
        <v>2933</v>
      </c>
      <c r="G2158" s="41" t="s">
        <v>2934</v>
      </c>
    </row>
    <row r="2159" spans="1:7" x14ac:dyDescent="0.25">
      <c r="A2159" s="41" t="s">
        <v>5342</v>
      </c>
      <c r="B2159" s="41" t="s">
        <v>5340</v>
      </c>
      <c r="C2159" s="41" t="s">
        <v>2928</v>
      </c>
      <c r="D2159" s="41" t="s">
        <v>5339</v>
      </c>
      <c r="E2159" s="41" t="s">
        <v>2929</v>
      </c>
      <c r="F2159" s="41" t="s">
        <v>2933</v>
      </c>
      <c r="G2159" s="41" t="s">
        <v>2934</v>
      </c>
    </row>
    <row r="2160" spans="1:7" x14ac:dyDescent="0.25">
      <c r="A2160" s="41" t="s">
        <v>5343</v>
      </c>
      <c r="B2160" s="41" t="s">
        <v>5340</v>
      </c>
      <c r="C2160" s="41" t="s">
        <v>2928</v>
      </c>
      <c r="D2160" s="41" t="s">
        <v>5339</v>
      </c>
      <c r="E2160" s="41" t="s">
        <v>2929</v>
      </c>
      <c r="F2160" s="41" t="s">
        <v>2933</v>
      </c>
      <c r="G2160" s="41" t="s">
        <v>2934</v>
      </c>
    </row>
    <row r="2161" spans="1:7" x14ac:dyDescent="0.25">
      <c r="A2161" s="41" t="s">
        <v>5344</v>
      </c>
      <c r="B2161" s="41" t="s">
        <v>5340</v>
      </c>
      <c r="C2161" s="41" t="s">
        <v>2928</v>
      </c>
      <c r="D2161" s="41" t="s">
        <v>5339</v>
      </c>
      <c r="E2161" s="41" t="s">
        <v>2929</v>
      </c>
      <c r="F2161" s="41" t="s">
        <v>2933</v>
      </c>
      <c r="G2161" s="41" t="s">
        <v>2934</v>
      </c>
    </row>
    <row r="2162" spans="1:7" x14ac:dyDescent="0.25">
      <c r="A2162" s="41" t="s">
        <v>5345</v>
      </c>
      <c r="B2162" s="41" t="s">
        <v>5340</v>
      </c>
      <c r="C2162" s="41" t="s">
        <v>2928</v>
      </c>
      <c r="D2162" s="41" t="s">
        <v>5339</v>
      </c>
      <c r="E2162" s="41" t="s">
        <v>2929</v>
      </c>
      <c r="F2162" s="41" t="s">
        <v>2933</v>
      </c>
      <c r="G2162" s="41" t="s">
        <v>2934</v>
      </c>
    </row>
    <row r="2163" spans="1:7" x14ac:dyDescent="0.25">
      <c r="A2163" s="41" t="s">
        <v>5346</v>
      </c>
      <c r="B2163" s="41" t="s">
        <v>5340</v>
      </c>
      <c r="C2163" s="41" t="s">
        <v>2928</v>
      </c>
      <c r="D2163" s="41" t="s">
        <v>5339</v>
      </c>
      <c r="E2163" s="41" t="s">
        <v>2929</v>
      </c>
      <c r="F2163" s="41" t="s">
        <v>2933</v>
      </c>
      <c r="G2163" s="41" t="s">
        <v>2934</v>
      </c>
    </row>
    <row r="2164" spans="1:7" x14ac:dyDescent="0.25">
      <c r="A2164" s="41" t="s">
        <v>5347</v>
      </c>
      <c r="B2164" s="41" t="s">
        <v>5340</v>
      </c>
      <c r="C2164" s="41" t="s">
        <v>2928</v>
      </c>
      <c r="D2164" s="41" t="s">
        <v>5339</v>
      </c>
      <c r="E2164" s="41" t="s">
        <v>2929</v>
      </c>
      <c r="F2164" s="41" t="s">
        <v>2933</v>
      </c>
      <c r="G2164" s="41" t="s">
        <v>2934</v>
      </c>
    </row>
    <row r="2165" spans="1:7" x14ac:dyDescent="0.25">
      <c r="A2165" s="41" t="s">
        <v>5348</v>
      </c>
      <c r="B2165" s="41" t="s">
        <v>5340</v>
      </c>
      <c r="C2165" s="41" t="s">
        <v>2928</v>
      </c>
      <c r="D2165" s="41" t="s">
        <v>5339</v>
      </c>
      <c r="E2165" s="41" t="s">
        <v>2929</v>
      </c>
      <c r="F2165" s="41" t="s">
        <v>2930</v>
      </c>
      <c r="G2165" s="41" t="s">
        <v>2931</v>
      </c>
    </row>
    <row r="2166" spans="1:7" x14ac:dyDescent="0.25">
      <c r="A2166" s="41" t="s">
        <v>5349</v>
      </c>
      <c r="B2166" s="41" t="s">
        <v>5340</v>
      </c>
      <c r="C2166" s="41" t="s">
        <v>2928</v>
      </c>
      <c r="D2166" s="41" t="s">
        <v>5339</v>
      </c>
      <c r="E2166" s="41" t="s">
        <v>2929</v>
      </c>
      <c r="F2166" s="41" t="s">
        <v>2930</v>
      </c>
      <c r="G2166" s="41" t="s">
        <v>2931</v>
      </c>
    </row>
    <row r="2167" spans="1:7" x14ac:dyDescent="0.25">
      <c r="A2167" s="41" t="s">
        <v>5350</v>
      </c>
      <c r="B2167" s="41" t="s">
        <v>5340</v>
      </c>
      <c r="C2167" s="41" t="s">
        <v>2928</v>
      </c>
      <c r="D2167" s="41" t="s">
        <v>5339</v>
      </c>
      <c r="E2167" s="41" t="s">
        <v>2929</v>
      </c>
      <c r="F2167" s="41" t="s">
        <v>2930</v>
      </c>
      <c r="G2167" s="41" t="s">
        <v>2931</v>
      </c>
    </row>
    <row r="2168" spans="1:7" x14ac:dyDescent="0.25">
      <c r="A2168" s="41" t="s">
        <v>5351</v>
      </c>
      <c r="B2168" s="41" t="s">
        <v>5340</v>
      </c>
      <c r="C2168" s="41" t="s">
        <v>2928</v>
      </c>
      <c r="D2168" s="41" t="s">
        <v>5339</v>
      </c>
      <c r="E2168" s="41" t="s">
        <v>2929</v>
      </c>
      <c r="F2168" s="41" t="s">
        <v>2930</v>
      </c>
      <c r="G2168" s="41" t="s">
        <v>2931</v>
      </c>
    </row>
    <row r="2169" spans="1:7" x14ac:dyDescent="0.25">
      <c r="A2169" s="41" t="s">
        <v>5352</v>
      </c>
      <c r="B2169" s="41" t="s">
        <v>5340</v>
      </c>
      <c r="C2169" s="41" t="s">
        <v>2928</v>
      </c>
      <c r="D2169" s="41" t="s">
        <v>5339</v>
      </c>
      <c r="E2169" s="41" t="s">
        <v>2929</v>
      </c>
      <c r="F2169" s="41" t="s">
        <v>2930</v>
      </c>
      <c r="G2169" s="41" t="s">
        <v>2931</v>
      </c>
    </row>
    <row r="2170" spans="1:7" x14ac:dyDescent="0.25">
      <c r="A2170" s="41" t="s">
        <v>5353</v>
      </c>
      <c r="B2170" s="41" t="s">
        <v>5340</v>
      </c>
      <c r="C2170" s="41" t="s">
        <v>2928</v>
      </c>
      <c r="D2170" s="41" t="s">
        <v>5339</v>
      </c>
      <c r="E2170" s="41" t="s">
        <v>2929</v>
      </c>
      <c r="F2170" s="41" t="s">
        <v>2930</v>
      </c>
      <c r="G2170" s="41" t="s">
        <v>2931</v>
      </c>
    </row>
    <row r="2171" spans="1:7" x14ac:dyDescent="0.25">
      <c r="A2171" s="41" t="s">
        <v>5354</v>
      </c>
      <c r="B2171" s="41" t="s">
        <v>5340</v>
      </c>
      <c r="C2171" s="41" t="s">
        <v>2928</v>
      </c>
      <c r="D2171" s="41" t="s">
        <v>5339</v>
      </c>
      <c r="E2171" s="41" t="s">
        <v>2929</v>
      </c>
      <c r="F2171" s="41" t="s">
        <v>2930</v>
      </c>
      <c r="G2171" s="41" t="s">
        <v>2931</v>
      </c>
    </row>
    <row r="2172" spans="1:7" x14ac:dyDescent="0.25">
      <c r="A2172" s="41" t="s">
        <v>5355</v>
      </c>
      <c r="B2172" s="41" t="s">
        <v>5340</v>
      </c>
      <c r="C2172" s="41" t="s">
        <v>2928</v>
      </c>
      <c r="D2172" s="41" t="s">
        <v>5339</v>
      </c>
      <c r="E2172" s="41" t="s">
        <v>2929</v>
      </c>
      <c r="F2172" s="41" t="s">
        <v>2949</v>
      </c>
      <c r="G2172" s="41" t="s">
        <v>2950</v>
      </c>
    </row>
    <row r="2173" spans="1:7" x14ac:dyDescent="0.25">
      <c r="A2173" s="41" t="s">
        <v>5356</v>
      </c>
      <c r="B2173" s="41" t="s">
        <v>5340</v>
      </c>
      <c r="C2173" s="41" t="s">
        <v>2928</v>
      </c>
      <c r="D2173" s="41" t="s">
        <v>5339</v>
      </c>
      <c r="E2173" s="41" t="s">
        <v>2929</v>
      </c>
      <c r="F2173" s="41" t="s">
        <v>2949</v>
      </c>
      <c r="G2173" s="41" t="s">
        <v>2950</v>
      </c>
    </row>
    <row r="2174" spans="1:7" x14ac:dyDescent="0.25">
      <c r="A2174" s="41" t="s">
        <v>5357</v>
      </c>
      <c r="B2174" s="41" t="s">
        <v>5340</v>
      </c>
      <c r="C2174" s="41" t="s">
        <v>2928</v>
      </c>
      <c r="D2174" s="41" t="s">
        <v>5339</v>
      </c>
      <c r="E2174" s="41" t="s">
        <v>2929</v>
      </c>
      <c r="F2174" s="41" t="s">
        <v>2949</v>
      </c>
      <c r="G2174" s="41" t="s">
        <v>2950</v>
      </c>
    </row>
    <row r="2175" spans="1:7" x14ac:dyDescent="0.25">
      <c r="A2175" s="41" t="s">
        <v>5358</v>
      </c>
      <c r="B2175" s="41" t="s">
        <v>5340</v>
      </c>
      <c r="C2175" s="41" t="s">
        <v>2928</v>
      </c>
      <c r="D2175" s="41" t="s">
        <v>5339</v>
      </c>
      <c r="E2175" s="41" t="s">
        <v>2929</v>
      </c>
      <c r="F2175" s="41" t="s">
        <v>2949</v>
      </c>
      <c r="G2175" s="41" t="s">
        <v>2950</v>
      </c>
    </row>
    <row r="2176" spans="1:7" x14ac:dyDescent="0.25">
      <c r="A2176" s="41" t="s">
        <v>5359</v>
      </c>
      <c r="B2176" s="41" t="s">
        <v>5340</v>
      </c>
      <c r="C2176" s="41" t="s">
        <v>2928</v>
      </c>
      <c r="D2176" s="41" t="s">
        <v>5339</v>
      </c>
      <c r="E2176" s="41" t="s">
        <v>2929</v>
      </c>
      <c r="F2176" s="41" t="s">
        <v>2949</v>
      </c>
      <c r="G2176" s="41" t="s">
        <v>2950</v>
      </c>
    </row>
    <row r="2177" spans="1:7" x14ac:dyDescent="0.25">
      <c r="A2177" s="41" t="s">
        <v>5360</v>
      </c>
      <c r="B2177" s="41" t="s">
        <v>5340</v>
      </c>
      <c r="C2177" s="41" t="s">
        <v>2928</v>
      </c>
      <c r="D2177" s="41" t="s">
        <v>5339</v>
      </c>
      <c r="E2177" s="41" t="s">
        <v>2929</v>
      </c>
      <c r="F2177" s="41" t="s">
        <v>2949</v>
      </c>
      <c r="G2177" s="41" t="s">
        <v>2950</v>
      </c>
    </row>
    <row r="2178" spans="1:7" x14ac:dyDescent="0.25">
      <c r="A2178" s="41" t="s">
        <v>5361</v>
      </c>
      <c r="B2178" s="41" t="s">
        <v>5340</v>
      </c>
      <c r="C2178" s="41" t="s">
        <v>2928</v>
      </c>
      <c r="D2178" s="41" t="s">
        <v>5339</v>
      </c>
      <c r="E2178" s="41" t="s">
        <v>2929</v>
      </c>
      <c r="F2178" s="41" t="s">
        <v>2949</v>
      </c>
      <c r="G2178" s="41" t="s">
        <v>2950</v>
      </c>
    </row>
    <row r="2179" spans="1:7" x14ac:dyDescent="0.25">
      <c r="A2179" s="41" t="s">
        <v>5362</v>
      </c>
      <c r="B2179" s="41" t="s">
        <v>1133</v>
      </c>
      <c r="C2179" s="41" t="s">
        <v>2928</v>
      </c>
      <c r="D2179" s="41" t="s">
        <v>5362</v>
      </c>
      <c r="E2179" s="41" t="s">
        <v>2929</v>
      </c>
      <c r="F2179" s="41" t="s">
        <v>2930</v>
      </c>
      <c r="G2179" s="41" t="s">
        <v>2931</v>
      </c>
    </row>
    <row r="2180" spans="1:7" x14ac:dyDescent="0.25">
      <c r="A2180" s="41" t="s">
        <v>5363</v>
      </c>
      <c r="B2180" s="41" t="s">
        <v>1133</v>
      </c>
      <c r="C2180" s="41" t="s">
        <v>2928</v>
      </c>
      <c r="D2180" s="41" t="s">
        <v>5362</v>
      </c>
      <c r="E2180" s="41" t="s">
        <v>2929</v>
      </c>
      <c r="F2180" s="41" t="s">
        <v>2933</v>
      </c>
      <c r="G2180" s="41" t="s">
        <v>2934</v>
      </c>
    </row>
    <row r="2181" spans="1:7" x14ac:dyDescent="0.25">
      <c r="A2181" s="41" t="s">
        <v>5364</v>
      </c>
      <c r="B2181" s="41" t="s">
        <v>1133</v>
      </c>
      <c r="C2181" s="41" t="s">
        <v>2928</v>
      </c>
      <c r="D2181" s="41" t="s">
        <v>5362</v>
      </c>
      <c r="E2181" s="41" t="s">
        <v>2929</v>
      </c>
      <c r="F2181" s="41" t="s">
        <v>2949</v>
      </c>
      <c r="G2181" s="41" t="s">
        <v>2950</v>
      </c>
    </row>
    <row r="2182" spans="1:7" x14ac:dyDescent="0.25">
      <c r="A2182" s="41" t="s">
        <v>1125</v>
      </c>
      <c r="B2182" s="41" t="s">
        <v>5365</v>
      </c>
      <c r="C2182" s="41" t="s">
        <v>2928</v>
      </c>
      <c r="D2182" s="41" t="s">
        <v>1125</v>
      </c>
      <c r="E2182" s="41" t="s">
        <v>2929</v>
      </c>
      <c r="F2182" s="41" t="s">
        <v>2930</v>
      </c>
      <c r="G2182" s="41" t="s">
        <v>2931</v>
      </c>
    </row>
    <row r="2183" spans="1:7" x14ac:dyDescent="0.25">
      <c r="A2183" s="41" t="s">
        <v>5366</v>
      </c>
      <c r="B2183" s="41" t="s">
        <v>5365</v>
      </c>
      <c r="C2183" s="41" t="s">
        <v>2928</v>
      </c>
      <c r="D2183" s="41" t="s">
        <v>1125</v>
      </c>
      <c r="E2183" s="41" t="s">
        <v>2929</v>
      </c>
      <c r="F2183" s="41" t="s">
        <v>2933</v>
      </c>
      <c r="G2183" s="41" t="s">
        <v>2934</v>
      </c>
    </row>
    <row r="2184" spans="1:7" x14ac:dyDescent="0.25">
      <c r="A2184" s="41" t="s">
        <v>5367</v>
      </c>
      <c r="B2184" s="41" t="s">
        <v>5365</v>
      </c>
      <c r="C2184" s="41" t="s">
        <v>2928</v>
      </c>
      <c r="D2184" s="41" t="s">
        <v>1125</v>
      </c>
      <c r="E2184" s="41" t="s">
        <v>2929</v>
      </c>
      <c r="F2184" s="41" t="s">
        <v>2930</v>
      </c>
      <c r="G2184" s="41" t="s">
        <v>2931</v>
      </c>
    </row>
    <row r="2185" spans="1:7" x14ac:dyDescent="0.25">
      <c r="A2185" s="41" t="s">
        <v>5368</v>
      </c>
      <c r="B2185" s="41" t="s">
        <v>5365</v>
      </c>
      <c r="C2185" s="41" t="s">
        <v>2928</v>
      </c>
      <c r="D2185" s="41" t="s">
        <v>1125</v>
      </c>
      <c r="E2185" s="41" t="s">
        <v>2929</v>
      </c>
      <c r="F2185" s="41" t="s">
        <v>2949</v>
      </c>
      <c r="G2185" s="41" t="s">
        <v>2950</v>
      </c>
    </row>
    <row r="2186" spans="1:7" x14ac:dyDescent="0.25">
      <c r="A2186" s="41" t="s">
        <v>1084</v>
      </c>
      <c r="B2186" s="41" t="s">
        <v>5369</v>
      </c>
      <c r="C2186" s="41" t="s">
        <v>2928</v>
      </c>
      <c r="D2186" s="41" t="s">
        <v>1084</v>
      </c>
      <c r="E2186" s="41" t="s">
        <v>2929</v>
      </c>
      <c r="F2186" s="41" t="s">
        <v>2930</v>
      </c>
      <c r="G2186" s="41" t="s">
        <v>2931</v>
      </c>
    </row>
    <row r="2187" spans="1:7" x14ac:dyDescent="0.25">
      <c r="A2187" s="41" t="s">
        <v>5370</v>
      </c>
      <c r="B2187" s="41" t="s">
        <v>5369</v>
      </c>
      <c r="C2187" s="41" t="s">
        <v>2928</v>
      </c>
      <c r="D2187" s="41" t="s">
        <v>1084</v>
      </c>
      <c r="E2187" s="41" t="s">
        <v>2929</v>
      </c>
      <c r="F2187" s="41" t="s">
        <v>2933</v>
      </c>
      <c r="G2187" s="41" t="s">
        <v>2934</v>
      </c>
    </row>
    <row r="2188" spans="1:7" x14ac:dyDescent="0.25">
      <c r="A2188" s="41" t="s">
        <v>5371</v>
      </c>
      <c r="B2188" s="41" t="s">
        <v>5369</v>
      </c>
      <c r="C2188" s="41" t="s">
        <v>2928</v>
      </c>
      <c r="D2188" s="41" t="s">
        <v>1084</v>
      </c>
      <c r="E2188" s="41" t="s">
        <v>2929</v>
      </c>
      <c r="F2188" s="41" t="s">
        <v>2930</v>
      </c>
      <c r="G2188" s="41" t="s">
        <v>2931</v>
      </c>
    </row>
    <row r="2189" spans="1:7" x14ac:dyDescent="0.25">
      <c r="A2189" s="41" t="s">
        <v>5372</v>
      </c>
      <c r="B2189" s="41" t="s">
        <v>5369</v>
      </c>
      <c r="C2189" s="41" t="s">
        <v>2928</v>
      </c>
      <c r="D2189" s="41" t="s">
        <v>1084</v>
      </c>
      <c r="E2189" s="41" t="s">
        <v>2929</v>
      </c>
      <c r="F2189" s="41" t="s">
        <v>2949</v>
      </c>
      <c r="G2189" s="41" t="s">
        <v>2950</v>
      </c>
    </row>
    <row r="2190" spans="1:7" x14ac:dyDescent="0.25">
      <c r="A2190" s="41" t="s">
        <v>1094</v>
      </c>
      <c r="B2190" s="41" t="s">
        <v>5373</v>
      </c>
      <c r="C2190" s="41" t="s">
        <v>2928</v>
      </c>
      <c r="D2190" s="41" t="s">
        <v>1094</v>
      </c>
      <c r="E2190" s="41" t="s">
        <v>2929</v>
      </c>
      <c r="F2190" s="41" t="s">
        <v>2930</v>
      </c>
      <c r="G2190" s="41" t="s">
        <v>2931</v>
      </c>
    </row>
    <row r="2191" spans="1:7" x14ac:dyDescent="0.25">
      <c r="A2191" s="41" t="s">
        <v>5374</v>
      </c>
      <c r="B2191" s="41" t="s">
        <v>5373</v>
      </c>
      <c r="C2191" s="41" t="s">
        <v>2928</v>
      </c>
      <c r="D2191" s="41" t="s">
        <v>1094</v>
      </c>
      <c r="E2191" s="41" t="s">
        <v>2929</v>
      </c>
      <c r="F2191" s="41" t="s">
        <v>2933</v>
      </c>
      <c r="G2191" s="41" t="s">
        <v>2934</v>
      </c>
    </row>
    <row r="2192" spans="1:7" x14ac:dyDescent="0.25">
      <c r="A2192" s="41" t="s">
        <v>5375</v>
      </c>
      <c r="B2192" s="41" t="s">
        <v>5373</v>
      </c>
      <c r="C2192" s="41" t="s">
        <v>2928</v>
      </c>
      <c r="D2192" s="41" t="s">
        <v>1094</v>
      </c>
      <c r="E2192" s="41" t="s">
        <v>2929</v>
      </c>
      <c r="F2192" s="41" t="s">
        <v>2930</v>
      </c>
      <c r="G2192" s="41" t="s">
        <v>2931</v>
      </c>
    </row>
    <row r="2193" spans="1:7" x14ac:dyDescent="0.25">
      <c r="A2193" s="41" t="s">
        <v>5376</v>
      </c>
      <c r="B2193" s="41" t="s">
        <v>5373</v>
      </c>
      <c r="C2193" s="41" t="s">
        <v>2928</v>
      </c>
      <c r="D2193" s="41" t="s">
        <v>1094</v>
      </c>
      <c r="E2193" s="41" t="s">
        <v>2929</v>
      </c>
      <c r="F2193" s="41" t="s">
        <v>2949</v>
      </c>
      <c r="G2193" s="41" t="s">
        <v>2950</v>
      </c>
    </row>
    <row r="2194" spans="1:7" x14ac:dyDescent="0.25">
      <c r="A2194" s="41" t="s">
        <v>1108</v>
      </c>
      <c r="B2194" s="41" t="s">
        <v>5377</v>
      </c>
      <c r="C2194" s="41" t="s">
        <v>2928</v>
      </c>
      <c r="D2194" s="41" t="s">
        <v>1108</v>
      </c>
      <c r="E2194" s="41" t="s">
        <v>2929</v>
      </c>
      <c r="F2194" s="41" t="s">
        <v>2930</v>
      </c>
      <c r="G2194" s="41" t="s">
        <v>2931</v>
      </c>
    </row>
    <row r="2195" spans="1:7" x14ac:dyDescent="0.25">
      <c r="A2195" s="41" t="s">
        <v>5378</v>
      </c>
      <c r="B2195" s="41" t="s">
        <v>5377</v>
      </c>
      <c r="C2195" s="41" t="s">
        <v>2928</v>
      </c>
      <c r="D2195" s="41" t="s">
        <v>1108</v>
      </c>
      <c r="E2195" s="41" t="s">
        <v>2929</v>
      </c>
      <c r="F2195" s="41" t="s">
        <v>2933</v>
      </c>
      <c r="G2195" s="41" t="s">
        <v>2934</v>
      </c>
    </row>
    <row r="2196" spans="1:7" x14ac:dyDescent="0.25">
      <c r="A2196" s="41" t="s">
        <v>5379</v>
      </c>
      <c r="B2196" s="41" t="s">
        <v>5377</v>
      </c>
      <c r="C2196" s="41" t="s">
        <v>2928</v>
      </c>
      <c r="D2196" s="41" t="s">
        <v>1108</v>
      </c>
      <c r="E2196" s="41" t="s">
        <v>2929</v>
      </c>
      <c r="F2196" s="41" t="s">
        <v>2930</v>
      </c>
      <c r="G2196" s="41" t="s">
        <v>2931</v>
      </c>
    </row>
    <row r="2197" spans="1:7" x14ac:dyDescent="0.25">
      <c r="A2197" s="41" t="s">
        <v>5380</v>
      </c>
      <c r="B2197" s="41" t="s">
        <v>5377</v>
      </c>
      <c r="C2197" s="41" t="s">
        <v>2928</v>
      </c>
      <c r="D2197" s="41" t="s">
        <v>1108</v>
      </c>
      <c r="E2197" s="41" t="s">
        <v>2929</v>
      </c>
      <c r="F2197" s="41" t="s">
        <v>2949</v>
      </c>
      <c r="G2197" s="41" t="s">
        <v>2950</v>
      </c>
    </row>
    <row r="2198" spans="1:7" x14ac:dyDescent="0.25">
      <c r="A2198" s="41" t="s">
        <v>5381</v>
      </c>
      <c r="B2198" s="41" t="s">
        <v>5382</v>
      </c>
      <c r="C2198" s="41" t="s">
        <v>2928</v>
      </c>
      <c r="D2198" s="41" t="s">
        <v>5381</v>
      </c>
      <c r="E2198" s="41" t="s">
        <v>2929</v>
      </c>
      <c r="F2198" s="41" t="s">
        <v>2930</v>
      </c>
      <c r="G2198" s="41" t="s">
        <v>2931</v>
      </c>
    </row>
    <row r="2199" spans="1:7" x14ac:dyDescent="0.25">
      <c r="A2199" s="41" t="s">
        <v>5383</v>
      </c>
      <c r="B2199" s="41" t="s">
        <v>5382</v>
      </c>
      <c r="C2199" s="41" t="s">
        <v>2928</v>
      </c>
      <c r="D2199" s="41" t="s">
        <v>5381</v>
      </c>
      <c r="E2199" s="41" t="s">
        <v>2929</v>
      </c>
      <c r="F2199" s="41" t="s">
        <v>2933</v>
      </c>
      <c r="G2199" s="41" t="s">
        <v>2934</v>
      </c>
    </row>
    <row r="2200" spans="1:7" x14ac:dyDescent="0.25">
      <c r="A2200" s="41" t="s">
        <v>5384</v>
      </c>
      <c r="B2200" s="41" t="s">
        <v>5382</v>
      </c>
      <c r="C2200" s="41" t="s">
        <v>2928</v>
      </c>
      <c r="D2200" s="41" t="s">
        <v>5381</v>
      </c>
      <c r="E2200" s="41" t="s">
        <v>2929</v>
      </c>
      <c r="F2200" s="41" t="s">
        <v>2933</v>
      </c>
      <c r="G2200" s="41" t="s">
        <v>2934</v>
      </c>
    </row>
    <row r="2201" spans="1:7" x14ac:dyDescent="0.25">
      <c r="A2201" s="41" t="s">
        <v>5385</v>
      </c>
      <c r="B2201" s="41" t="s">
        <v>5382</v>
      </c>
      <c r="C2201" s="41" t="s">
        <v>2928</v>
      </c>
      <c r="D2201" s="41" t="s">
        <v>5381</v>
      </c>
      <c r="E2201" s="41" t="s">
        <v>2929</v>
      </c>
      <c r="F2201" s="41" t="s">
        <v>2933</v>
      </c>
      <c r="G2201" s="41" t="s">
        <v>2934</v>
      </c>
    </row>
    <row r="2202" spans="1:7" x14ac:dyDescent="0.25">
      <c r="A2202" s="41" t="s">
        <v>5386</v>
      </c>
      <c r="B2202" s="41" t="s">
        <v>5382</v>
      </c>
      <c r="C2202" s="41" t="s">
        <v>2928</v>
      </c>
      <c r="D2202" s="41" t="s">
        <v>5381</v>
      </c>
      <c r="E2202" s="41" t="s">
        <v>2929</v>
      </c>
      <c r="F2202" s="41" t="s">
        <v>2933</v>
      </c>
      <c r="G2202" s="41" t="s">
        <v>2934</v>
      </c>
    </row>
    <row r="2203" spans="1:7" x14ac:dyDescent="0.25">
      <c r="A2203" s="41" t="s">
        <v>5387</v>
      </c>
      <c r="B2203" s="41" t="s">
        <v>5382</v>
      </c>
      <c r="C2203" s="41" t="s">
        <v>2928</v>
      </c>
      <c r="D2203" s="41" t="s">
        <v>5381</v>
      </c>
      <c r="E2203" s="41" t="s">
        <v>2929</v>
      </c>
      <c r="F2203" s="41" t="s">
        <v>2933</v>
      </c>
      <c r="G2203" s="41" t="s">
        <v>2934</v>
      </c>
    </row>
    <row r="2204" spans="1:7" x14ac:dyDescent="0.25">
      <c r="A2204" s="41" t="s">
        <v>5388</v>
      </c>
      <c r="B2204" s="41" t="s">
        <v>5382</v>
      </c>
      <c r="C2204" s="41" t="s">
        <v>2928</v>
      </c>
      <c r="D2204" s="41" t="s">
        <v>5381</v>
      </c>
      <c r="E2204" s="41" t="s">
        <v>2929</v>
      </c>
      <c r="F2204" s="41" t="s">
        <v>2933</v>
      </c>
      <c r="G2204" s="41" t="s">
        <v>2934</v>
      </c>
    </row>
    <row r="2205" spans="1:7" x14ac:dyDescent="0.25">
      <c r="A2205" s="41" t="s">
        <v>5389</v>
      </c>
      <c r="B2205" s="41" t="s">
        <v>5382</v>
      </c>
      <c r="C2205" s="41" t="s">
        <v>2928</v>
      </c>
      <c r="D2205" s="41" t="s">
        <v>5381</v>
      </c>
      <c r="E2205" s="41" t="s">
        <v>2929</v>
      </c>
      <c r="F2205" s="41" t="s">
        <v>2933</v>
      </c>
      <c r="G2205" s="41" t="s">
        <v>2934</v>
      </c>
    </row>
    <row r="2206" spans="1:7" x14ac:dyDescent="0.25">
      <c r="A2206" s="41" t="s">
        <v>5390</v>
      </c>
      <c r="B2206" s="41" t="s">
        <v>5382</v>
      </c>
      <c r="C2206" s="41" t="s">
        <v>2928</v>
      </c>
      <c r="D2206" s="41" t="s">
        <v>5381</v>
      </c>
      <c r="E2206" s="41" t="s">
        <v>2929</v>
      </c>
      <c r="F2206" s="41" t="s">
        <v>2930</v>
      </c>
      <c r="G2206" s="41" t="s">
        <v>2931</v>
      </c>
    </row>
    <row r="2207" spans="1:7" x14ac:dyDescent="0.25">
      <c r="A2207" s="41" t="s">
        <v>5391</v>
      </c>
      <c r="B2207" s="41" t="s">
        <v>5382</v>
      </c>
      <c r="C2207" s="41" t="s">
        <v>2928</v>
      </c>
      <c r="D2207" s="41" t="s">
        <v>5381</v>
      </c>
      <c r="E2207" s="41" t="s">
        <v>2929</v>
      </c>
      <c r="F2207" s="41" t="s">
        <v>2930</v>
      </c>
      <c r="G2207" s="41" t="s">
        <v>2931</v>
      </c>
    </row>
    <row r="2208" spans="1:7" x14ac:dyDescent="0.25">
      <c r="A2208" s="41" t="s">
        <v>5392</v>
      </c>
      <c r="B2208" s="41" t="s">
        <v>5382</v>
      </c>
      <c r="C2208" s="41" t="s">
        <v>2928</v>
      </c>
      <c r="D2208" s="41" t="s">
        <v>5381</v>
      </c>
      <c r="E2208" s="41" t="s">
        <v>2929</v>
      </c>
      <c r="F2208" s="41" t="s">
        <v>2930</v>
      </c>
      <c r="G2208" s="41" t="s">
        <v>2931</v>
      </c>
    </row>
    <row r="2209" spans="1:7" x14ac:dyDescent="0.25">
      <c r="A2209" s="41" t="s">
        <v>5393</v>
      </c>
      <c r="B2209" s="41" t="s">
        <v>5382</v>
      </c>
      <c r="C2209" s="41" t="s">
        <v>2928</v>
      </c>
      <c r="D2209" s="41" t="s">
        <v>5381</v>
      </c>
      <c r="E2209" s="41" t="s">
        <v>2929</v>
      </c>
      <c r="F2209" s="41" t="s">
        <v>2930</v>
      </c>
      <c r="G2209" s="41" t="s">
        <v>2931</v>
      </c>
    </row>
    <row r="2210" spans="1:7" x14ac:dyDescent="0.25">
      <c r="A2210" s="41" t="s">
        <v>5394</v>
      </c>
      <c r="B2210" s="41" t="s">
        <v>5382</v>
      </c>
      <c r="C2210" s="41" t="s">
        <v>2928</v>
      </c>
      <c r="D2210" s="41" t="s">
        <v>5381</v>
      </c>
      <c r="E2210" s="41" t="s">
        <v>2929</v>
      </c>
      <c r="F2210" s="41" t="s">
        <v>2930</v>
      </c>
      <c r="G2210" s="41" t="s">
        <v>2931</v>
      </c>
    </row>
    <row r="2211" spans="1:7" x14ac:dyDescent="0.25">
      <c r="A2211" s="41" t="s">
        <v>5395</v>
      </c>
      <c r="B2211" s="41" t="s">
        <v>5382</v>
      </c>
      <c r="C2211" s="41" t="s">
        <v>2928</v>
      </c>
      <c r="D2211" s="41" t="s">
        <v>5381</v>
      </c>
      <c r="E2211" s="41" t="s">
        <v>2929</v>
      </c>
      <c r="F2211" s="41" t="s">
        <v>2930</v>
      </c>
      <c r="G2211" s="41" t="s">
        <v>2931</v>
      </c>
    </row>
    <row r="2212" spans="1:7" x14ac:dyDescent="0.25">
      <c r="A2212" s="41" t="s">
        <v>5396</v>
      </c>
      <c r="B2212" s="41" t="s">
        <v>5382</v>
      </c>
      <c r="C2212" s="41" t="s">
        <v>2928</v>
      </c>
      <c r="D2212" s="41" t="s">
        <v>5381</v>
      </c>
      <c r="E2212" s="41" t="s">
        <v>2929</v>
      </c>
      <c r="F2212" s="41" t="s">
        <v>2930</v>
      </c>
      <c r="G2212" s="41" t="s">
        <v>2931</v>
      </c>
    </row>
    <row r="2213" spans="1:7" x14ac:dyDescent="0.25">
      <c r="A2213" s="41" t="s">
        <v>5397</v>
      </c>
      <c r="B2213" s="41" t="s">
        <v>5382</v>
      </c>
      <c r="C2213" s="41" t="s">
        <v>2928</v>
      </c>
      <c r="D2213" s="41" t="s">
        <v>5381</v>
      </c>
      <c r="E2213" s="41" t="s">
        <v>2929</v>
      </c>
      <c r="F2213" s="41" t="s">
        <v>2949</v>
      </c>
      <c r="G2213" s="41" t="s">
        <v>2950</v>
      </c>
    </row>
    <row r="2214" spans="1:7" x14ac:dyDescent="0.25">
      <c r="A2214" s="41" t="s">
        <v>5398</v>
      </c>
      <c r="B2214" s="41" t="s">
        <v>5382</v>
      </c>
      <c r="C2214" s="41" t="s">
        <v>2928</v>
      </c>
      <c r="D2214" s="41" t="s">
        <v>5381</v>
      </c>
      <c r="E2214" s="41" t="s">
        <v>2929</v>
      </c>
      <c r="F2214" s="41" t="s">
        <v>2949</v>
      </c>
      <c r="G2214" s="41" t="s">
        <v>2950</v>
      </c>
    </row>
    <row r="2215" spans="1:7" x14ac:dyDescent="0.25">
      <c r="A2215" s="41" t="s">
        <v>5399</v>
      </c>
      <c r="B2215" s="41" t="s">
        <v>5382</v>
      </c>
      <c r="C2215" s="41" t="s">
        <v>2928</v>
      </c>
      <c r="D2215" s="41" t="s">
        <v>5381</v>
      </c>
      <c r="E2215" s="41" t="s">
        <v>2929</v>
      </c>
      <c r="F2215" s="41" t="s">
        <v>2949</v>
      </c>
      <c r="G2215" s="41" t="s">
        <v>2950</v>
      </c>
    </row>
    <row r="2216" spans="1:7" x14ac:dyDescent="0.25">
      <c r="A2216" s="41" t="s">
        <v>5400</v>
      </c>
      <c r="B2216" s="41" t="s">
        <v>5382</v>
      </c>
      <c r="C2216" s="41" t="s">
        <v>2928</v>
      </c>
      <c r="D2216" s="41" t="s">
        <v>5381</v>
      </c>
      <c r="E2216" s="41" t="s">
        <v>2929</v>
      </c>
      <c r="F2216" s="41" t="s">
        <v>2949</v>
      </c>
      <c r="G2216" s="41" t="s">
        <v>2950</v>
      </c>
    </row>
    <row r="2217" spans="1:7" x14ac:dyDescent="0.25">
      <c r="A2217" s="41" t="s">
        <v>5401</v>
      </c>
      <c r="B2217" s="41" t="s">
        <v>5382</v>
      </c>
      <c r="C2217" s="41" t="s">
        <v>2928</v>
      </c>
      <c r="D2217" s="41" t="s">
        <v>5381</v>
      </c>
      <c r="E2217" s="41" t="s">
        <v>2929</v>
      </c>
      <c r="F2217" s="41" t="s">
        <v>2949</v>
      </c>
      <c r="G2217" s="41" t="s">
        <v>2950</v>
      </c>
    </row>
    <row r="2218" spans="1:7" x14ac:dyDescent="0.25">
      <c r="A2218" s="41" t="s">
        <v>5402</v>
      </c>
      <c r="B2218" s="41" t="s">
        <v>5382</v>
      </c>
      <c r="C2218" s="41" t="s">
        <v>2928</v>
      </c>
      <c r="D2218" s="41" t="s">
        <v>5381</v>
      </c>
      <c r="E2218" s="41" t="s">
        <v>2929</v>
      </c>
      <c r="F2218" s="41" t="s">
        <v>2949</v>
      </c>
      <c r="G2218" s="41" t="s">
        <v>2950</v>
      </c>
    </row>
    <row r="2219" spans="1:7" x14ac:dyDescent="0.25">
      <c r="A2219" s="41" t="s">
        <v>5403</v>
      </c>
      <c r="B2219" s="41" t="s">
        <v>5382</v>
      </c>
      <c r="C2219" s="41" t="s">
        <v>2928</v>
      </c>
      <c r="D2219" s="41" t="s">
        <v>5381</v>
      </c>
      <c r="E2219" s="41" t="s">
        <v>2929</v>
      </c>
      <c r="F2219" s="41" t="s">
        <v>2949</v>
      </c>
      <c r="G2219" s="41" t="s">
        <v>2950</v>
      </c>
    </row>
    <row r="2220" spans="1:7" x14ac:dyDescent="0.25">
      <c r="A2220" s="41" t="s">
        <v>5404</v>
      </c>
      <c r="B2220" s="41" t="s">
        <v>5405</v>
      </c>
      <c r="C2220" s="41" t="s">
        <v>2928</v>
      </c>
      <c r="D2220" s="41" t="s">
        <v>5404</v>
      </c>
      <c r="E2220" s="41" t="s">
        <v>2929</v>
      </c>
      <c r="F2220" s="41" t="s">
        <v>2930</v>
      </c>
      <c r="G2220" s="41" t="s">
        <v>2931</v>
      </c>
    </row>
    <row r="2221" spans="1:7" x14ac:dyDescent="0.25">
      <c r="A2221" s="41" t="s">
        <v>5406</v>
      </c>
      <c r="B2221" s="41" t="s">
        <v>5405</v>
      </c>
      <c r="C2221" s="41" t="s">
        <v>2928</v>
      </c>
      <c r="D2221" s="41" t="s">
        <v>5404</v>
      </c>
      <c r="E2221" s="41" t="s">
        <v>2929</v>
      </c>
      <c r="F2221" s="41" t="s">
        <v>2933</v>
      </c>
      <c r="G2221" s="41" t="s">
        <v>2934</v>
      </c>
    </row>
    <row r="2222" spans="1:7" x14ac:dyDescent="0.25">
      <c r="A2222" s="41" t="s">
        <v>5407</v>
      </c>
      <c r="B2222" s="41" t="s">
        <v>5405</v>
      </c>
      <c r="C2222" s="41" t="s">
        <v>2928</v>
      </c>
      <c r="D2222" s="41" t="s">
        <v>5404</v>
      </c>
      <c r="E2222" s="41" t="s">
        <v>2929</v>
      </c>
      <c r="F2222" s="41" t="s">
        <v>2930</v>
      </c>
      <c r="G2222" s="41" t="s">
        <v>2931</v>
      </c>
    </row>
    <row r="2223" spans="1:7" x14ac:dyDescent="0.25">
      <c r="A2223" s="41" t="s">
        <v>5408</v>
      </c>
      <c r="B2223" s="41" t="s">
        <v>5405</v>
      </c>
      <c r="C2223" s="41" t="s">
        <v>2928</v>
      </c>
      <c r="D2223" s="41" t="s">
        <v>5404</v>
      </c>
      <c r="E2223" s="41" t="s">
        <v>2929</v>
      </c>
      <c r="F2223" s="41" t="s">
        <v>2949</v>
      </c>
      <c r="G2223" s="41" t="s">
        <v>2950</v>
      </c>
    </row>
    <row r="2224" spans="1:7" x14ac:dyDescent="0.25">
      <c r="A2224" s="41" t="s">
        <v>5409</v>
      </c>
      <c r="B2224" s="41" t="s">
        <v>5405</v>
      </c>
      <c r="C2224" s="41" t="s">
        <v>2928</v>
      </c>
      <c r="D2224" s="41" t="s">
        <v>5404</v>
      </c>
      <c r="E2224" s="41" t="s">
        <v>2929</v>
      </c>
      <c r="F2224" s="41" t="s">
        <v>2949</v>
      </c>
      <c r="G2224" s="41" t="s">
        <v>2950</v>
      </c>
    </row>
    <row r="2225" spans="1:7" x14ac:dyDescent="0.25">
      <c r="A2225" s="41" t="s">
        <v>5410</v>
      </c>
      <c r="B2225" s="41" t="s">
        <v>5405</v>
      </c>
      <c r="C2225" s="41" t="s">
        <v>2928</v>
      </c>
      <c r="D2225" s="41" t="s">
        <v>5404</v>
      </c>
      <c r="E2225" s="41" t="s">
        <v>2929</v>
      </c>
      <c r="F2225" s="41" t="s">
        <v>2949</v>
      </c>
      <c r="G2225" s="41" t="s">
        <v>2950</v>
      </c>
    </row>
    <row r="2226" spans="1:7" x14ac:dyDescent="0.25">
      <c r="A2226" s="41" t="s">
        <v>5411</v>
      </c>
      <c r="B2226" s="41" t="s">
        <v>5412</v>
      </c>
      <c r="C2226" s="41" t="s">
        <v>2928</v>
      </c>
      <c r="D2226" s="41" t="s">
        <v>5411</v>
      </c>
      <c r="E2226" s="41" t="s">
        <v>2929</v>
      </c>
      <c r="F2226" s="41" t="s">
        <v>2930</v>
      </c>
      <c r="G2226" s="41" t="s">
        <v>2931</v>
      </c>
    </row>
    <row r="2227" spans="1:7" x14ac:dyDescent="0.25">
      <c r="A2227" s="41" t="s">
        <v>5413</v>
      </c>
      <c r="B2227" s="41" t="s">
        <v>5412</v>
      </c>
      <c r="C2227" s="41" t="s">
        <v>2928</v>
      </c>
      <c r="D2227" s="41" t="s">
        <v>5411</v>
      </c>
      <c r="E2227" s="41" t="s">
        <v>2929</v>
      </c>
      <c r="F2227" s="41" t="s">
        <v>2933</v>
      </c>
      <c r="G2227" s="41" t="s">
        <v>2934</v>
      </c>
    </row>
    <row r="2228" spans="1:7" x14ac:dyDescent="0.25">
      <c r="A2228" s="41" t="s">
        <v>5414</v>
      </c>
      <c r="B2228" s="41" t="s">
        <v>5412</v>
      </c>
      <c r="C2228" s="41" t="s">
        <v>2928</v>
      </c>
      <c r="D2228" s="41" t="s">
        <v>5411</v>
      </c>
      <c r="E2228" s="41" t="s">
        <v>2929</v>
      </c>
      <c r="F2228" s="41" t="s">
        <v>2930</v>
      </c>
      <c r="G2228" s="41" t="s">
        <v>2931</v>
      </c>
    </row>
    <row r="2229" spans="1:7" x14ac:dyDescent="0.25">
      <c r="A2229" s="41" t="s">
        <v>5415</v>
      </c>
      <c r="B2229" s="41" t="s">
        <v>5412</v>
      </c>
      <c r="C2229" s="41" t="s">
        <v>2928</v>
      </c>
      <c r="D2229" s="41" t="s">
        <v>5411</v>
      </c>
      <c r="E2229" s="41" t="s">
        <v>2929</v>
      </c>
      <c r="F2229" s="41" t="s">
        <v>2949</v>
      </c>
      <c r="G2229" s="41" t="s">
        <v>2950</v>
      </c>
    </row>
    <row r="2230" spans="1:7" x14ac:dyDescent="0.25">
      <c r="A2230" s="41" t="s">
        <v>5416</v>
      </c>
      <c r="B2230" s="41" t="s">
        <v>5412</v>
      </c>
      <c r="C2230" s="41" t="s">
        <v>2928</v>
      </c>
      <c r="D2230" s="41" t="s">
        <v>5411</v>
      </c>
      <c r="E2230" s="41" t="s">
        <v>2929</v>
      </c>
      <c r="F2230" s="41" t="s">
        <v>2949</v>
      </c>
      <c r="G2230" s="41" t="s">
        <v>2950</v>
      </c>
    </row>
    <row r="2231" spans="1:7" x14ac:dyDescent="0.25">
      <c r="A2231" s="41" t="s">
        <v>5417</v>
      </c>
      <c r="B2231" s="41" t="s">
        <v>5412</v>
      </c>
      <c r="C2231" s="41" t="s">
        <v>2928</v>
      </c>
      <c r="D2231" s="41" t="s">
        <v>5411</v>
      </c>
      <c r="E2231" s="41" t="s">
        <v>2929</v>
      </c>
      <c r="F2231" s="41" t="s">
        <v>2949</v>
      </c>
      <c r="G2231" s="41" t="s">
        <v>2950</v>
      </c>
    </row>
    <row r="2232" spans="1:7" x14ac:dyDescent="0.25">
      <c r="A2232" s="41" t="s">
        <v>5418</v>
      </c>
      <c r="B2232" s="41" t="s">
        <v>5419</v>
      </c>
      <c r="C2232" s="41" t="s">
        <v>2928</v>
      </c>
      <c r="D2232" s="41" t="s">
        <v>5418</v>
      </c>
      <c r="E2232" s="41" t="s">
        <v>2929</v>
      </c>
      <c r="F2232" s="41" t="s">
        <v>2930</v>
      </c>
      <c r="G2232" s="41" t="s">
        <v>2931</v>
      </c>
    </row>
    <row r="2233" spans="1:7" x14ac:dyDescent="0.25">
      <c r="A2233" s="41" t="s">
        <v>5420</v>
      </c>
      <c r="B2233" s="41" t="s">
        <v>5419</v>
      </c>
      <c r="C2233" s="41" t="s">
        <v>2928</v>
      </c>
      <c r="D2233" s="41" t="s">
        <v>5418</v>
      </c>
      <c r="E2233" s="41" t="s">
        <v>2929</v>
      </c>
      <c r="F2233" s="41" t="s">
        <v>2933</v>
      </c>
      <c r="G2233" s="41" t="s">
        <v>2934</v>
      </c>
    </row>
    <row r="2234" spans="1:7" x14ac:dyDescent="0.25">
      <c r="A2234" s="41" t="s">
        <v>5421</v>
      </c>
      <c r="B2234" s="41" t="s">
        <v>5419</v>
      </c>
      <c r="C2234" s="41" t="s">
        <v>2928</v>
      </c>
      <c r="D2234" s="41" t="s">
        <v>5418</v>
      </c>
      <c r="E2234" s="41" t="s">
        <v>2929</v>
      </c>
      <c r="F2234" s="41" t="s">
        <v>2933</v>
      </c>
      <c r="G2234" s="41" t="s">
        <v>2934</v>
      </c>
    </row>
    <row r="2235" spans="1:7" x14ac:dyDescent="0.25">
      <c r="A2235" s="41" t="s">
        <v>5422</v>
      </c>
      <c r="B2235" s="41" t="s">
        <v>5419</v>
      </c>
      <c r="C2235" s="41" t="s">
        <v>2928</v>
      </c>
      <c r="D2235" s="41" t="s">
        <v>5418</v>
      </c>
      <c r="E2235" s="41" t="s">
        <v>2929</v>
      </c>
      <c r="F2235" s="41" t="s">
        <v>2933</v>
      </c>
      <c r="G2235" s="41" t="s">
        <v>2934</v>
      </c>
    </row>
    <row r="2236" spans="1:7" x14ac:dyDescent="0.25">
      <c r="A2236" s="41" t="s">
        <v>5423</v>
      </c>
      <c r="B2236" s="41" t="s">
        <v>5419</v>
      </c>
      <c r="C2236" s="41" t="s">
        <v>2928</v>
      </c>
      <c r="D2236" s="41" t="s">
        <v>5418</v>
      </c>
      <c r="E2236" s="41" t="s">
        <v>2929</v>
      </c>
      <c r="F2236" s="41" t="s">
        <v>2933</v>
      </c>
      <c r="G2236" s="41" t="s">
        <v>2934</v>
      </c>
    </row>
    <row r="2237" spans="1:7" x14ac:dyDescent="0.25">
      <c r="A2237" s="41" t="s">
        <v>5424</v>
      </c>
      <c r="B2237" s="41" t="s">
        <v>5419</v>
      </c>
      <c r="C2237" s="41" t="s">
        <v>2928</v>
      </c>
      <c r="D2237" s="41" t="s">
        <v>5418</v>
      </c>
      <c r="E2237" s="41" t="s">
        <v>2929</v>
      </c>
      <c r="F2237" s="41" t="s">
        <v>2933</v>
      </c>
      <c r="G2237" s="41" t="s">
        <v>2934</v>
      </c>
    </row>
    <row r="2238" spans="1:7" x14ac:dyDescent="0.25">
      <c r="A2238" s="41" t="s">
        <v>5425</v>
      </c>
      <c r="B2238" s="41" t="s">
        <v>5419</v>
      </c>
      <c r="C2238" s="41" t="s">
        <v>2928</v>
      </c>
      <c r="D2238" s="41" t="s">
        <v>5418</v>
      </c>
      <c r="E2238" s="41" t="s">
        <v>2929</v>
      </c>
      <c r="F2238" s="41" t="s">
        <v>2933</v>
      </c>
      <c r="G2238" s="41" t="s">
        <v>2934</v>
      </c>
    </row>
    <row r="2239" spans="1:7" x14ac:dyDescent="0.25">
      <c r="A2239" s="41" t="s">
        <v>5426</v>
      </c>
      <c r="B2239" s="41" t="s">
        <v>5419</v>
      </c>
      <c r="C2239" s="41" t="s">
        <v>2928</v>
      </c>
      <c r="D2239" s="41" t="s">
        <v>5418</v>
      </c>
      <c r="E2239" s="41" t="s">
        <v>2929</v>
      </c>
      <c r="F2239" s="41" t="s">
        <v>2933</v>
      </c>
      <c r="G2239" s="41" t="s">
        <v>2934</v>
      </c>
    </row>
    <row r="2240" spans="1:7" x14ac:dyDescent="0.25">
      <c r="A2240" s="41" t="s">
        <v>5427</v>
      </c>
      <c r="B2240" s="41" t="s">
        <v>5419</v>
      </c>
      <c r="C2240" s="41" t="s">
        <v>2928</v>
      </c>
      <c r="D2240" s="41" t="s">
        <v>5418</v>
      </c>
      <c r="E2240" s="41" t="s">
        <v>2929</v>
      </c>
      <c r="F2240" s="41" t="s">
        <v>2930</v>
      </c>
      <c r="G2240" s="41" t="s">
        <v>2931</v>
      </c>
    </row>
    <row r="2241" spans="1:7" x14ac:dyDescent="0.25">
      <c r="A2241" s="41" t="s">
        <v>5428</v>
      </c>
      <c r="B2241" s="41" t="s">
        <v>5419</v>
      </c>
      <c r="C2241" s="41" t="s">
        <v>2928</v>
      </c>
      <c r="D2241" s="41" t="s">
        <v>5418</v>
      </c>
      <c r="E2241" s="41" t="s">
        <v>2929</v>
      </c>
      <c r="F2241" s="41" t="s">
        <v>2930</v>
      </c>
      <c r="G2241" s="41" t="s">
        <v>2931</v>
      </c>
    </row>
    <row r="2242" spans="1:7" x14ac:dyDescent="0.25">
      <c r="A2242" s="41" t="s">
        <v>5429</v>
      </c>
      <c r="B2242" s="41" t="s">
        <v>5419</v>
      </c>
      <c r="C2242" s="41" t="s">
        <v>2928</v>
      </c>
      <c r="D2242" s="41" t="s">
        <v>5418</v>
      </c>
      <c r="E2242" s="41" t="s">
        <v>2929</v>
      </c>
      <c r="F2242" s="41" t="s">
        <v>2930</v>
      </c>
      <c r="G2242" s="41" t="s">
        <v>2931</v>
      </c>
    </row>
    <row r="2243" spans="1:7" x14ac:dyDescent="0.25">
      <c r="A2243" s="41" t="s">
        <v>5430</v>
      </c>
      <c r="B2243" s="41" t="s">
        <v>5419</v>
      </c>
      <c r="C2243" s="41" t="s">
        <v>2928</v>
      </c>
      <c r="D2243" s="41" t="s">
        <v>5418</v>
      </c>
      <c r="E2243" s="41" t="s">
        <v>2929</v>
      </c>
      <c r="F2243" s="41" t="s">
        <v>2930</v>
      </c>
      <c r="G2243" s="41" t="s">
        <v>2931</v>
      </c>
    </row>
    <row r="2244" spans="1:7" x14ac:dyDescent="0.25">
      <c r="A2244" s="41" t="s">
        <v>5431</v>
      </c>
      <c r="B2244" s="41" t="s">
        <v>5419</v>
      </c>
      <c r="C2244" s="41" t="s">
        <v>2928</v>
      </c>
      <c r="D2244" s="41" t="s">
        <v>5418</v>
      </c>
      <c r="E2244" s="41" t="s">
        <v>2929</v>
      </c>
      <c r="F2244" s="41" t="s">
        <v>2930</v>
      </c>
      <c r="G2244" s="41" t="s">
        <v>2931</v>
      </c>
    </row>
    <row r="2245" spans="1:7" x14ac:dyDescent="0.25">
      <c r="A2245" s="41" t="s">
        <v>5432</v>
      </c>
      <c r="B2245" s="41" t="s">
        <v>5419</v>
      </c>
      <c r="C2245" s="41" t="s">
        <v>2928</v>
      </c>
      <c r="D2245" s="41" t="s">
        <v>5418</v>
      </c>
      <c r="E2245" s="41" t="s">
        <v>2929</v>
      </c>
      <c r="F2245" s="41" t="s">
        <v>2930</v>
      </c>
      <c r="G2245" s="41" t="s">
        <v>2931</v>
      </c>
    </row>
    <row r="2246" spans="1:7" x14ac:dyDescent="0.25">
      <c r="A2246" s="41" t="s">
        <v>5433</v>
      </c>
      <c r="B2246" s="41" t="s">
        <v>5419</v>
      </c>
      <c r="C2246" s="41" t="s">
        <v>2928</v>
      </c>
      <c r="D2246" s="41" t="s">
        <v>5418</v>
      </c>
      <c r="E2246" s="41" t="s">
        <v>2929</v>
      </c>
      <c r="F2246" s="41" t="s">
        <v>2930</v>
      </c>
      <c r="G2246" s="41" t="s">
        <v>2931</v>
      </c>
    </row>
    <row r="2247" spans="1:7" x14ac:dyDescent="0.25">
      <c r="A2247" s="41" t="s">
        <v>5434</v>
      </c>
      <c r="B2247" s="41" t="s">
        <v>5419</v>
      </c>
      <c r="C2247" s="41" t="s">
        <v>2928</v>
      </c>
      <c r="D2247" s="41" t="s">
        <v>5418</v>
      </c>
      <c r="E2247" s="41" t="s">
        <v>2929</v>
      </c>
      <c r="F2247" s="41" t="s">
        <v>2949</v>
      </c>
      <c r="G2247" s="41" t="s">
        <v>2950</v>
      </c>
    </row>
    <row r="2248" spans="1:7" x14ac:dyDescent="0.25">
      <c r="A2248" s="41" t="s">
        <v>5435</v>
      </c>
      <c r="B2248" s="41" t="s">
        <v>5419</v>
      </c>
      <c r="C2248" s="41" t="s">
        <v>2928</v>
      </c>
      <c r="D2248" s="41" t="s">
        <v>5418</v>
      </c>
      <c r="E2248" s="41" t="s">
        <v>2929</v>
      </c>
      <c r="F2248" s="41" t="s">
        <v>2949</v>
      </c>
      <c r="G2248" s="41" t="s">
        <v>2950</v>
      </c>
    </row>
    <row r="2249" spans="1:7" x14ac:dyDescent="0.25">
      <c r="A2249" s="41" t="s">
        <v>5436</v>
      </c>
      <c r="B2249" s="41" t="s">
        <v>5419</v>
      </c>
      <c r="C2249" s="41" t="s">
        <v>2928</v>
      </c>
      <c r="D2249" s="41" t="s">
        <v>5418</v>
      </c>
      <c r="E2249" s="41" t="s">
        <v>2929</v>
      </c>
      <c r="F2249" s="41" t="s">
        <v>2949</v>
      </c>
      <c r="G2249" s="41" t="s">
        <v>2950</v>
      </c>
    </row>
    <row r="2250" spans="1:7" x14ac:dyDescent="0.25">
      <c r="A2250" s="41" t="s">
        <v>5437</v>
      </c>
      <c r="B2250" s="41" t="s">
        <v>5419</v>
      </c>
      <c r="C2250" s="41" t="s">
        <v>2928</v>
      </c>
      <c r="D2250" s="41" t="s">
        <v>5418</v>
      </c>
      <c r="E2250" s="41" t="s">
        <v>2929</v>
      </c>
      <c r="F2250" s="41" t="s">
        <v>2949</v>
      </c>
      <c r="G2250" s="41" t="s">
        <v>2950</v>
      </c>
    </row>
    <row r="2251" spans="1:7" x14ac:dyDescent="0.25">
      <c r="A2251" s="41" t="s">
        <v>5438</v>
      </c>
      <c r="B2251" s="41" t="s">
        <v>5419</v>
      </c>
      <c r="C2251" s="41" t="s">
        <v>2928</v>
      </c>
      <c r="D2251" s="41" t="s">
        <v>5418</v>
      </c>
      <c r="E2251" s="41" t="s">
        <v>2929</v>
      </c>
      <c r="F2251" s="41" t="s">
        <v>2949</v>
      </c>
      <c r="G2251" s="41" t="s">
        <v>2950</v>
      </c>
    </row>
    <row r="2252" spans="1:7" x14ac:dyDescent="0.25">
      <c r="A2252" s="41" t="s">
        <v>5439</v>
      </c>
      <c r="B2252" s="41" t="s">
        <v>5419</v>
      </c>
      <c r="C2252" s="41" t="s">
        <v>2928</v>
      </c>
      <c r="D2252" s="41" t="s">
        <v>5418</v>
      </c>
      <c r="E2252" s="41" t="s">
        <v>2929</v>
      </c>
      <c r="F2252" s="41" t="s">
        <v>2949</v>
      </c>
      <c r="G2252" s="41" t="s">
        <v>2950</v>
      </c>
    </row>
    <row r="2253" spans="1:7" x14ac:dyDescent="0.25">
      <c r="A2253" s="41" t="s">
        <v>5440</v>
      </c>
      <c r="B2253" s="41" t="s">
        <v>5419</v>
      </c>
      <c r="C2253" s="41" t="s">
        <v>2928</v>
      </c>
      <c r="D2253" s="41" t="s">
        <v>5418</v>
      </c>
      <c r="E2253" s="41" t="s">
        <v>2929</v>
      </c>
      <c r="F2253" s="41" t="s">
        <v>2949</v>
      </c>
      <c r="G2253" s="41" t="s">
        <v>2950</v>
      </c>
    </row>
    <row r="2254" spans="1:7" x14ac:dyDescent="0.25">
      <c r="A2254" s="41" t="s">
        <v>5441</v>
      </c>
      <c r="B2254" s="41" t="s">
        <v>5442</v>
      </c>
      <c r="C2254" s="41" t="s">
        <v>2928</v>
      </c>
      <c r="D2254" s="41" t="s">
        <v>5441</v>
      </c>
      <c r="E2254" s="41" t="s">
        <v>2929</v>
      </c>
      <c r="F2254" s="41" t="s">
        <v>2930</v>
      </c>
      <c r="G2254" s="41" t="s">
        <v>2931</v>
      </c>
    </row>
    <row r="2255" spans="1:7" x14ac:dyDescent="0.25">
      <c r="A2255" s="41" t="s">
        <v>5443</v>
      </c>
      <c r="B2255" s="41" t="s">
        <v>5442</v>
      </c>
      <c r="C2255" s="41" t="s">
        <v>2928</v>
      </c>
      <c r="D2255" s="41" t="s">
        <v>5441</v>
      </c>
      <c r="E2255" s="41" t="s">
        <v>2929</v>
      </c>
      <c r="F2255" s="41" t="s">
        <v>2933</v>
      </c>
      <c r="G2255" s="41" t="s">
        <v>2934</v>
      </c>
    </row>
    <row r="2256" spans="1:7" x14ac:dyDescent="0.25">
      <c r="A2256" s="41" t="s">
        <v>5444</v>
      </c>
      <c r="B2256" s="41" t="s">
        <v>5442</v>
      </c>
      <c r="C2256" s="41" t="s">
        <v>2928</v>
      </c>
      <c r="D2256" s="41" t="s">
        <v>5441</v>
      </c>
      <c r="E2256" s="41" t="s">
        <v>2929</v>
      </c>
      <c r="F2256" s="41" t="s">
        <v>2933</v>
      </c>
      <c r="G2256" s="41" t="s">
        <v>2934</v>
      </c>
    </row>
    <row r="2257" spans="1:7" x14ac:dyDescent="0.25">
      <c r="A2257" s="41" t="s">
        <v>5445</v>
      </c>
      <c r="B2257" s="41" t="s">
        <v>5442</v>
      </c>
      <c r="C2257" s="41" t="s">
        <v>2928</v>
      </c>
      <c r="D2257" s="41" t="s">
        <v>5441</v>
      </c>
      <c r="E2257" s="41" t="s">
        <v>2929</v>
      </c>
      <c r="F2257" s="41" t="s">
        <v>2933</v>
      </c>
      <c r="G2257" s="41" t="s">
        <v>2934</v>
      </c>
    </row>
    <row r="2258" spans="1:7" x14ac:dyDescent="0.25">
      <c r="A2258" s="41" t="s">
        <v>5446</v>
      </c>
      <c r="B2258" s="41" t="s">
        <v>5442</v>
      </c>
      <c r="C2258" s="41" t="s">
        <v>2928</v>
      </c>
      <c r="D2258" s="41" t="s">
        <v>5441</v>
      </c>
      <c r="E2258" s="41" t="s">
        <v>2929</v>
      </c>
      <c r="F2258" s="41" t="s">
        <v>2933</v>
      </c>
      <c r="G2258" s="41" t="s">
        <v>2934</v>
      </c>
    </row>
    <row r="2259" spans="1:7" x14ac:dyDescent="0.25">
      <c r="A2259" s="41" t="s">
        <v>5447</v>
      </c>
      <c r="B2259" s="41" t="s">
        <v>5442</v>
      </c>
      <c r="C2259" s="41" t="s">
        <v>2928</v>
      </c>
      <c r="D2259" s="41" t="s">
        <v>5441</v>
      </c>
      <c r="E2259" s="41" t="s">
        <v>2929</v>
      </c>
      <c r="F2259" s="41" t="s">
        <v>2933</v>
      </c>
      <c r="G2259" s="41" t="s">
        <v>2934</v>
      </c>
    </row>
    <row r="2260" spans="1:7" x14ac:dyDescent="0.25">
      <c r="A2260" s="41" t="s">
        <v>5448</v>
      </c>
      <c r="B2260" s="41" t="s">
        <v>5442</v>
      </c>
      <c r="C2260" s="41" t="s">
        <v>2928</v>
      </c>
      <c r="D2260" s="41" t="s">
        <v>5441</v>
      </c>
      <c r="E2260" s="41" t="s">
        <v>2929</v>
      </c>
      <c r="F2260" s="41" t="s">
        <v>2933</v>
      </c>
      <c r="G2260" s="41" t="s">
        <v>2934</v>
      </c>
    </row>
    <row r="2261" spans="1:7" x14ac:dyDescent="0.25">
      <c r="A2261" s="41" t="s">
        <v>5449</v>
      </c>
      <c r="B2261" s="41" t="s">
        <v>5442</v>
      </c>
      <c r="C2261" s="41" t="s">
        <v>2928</v>
      </c>
      <c r="D2261" s="41" t="s">
        <v>5441</v>
      </c>
      <c r="E2261" s="41" t="s">
        <v>2929</v>
      </c>
      <c r="F2261" s="41" t="s">
        <v>2933</v>
      </c>
      <c r="G2261" s="41" t="s">
        <v>2934</v>
      </c>
    </row>
    <row r="2262" spans="1:7" x14ac:dyDescent="0.25">
      <c r="A2262" s="41" t="s">
        <v>5450</v>
      </c>
      <c r="B2262" s="41" t="s">
        <v>5442</v>
      </c>
      <c r="C2262" s="41" t="s">
        <v>2928</v>
      </c>
      <c r="D2262" s="41" t="s">
        <v>5441</v>
      </c>
      <c r="E2262" s="41" t="s">
        <v>2929</v>
      </c>
      <c r="F2262" s="41" t="s">
        <v>2930</v>
      </c>
      <c r="G2262" s="41" t="s">
        <v>2931</v>
      </c>
    </row>
    <row r="2263" spans="1:7" x14ac:dyDescent="0.25">
      <c r="A2263" s="41" t="s">
        <v>5451</v>
      </c>
      <c r="B2263" s="41" t="s">
        <v>5442</v>
      </c>
      <c r="C2263" s="41" t="s">
        <v>2928</v>
      </c>
      <c r="D2263" s="41" t="s">
        <v>5441</v>
      </c>
      <c r="E2263" s="41" t="s">
        <v>2929</v>
      </c>
      <c r="F2263" s="41" t="s">
        <v>2930</v>
      </c>
      <c r="G2263" s="41" t="s">
        <v>2931</v>
      </c>
    </row>
    <row r="2264" spans="1:7" x14ac:dyDescent="0.25">
      <c r="A2264" s="41" t="s">
        <v>5452</v>
      </c>
      <c r="B2264" s="41" t="s">
        <v>5442</v>
      </c>
      <c r="C2264" s="41" t="s">
        <v>2928</v>
      </c>
      <c r="D2264" s="41" t="s">
        <v>5441</v>
      </c>
      <c r="E2264" s="41" t="s">
        <v>2929</v>
      </c>
      <c r="F2264" s="41" t="s">
        <v>2930</v>
      </c>
      <c r="G2264" s="41" t="s">
        <v>2931</v>
      </c>
    </row>
    <row r="2265" spans="1:7" x14ac:dyDescent="0.25">
      <c r="A2265" s="41" t="s">
        <v>5453</v>
      </c>
      <c r="B2265" s="41" t="s">
        <v>5442</v>
      </c>
      <c r="C2265" s="41" t="s">
        <v>2928</v>
      </c>
      <c r="D2265" s="41" t="s">
        <v>5441</v>
      </c>
      <c r="E2265" s="41" t="s">
        <v>2929</v>
      </c>
      <c r="F2265" s="41" t="s">
        <v>2930</v>
      </c>
      <c r="G2265" s="41" t="s">
        <v>2931</v>
      </c>
    </row>
    <row r="2266" spans="1:7" x14ac:dyDescent="0.25">
      <c r="A2266" s="41" t="s">
        <v>5454</v>
      </c>
      <c r="B2266" s="41" t="s">
        <v>5442</v>
      </c>
      <c r="C2266" s="41" t="s">
        <v>2928</v>
      </c>
      <c r="D2266" s="41" t="s">
        <v>5441</v>
      </c>
      <c r="E2266" s="41" t="s">
        <v>2929</v>
      </c>
      <c r="F2266" s="41" t="s">
        <v>2930</v>
      </c>
      <c r="G2266" s="41" t="s">
        <v>2931</v>
      </c>
    </row>
    <row r="2267" spans="1:7" x14ac:dyDescent="0.25">
      <c r="A2267" s="41" t="s">
        <v>5455</v>
      </c>
      <c r="B2267" s="41" t="s">
        <v>5442</v>
      </c>
      <c r="C2267" s="41" t="s">
        <v>2928</v>
      </c>
      <c r="D2267" s="41" t="s">
        <v>5441</v>
      </c>
      <c r="E2267" s="41" t="s">
        <v>2929</v>
      </c>
      <c r="F2267" s="41" t="s">
        <v>2930</v>
      </c>
      <c r="G2267" s="41" t="s">
        <v>2931</v>
      </c>
    </row>
    <row r="2268" spans="1:7" x14ac:dyDescent="0.25">
      <c r="A2268" s="41" t="s">
        <v>5456</v>
      </c>
      <c r="B2268" s="41" t="s">
        <v>5442</v>
      </c>
      <c r="C2268" s="41" t="s">
        <v>2928</v>
      </c>
      <c r="D2268" s="41" t="s">
        <v>5441</v>
      </c>
      <c r="E2268" s="41" t="s">
        <v>2929</v>
      </c>
      <c r="F2268" s="41" t="s">
        <v>2930</v>
      </c>
      <c r="G2268" s="41" t="s">
        <v>2931</v>
      </c>
    </row>
    <row r="2269" spans="1:7" x14ac:dyDescent="0.25">
      <c r="A2269" s="41" t="s">
        <v>5457</v>
      </c>
      <c r="B2269" s="41" t="s">
        <v>5442</v>
      </c>
      <c r="C2269" s="41" t="s">
        <v>2928</v>
      </c>
      <c r="D2269" s="41" t="s">
        <v>5441</v>
      </c>
      <c r="E2269" s="41" t="s">
        <v>2929</v>
      </c>
      <c r="F2269" s="41" t="s">
        <v>2949</v>
      </c>
      <c r="G2269" s="41" t="s">
        <v>2950</v>
      </c>
    </row>
    <row r="2270" spans="1:7" x14ac:dyDescent="0.25">
      <c r="A2270" s="41" t="s">
        <v>5458</v>
      </c>
      <c r="B2270" s="41" t="s">
        <v>5442</v>
      </c>
      <c r="C2270" s="41" t="s">
        <v>2928</v>
      </c>
      <c r="D2270" s="41" t="s">
        <v>5441</v>
      </c>
      <c r="E2270" s="41" t="s">
        <v>2929</v>
      </c>
      <c r="F2270" s="41" t="s">
        <v>2949</v>
      </c>
      <c r="G2270" s="41" t="s">
        <v>2950</v>
      </c>
    </row>
    <row r="2271" spans="1:7" x14ac:dyDescent="0.25">
      <c r="A2271" s="41" t="s">
        <v>5459</v>
      </c>
      <c r="B2271" s="41" t="s">
        <v>5442</v>
      </c>
      <c r="C2271" s="41" t="s">
        <v>2928</v>
      </c>
      <c r="D2271" s="41" t="s">
        <v>5441</v>
      </c>
      <c r="E2271" s="41" t="s">
        <v>2929</v>
      </c>
      <c r="F2271" s="41" t="s">
        <v>2949</v>
      </c>
      <c r="G2271" s="41" t="s">
        <v>2950</v>
      </c>
    </row>
    <row r="2272" spans="1:7" x14ac:dyDescent="0.25">
      <c r="A2272" s="41" t="s">
        <v>5460</v>
      </c>
      <c r="B2272" s="41" t="s">
        <v>5442</v>
      </c>
      <c r="C2272" s="41" t="s">
        <v>2928</v>
      </c>
      <c r="D2272" s="41" t="s">
        <v>5441</v>
      </c>
      <c r="E2272" s="41" t="s">
        <v>2929</v>
      </c>
      <c r="F2272" s="41" t="s">
        <v>2949</v>
      </c>
      <c r="G2272" s="41" t="s">
        <v>2950</v>
      </c>
    </row>
    <row r="2273" spans="1:7" x14ac:dyDescent="0.25">
      <c r="A2273" s="41" t="s">
        <v>5461</v>
      </c>
      <c r="B2273" s="41" t="s">
        <v>5442</v>
      </c>
      <c r="C2273" s="41" t="s">
        <v>2928</v>
      </c>
      <c r="D2273" s="41" t="s">
        <v>5441</v>
      </c>
      <c r="E2273" s="41" t="s">
        <v>2929</v>
      </c>
      <c r="F2273" s="41" t="s">
        <v>2949</v>
      </c>
      <c r="G2273" s="41" t="s">
        <v>2950</v>
      </c>
    </row>
    <row r="2274" spans="1:7" x14ac:dyDescent="0.25">
      <c r="A2274" s="41" t="s">
        <v>5462</v>
      </c>
      <c r="B2274" s="41" t="s">
        <v>5442</v>
      </c>
      <c r="C2274" s="41" t="s">
        <v>2928</v>
      </c>
      <c r="D2274" s="41" t="s">
        <v>5441</v>
      </c>
      <c r="E2274" s="41" t="s">
        <v>2929</v>
      </c>
      <c r="F2274" s="41" t="s">
        <v>2949</v>
      </c>
      <c r="G2274" s="41" t="s">
        <v>2950</v>
      </c>
    </row>
    <row r="2275" spans="1:7" x14ac:dyDescent="0.25">
      <c r="A2275" s="41" t="s">
        <v>5463</v>
      </c>
      <c r="B2275" s="41" t="s">
        <v>5442</v>
      </c>
      <c r="C2275" s="41" t="s">
        <v>2928</v>
      </c>
      <c r="D2275" s="41" t="s">
        <v>5441</v>
      </c>
      <c r="E2275" s="41" t="s">
        <v>2929</v>
      </c>
      <c r="F2275" s="41" t="s">
        <v>2949</v>
      </c>
      <c r="G2275" s="41" t="s">
        <v>2950</v>
      </c>
    </row>
    <row r="2276" spans="1:7" x14ac:dyDescent="0.25">
      <c r="A2276" s="41" t="s">
        <v>5464</v>
      </c>
      <c r="B2276" s="41" t="s">
        <v>5465</v>
      </c>
      <c r="C2276" s="41" t="s">
        <v>2928</v>
      </c>
      <c r="D2276" s="41" t="s">
        <v>5464</v>
      </c>
      <c r="E2276" s="41" t="s">
        <v>2929</v>
      </c>
      <c r="F2276" s="41" t="s">
        <v>2930</v>
      </c>
      <c r="G2276" s="41" t="s">
        <v>2931</v>
      </c>
    </row>
    <row r="2277" spans="1:7" x14ac:dyDescent="0.25">
      <c r="A2277" s="41" t="s">
        <v>5466</v>
      </c>
      <c r="B2277" s="41" t="s">
        <v>5465</v>
      </c>
      <c r="C2277" s="41" t="s">
        <v>2928</v>
      </c>
      <c r="D2277" s="41" t="s">
        <v>5464</v>
      </c>
      <c r="E2277" s="41" t="s">
        <v>2929</v>
      </c>
      <c r="F2277" s="41" t="s">
        <v>2933</v>
      </c>
      <c r="G2277" s="41" t="s">
        <v>2934</v>
      </c>
    </row>
    <row r="2278" spans="1:7" x14ac:dyDescent="0.25">
      <c r="A2278" s="41" t="s">
        <v>5467</v>
      </c>
      <c r="B2278" s="41" t="s">
        <v>5465</v>
      </c>
      <c r="C2278" s="41" t="s">
        <v>2928</v>
      </c>
      <c r="D2278" s="41" t="s">
        <v>5464</v>
      </c>
      <c r="E2278" s="41" t="s">
        <v>2929</v>
      </c>
      <c r="F2278" s="41" t="s">
        <v>2933</v>
      </c>
      <c r="G2278" s="41" t="s">
        <v>2934</v>
      </c>
    </row>
    <row r="2279" spans="1:7" x14ac:dyDescent="0.25">
      <c r="A2279" s="41" t="s">
        <v>5468</v>
      </c>
      <c r="B2279" s="41" t="s">
        <v>5465</v>
      </c>
      <c r="C2279" s="41" t="s">
        <v>2928</v>
      </c>
      <c r="D2279" s="41" t="s">
        <v>5464</v>
      </c>
      <c r="E2279" s="41" t="s">
        <v>2929</v>
      </c>
      <c r="F2279" s="41" t="s">
        <v>2933</v>
      </c>
      <c r="G2279" s="41" t="s">
        <v>2934</v>
      </c>
    </row>
    <row r="2280" spans="1:7" x14ac:dyDescent="0.25">
      <c r="A2280" s="41" t="s">
        <v>5469</v>
      </c>
      <c r="B2280" s="41" t="s">
        <v>5465</v>
      </c>
      <c r="C2280" s="41" t="s">
        <v>2928</v>
      </c>
      <c r="D2280" s="41" t="s">
        <v>5464</v>
      </c>
      <c r="E2280" s="41" t="s">
        <v>2929</v>
      </c>
      <c r="F2280" s="41" t="s">
        <v>2933</v>
      </c>
      <c r="G2280" s="41" t="s">
        <v>2934</v>
      </c>
    </row>
    <row r="2281" spans="1:7" x14ac:dyDescent="0.25">
      <c r="A2281" s="41" t="s">
        <v>5470</v>
      </c>
      <c r="B2281" s="41" t="s">
        <v>5465</v>
      </c>
      <c r="C2281" s="41" t="s">
        <v>2928</v>
      </c>
      <c r="D2281" s="41" t="s">
        <v>5464</v>
      </c>
      <c r="E2281" s="41" t="s">
        <v>2929</v>
      </c>
      <c r="F2281" s="41" t="s">
        <v>2933</v>
      </c>
      <c r="G2281" s="41" t="s">
        <v>2934</v>
      </c>
    </row>
    <row r="2282" spans="1:7" x14ac:dyDescent="0.25">
      <c r="A2282" s="41" t="s">
        <v>5471</v>
      </c>
      <c r="B2282" s="41" t="s">
        <v>5465</v>
      </c>
      <c r="C2282" s="41" t="s">
        <v>2928</v>
      </c>
      <c r="D2282" s="41" t="s">
        <v>5464</v>
      </c>
      <c r="E2282" s="41" t="s">
        <v>2929</v>
      </c>
      <c r="F2282" s="41" t="s">
        <v>2933</v>
      </c>
      <c r="G2282" s="41" t="s">
        <v>2934</v>
      </c>
    </row>
    <row r="2283" spans="1:7" x14ac:dyDescent="0.25">
      <c r="A2283" s="41" t="s">
        <v>5472</v>
      </c>
      <c r="B2283" s="41" t="s">
        <v>5465</v>
      </c>
      <c r="C2283" s="41" t="s">
        <v>2928</v>
      </c>
      <c r="D2283" s="41" t="s">
        <v>5464</v>
      </c>
      <c r="E2283" s="41" t="s">
        <v>2929</v>
      </c>
      <c r="F2283" s="41" t="s">
        <v>2933</v>
      </c>
      <c r="G2283" s="41" t="s">
        <v>2934</v>
      </c>
    </row>
    <row r="2284" spans="1:7" x14ac:dyDescent="0.25">
      <c r="A2284" s="41" t="s">
        <v>5473</v>
      </c>
      <c r="B2284" s="41" t="s">
        <v>5465</v>
      </c>
      <c r="C2284" s="41" t="s">
        <v>2928</v>
      </c>
      <c r="D2284" s="41" t="s">
        <v>5464</v>
      </c>
      <c r="E2284" s="41" t="s">
        <v>2929</v>
      </c>
      <c r="F2284" s="41" t="s">
        <v>2930</v>
      </c>
      <c r="G2284" s="41" t="s">
        <v>2931</v>
      </c>
    </row>
    <row r="2285" spans="1:7" x14ac:dyDescent="0.25">
      <c r="A2285" s="41" t="s">
        <v>5474</v>
      </c>
      <c r="B2285" s="41" t="s">
        <v>5465</v>
      </c>
      <c r="C2285" s="41" t="s">
        <v>2928</v>
      </c>
      <c r="D2285" s="41" t="s">
        <v>5464</v>
      </c>
      <c r="E2285" s="41" t="s">
        <v>2929</v>
      </c>
      <c r="F2285" s="41" t="s">
        <v>2930</v>
      </c>
      <c r="G2285" s="41" t="s">
        <v>2931</v>
      </c>
    </row>
    <row r="2286" spans="1:7" x14ac:dyDescent="0.25">
      <c r="A2286" s="41" t="s">
        <v>5475</v>
      </c>
      <c r="B2286" s="41" t="s">
        <v>5465</v>
      </c>
      <c r="C2286" s="41" t="s">
        <v>2928</v>
      </c>
      <c r="D2286" s="41" t="s">
        <v>5464</v>
      </c>
      <c r="E2286" s="41" t="s">
        <v>2929</v>
      </c>
      <c r="F2286" s="41" t="s">
        <v>2930</v>
      </c>
      <c r="G2286" s="41" t="s">
        <v>2931</v>
      </c>
    </row>
    <row r="2287" spans="1:7" x14ac:dyDescent="0.25">
      <c r="A2287" s="41" t="s">
        <v>5476</v>
      </c>
      <c r="B2287" s="41" t="s">
        <v>5465</v>
      </c>
      <c r="C2287" s="41" t="s">
        <v>2928</v>
      </c>
      <c r="D2287" s="41" t="s">
        <v>5464</v>
      </c>
      <c r="E2287" s="41" t="s">
        <v>2929</v>
      </c>
      <c r="F2287" s="41" t="s">
        <v>2930</v>
      </c>
      <c r="G2287" s="41" t="s">
        <v>2931</v>
      </c>
    </row>
    <row r="2288" spans="1:7" x14ac:dyDescent="0.25">
      <c r="A2288" s="41" t="s">
        <v>5477</v>
      </c>
      <c r="B2288" s="41" t="s">
        <v>5465</v>
      </c>
      <c r="C2288" s="41" t="s">
        <v>2928</v>
      </c>
      <c r="D2288" s="41" t="s">
        <v>5464</v>
      </c>
      <c r="E2288" s="41" t="s">
        <v>2929</v>
      </c>
      <c r="F2288" s="41" t="s">
        <v>2930</v>
      </c>
      <c r="G2288" s="41" t="s">
        <v>2931</v>
      </c>
    </row>
    <row r="2289" spans="1:7" x14ac:dyDescent="0.25">
      <c r="A2289" s="41" t="s">
        <v>5478</v>
      </c>
      <c r="B2289" s="41" t="s">
        <v>5465</v>
      </c>
      <c r="C2289" s="41" t="s">
        <v>2928</v>
      </c>
      <c r="D2289" s="41" t="s">
        <v>5464</v>
      </c>
      <c r="E2289" s="41" t="s">
        <v>2929</v>
      </c>
      <c r="F2289" s="41" t="s">
        <v>2930</v>
      </c>
      <c r="G2289" s="41" t="s">
        <v>2931</v>
      </c>
    </row>
    <row r="2290" spans="1:7" x14ac:dyDescent="0.25">
      <c r="A2290" s="41" t="s">
        <v>5479</v>
      </c>
      <c r="B2290" s="41" t="s">
        <v>5465</v>
      </c>
      <c r="C2290" s="41" t="s">
        <v>2928</v>
      </c>
      <c r="D2290" s="41" t="s">
        <v>5464</v>
      </c>
      <c r="E2290" s="41" t="s">
        <v>2929</v>
      </c>
      <c r="F2290" s="41" t="s">
        <v>2930</v>
      </c>
      <c r="G2290" s="41" t="s">
        <v>2931</v>
      </c>
    </row>
    <row r="2291" spans="1:7" x14ac:dyDescent="0.25">
      <c r="A2291" s="41" t="s">
        <v>5480</v>
      </c>
      <c r="B2291" s="41" t="s">
        <v>5465</v>
      </c>
      <c r="C2291" s="41" t="s">
        <v>2928</v>
      </c>
      <c r="D2291" s="41" t="s">
        <v>5464</v>
      </c>
      <c r="E2291" s="41" t="s">
        <v>2929</v>
      </c>
      <c r="F2291" s="41" t="s">
        <v>2949</v>
      </c>
      <c r="G2291" s="41" t="s">
        <v>2950</v>
      </c>
    </row>
    <row r="2292" spans="1:7" x14ac:dyDescent="0.25">
      <c r="A2292" s="41" t="s">
        <v>5481</v>
      </c>
      <c r="B2292" s="41" t="s">
        <v>5465</v>
      </c>
      <c r="C2292" s="41" t="s">
        <v>2928</v>
      </c>
      <c r="D2292" s="41" t="s">
        <v>5464</v>
      </c>
      <c r="E2292" s="41" t="s">
        <v>2929</v>
      </c>
      <c r="F2292" s="41" t="s">
        <v>2949</v>
      </c>
      <c r="G2292" s="41" t="s">
        <v>2950</v>
      </c>
    </row>
    <row r="2293" spans="1:7" x14ac:dyDescent="0.25">
      <c r="A2293" s="41" t="s">
        <v>5482</v>
      </c>
      <c r="B2293" s="41" t="s">
        <v>5465</v>
      </c>
      <c r="C2293" s="41" t="s">
        <v>2928</v>
      </c>
      <c r="D2293" s="41" t="s">
        <v>5464</v>
      </c>
      <c r="E2293" s="41" t="s">
        <v>2929</v>
      </c>
      <c r="F2293" s="41" t="s">
        <v>2949</v>
      </c>
      <c r="G2293" s="41" t="s">
        <v>2950</v>
      </c>
    </row>
    <row r="2294" spans="1:7" x14ac:dyDescent="0.25">
      <c r="A2294" s="41" t="s">
        <v>5483</v>
      </c>
      <c r="B2294" s="41" t="s">
        <v>5465</v>
      </c>
      <c r="C2294" s="41" t="s">
        <v>2928</v>
      </c>
      <c r="D2294" s="41" t="s">
        <v>5464</v>
      </c>
      <c r="E2294" s="41" t="s">
        <v>2929</v>
      </c>
      <c r="F2294" s="41" t="s">
        <v>2949</v>
      </c>
      <c r="G2294" s="41" t="s">
        <v>2950</v>
      </c>
    </row>
    <row r="2295" spans="1:7" x14ac:dyDescent="0.25">
      <c r="A2295" s="41" t="s">
        <v>5484</v>
      </c>
      <c r="B2295" s="41" t="s">
        <v>5465</v>
      </c>
      <c r="C2295" s="41" t="s">
        <v>2928</v>
      </c>
      <c r="D2295" s="41" t="s">
        <v>5464</v>
      </c>
      <c r="E2295" s="41" t="s">
        <v>2929</v>
      </c>
      <c r="F2295" s="41" t="s">
        <v>2949</v>
      </c>
      <c r="G2295" s="41" t="s">
        <v>2950</v>
      </c>
    </row>
    <row r="2296" spans="1:7" x14ac:dyDescent="0.25">
      <c r="A2296" s="41" t="s">
        <v>5485</v>
      </c>
      <c r="B2296" s="41" t="s">
        <v>5465</v>
      </c>
      <c r="C2296" s="41" t="s">
        <v>2928</v>
      </c>
      <c r="D2296" s="41" t="s">
        <v>5464</v>
      </c>
      <c r="E2296" s="41" t="s">
        <v>2929</v>
      </c>
      <c r="F2296" s="41" t="s">
        <v>2949</v>
      </c>
      <c r="G2296" s="41" t="s">
        <v>2950</v>
      </c>
    </row>
    <row r="2297" spans="1:7" x14ac:dyDescent="0.25">
      <c r="A2297" s="41" t="s">
        <v>5486</v>
      </c>
      <c r="B2297" s="41" t="s">
        <v>5465</v>
      </c>
      <c r="C2297" s="41" t="s">
        <v>2928</v>
      </c>
      <c r="D2297" s="41" t="s">
        <v>5464</v>
      </c>
      <c r="E2297" s="41" t="s">
        <v>2929</v>
      </c>
      <c r="F2297" s="41" t="s">
        <v>2949</v>
      </c>
      <c r="G2297" s="41" t="s">
        <v>2950</v>
      </c>
    </row>
    <row r="2298" spans="1:7" x14ac:dyDescent="0.25">
      <c r="A2298" s="41" t="s">
        <v>5487</v>
      </c>
      <c r="B2298" s="41" t="s">
        <v>5488</v>
      </c>
      <c r="C2298" s="41" t="s">
        <v>2928</v>
      </c>
      <c r="D2298" s="41" t="s">
        <v>5487</v>
      </c>
      <c r="E2298" s="41" t="s">
        <v>2929</v>
      </c>
      <c r="F2298" s="41" t="s">
        <v>2930</v>
      </c>
      <c r="G2298" s="41" t="s">
        <v>2931</v>
      </c>
    </row>
    <row r="2299" spans="1:7" x14ac:dyDescent="0.25">
      <c r="A2299" s="41" t="s">
        <v>5489</v>
      </c>
      <c r="B2299" s="41" t="s">
        <v>5488</v>
      </c>
      <c r="C2299" s="41" t="s">
        <v>2928</v>
      </c>
      <c r="D2299" s="41" t="s">
        <v>5487</v>
      </c>
      <c r="E2299" s="41" t="s">
        <v>2929</v>
      </c>
      <c r="F2299" s="41" t="s">
        <v>2933</v>
      </c>
      <c r="G2299" s="41" t="s">
        <v>2934</v>
      </c>
    </row>
    <row r="2300" spans="1:7" x14ac:dyDescent="0.25">
      <c r="A2300" s="41" t="s">
        <v>5490</v>
      </c>
      <c r="B2300" s="41" t="s">
        <v>5488</v>
      </c>
      <c r="C2300" s="41" t="s">
        <v>2928</v>
      </c>
      <c r="D2300" s="41" t="s">
        <v>5487</v>
      </c>
      <c r="E2300" s="41" t="s">
        <v>2929</v>
      </c>
      <c r="F2300" s="41" t="s">
        <v>2933</v>
      </c>
      <c r="G2300" s="41" t="s">
        <v>2934</v>
      </c>
    </row>
    <row r="2301" spans="1:7" x14ac:dyDescent="0.25">
      <c r="A2301" s="41" t="s">
        <v>5491</v>
      </c>
      <c r="B2301" s="41" t="s">
        <v>5488</v>
      </c>
      <c r="C2301" s="41" t="s">
        <v>2928</v>
      </c>
      <c r="D2301" s="41" t="s">
        <v>5487</v>
      </c>
      <c r="E2301" s="41" t="s">
        <v>2929</v>
      </c>
      <c r="F2301" s="41" t="s">
        <v>2930</v>
      </c>
      <c r="G2301" s="41" t="s">
        <v>2931</v>
      </c>
    </row>
    <row r="2302" spans="1:7" x14ac:dyDescent="0.25">
      <c r="A2302" s="41" t="s">
        <v>5492</v>
      </c>
      <c r="B2302" s="41" t="s">
        <v>5488</v>
      </c>
      <c r="C2302" s="41" t="s">
        <v>2928</v>
      </c>
      <c r="D2302" s="41" t="s">
        <v>5487</v>
      </c>
      <c r="E2302" s="41" t="s">
        <v>2929</v>
      </c>
      <c r="F2302" s="41" t="s">
        <v>2949</v>
      </c>
      <c r="G2302" s="41" t="s">
        <v>2950</v>
      </c>
    </row>
    <row r="2303" spans="1:7" x14ac:dyDescent="0.25">
      <c r="A2303" s="41" t="s">
        <v>5493</v>
      </c>
      <c r="B2303" s="41" t="s">
        <v>5488</v>
      </c>
      <c r="C2303" s="41" t="s">
        <v>2928</v>
      </c>
      <c r="D2303" s="41" t="s">
        <v>5487</v>
      </c>
      <c r="E2303" s="41" t="s">
        <v>2929</v>
      </c>
      <c r="F2303" s="41" t="s">
        <v>2949</v>
      </c>
      <c r="G2303" s="41" t="s">
        <v>2950</v>
      </c>
    </row>
    <row r="2304" spans="1:7" x14ac:dyDescent="0.25">
      <c r="A2304" s="41" t="s">
        <v>5494</v>
      </c>
      <c r="B2304" s="41" t="s">
        <v>208</v>
      </c>
      <c r="C2304" s="41" t="s">
        <v>2928</v>
      </c>
      <c r="D2304" s="41" t="s">
        <v>5494</v>
      </c>
      <c r="E2304" s="41" t="s">
        <v>2929</v>
      </c>
      <c r="F2304" s="41" t="s">
        <v>2930</v>
      </c>
      <c r="G2304" s="41" t="s">
        <v>2931</v>
      </c>
    </row>
    <row r="2305" spans="1:7" x14ac:dyDescent="0.25">
      <c r="A2305" s="41" t="s">
        <v>5495</v>
      </c>
      <c r="B2305" s="41" t="s">
        <v>208</v>
      </c>
      <c r="C2305" s="41" t="s">
        <v>2928</v>
      </c>
      <c r="D2305" s="41" t="s">
        <v>5494</v>
      </c>
      <c r="E2305" s="41" t="s">
        <v>2929</v>
      </c>
      <c r="F2305" s="41" t="s">
        <v>2933</v>
      </c>
      <c r="G2305" s="41" t="s">
        <v>2934</v>
      </c>
    </row>
    <row r="2306" spans="1:7" x14ac:dyDescent="0.25">
      <c r="A2306" s="41" t="s">
        <v>5496</v>
      </c>
      <c r="B2306" s="41" t="s">
        <v>208</v>
      </c>
      <c r="C2306" s="41" t="s">
        <v>2928</v>
      </c>
      <c r="D2306" s="41" t="s">
        <v>5494</v>
      </c>
      <c r="E2306" s="41" t="s">
        <v>2929</v>
      </c>
      <c r="F2306" s="41" t="s">
        <v>2933</v>
      </c>
      <c r="G2306" s="41" t="s">
        <v>2934</v>
      </c>
    </row>
    <row r="2307" spans="1:7" x14ac:dyDescent="0.25">
      <c r="A2307" s="41" t="s">
        <v>5497</v>
      </c>
      <c r="B2307" s="41" t="s">
        <v>208</v>
      </c>
      <c r="C2307" s="41" t="s">
        <v>2928</v>
      </c>
      <c r="D2307" s="41" t="s">
        <v>5494</v>
      </c>
      <c r="E2307" s="41" t="s">
        <v>2929</v>
      </c>
      <c r="F2307" s="41" t="s">
        <v>2933</v>
      </c>
      <c r="G2307" s="41" t="s">
        <v>2934</v>
      </c>
    </row>
    <row r="2308" spans="1:7" x14ac:dyDescent="0.25">
      <c r="A2308" s="41" t="s">
        <v>5498</v>
      </c>
      <c r="B2308" s="41" t="s">
        <v>208</v>
      </c>
      <c r="C2308" s="41" t="s">
        <v>2928</v>
      </c>
      <c r="D2308" s="41" t="s">
        <v>5494</v>
      </c>
      <c r="E2308" s="41" t="s">
        <v>2929</v>
      </c>
      <c r="F2308" s="41" t="s">
        <v>2933</v>
      </c>
      <c r="G2308" s="41" t="s">
        <v>2934</v>
      </c>
    </row>
    <row r="2309" spans="1:7" x14ac:dyDescent="0.25">
      <c r="A2309" s="41" t="s">
        <v>5499</v>
      </c>
      <c r="B2309" s="41" t="s">
        <v>208</v>
      </c>
      <c r="C2309" s="41" t="s">
        <v>2928</v>
      </c>
      <c r="D2309" s="41" t="s">
        <v>5494</v>
      </c>
      <c r="E2309" s="41" t="s">
        <v>2929</v>
      </c>
      <c r="F2309" s="41" t="s">
        <v>2933</v>
      </c>
      <c r="G2309" s="41" t="s">
        <v>2934</v>
      </c>
    </row>
    <row r="2310" spans="1:7" x14ac:dyDescent="0.25">
      <c r="A2310" s="41" t="s">
        <v>5500</v>
      </c>
      <c r="B2310" s="41" t="s">
        <v>208</v>
      </c>
      <c r="C2310" s="41" t="s">
        <v>2928</v>
      </c>
      <c r="D2310" s="41" t="s">
        <v>5494</v>
      </c>
      <c r="E2310" s="41" t="s">
        <v>2929</v>
      </c>
      <c r="F2310" s="41" t="s">
        <v>2933</v>
      </c>
      <c r="G2310" s="41" t="s">
        <v>2934</v>
      </c>
    </row>
    <row r="2311" spans="1:7" x14ac:dyDescent="0.25">
      <c r="A2311" s="41" t="s">
        <v>5501</v>
      </c>
      <c r="B2311" s="41" t="s">
        <v>208</v>
      </c>
      <c r="C2311" s="41" t="s">
        <v>2928</v>
      </c>
      <c r="D2311" s="41" t="s">
        <v>5494</v>
      </c>
      <c r="E2311" s="41" t="s">
        <v>2929</v>
      </c>
      <c r="F2311" s="41" t="s">
        <v>2933</v>
      </c>
      <c r="G2311" s="41" t="s">
        <v>2934</v>
      </c>
    </row>
    <row r="2312" spans="1:7" x14ac:dyDescent="0.25">
      <c r="A2312" s="41" t="s">
        <v>5502</v>
      </c>
      <c r="B2312" s="41" t="s">
        <v>208</v>
      </c>
      <c r="C2312" s="41" t="s">
        <v>2928</v>
      </c>
      <c r="D2312" s="41" t="s">
        <v>5494</v>
      </c>
      <c r="E2312" s="41" t="s">
        <v>2929</v>
      </c>
      <c r="F2312" s="41" t="s">
        <v>2930</v>
      </c>
      <c r="G2312" s="41" t="s">
        <v>2931</v>
      </c>
    </row>
    <row r="2313" spans="1:7" x14ac:dyDescent="0.25">
      <c r="A2313" s="41" t="s">
        <v>5503</v>
      </c>
      <c r="B2313" s="41" t="s">
        <v>208</v>
      </c>
      <c r="C2313" s="41" t="s">
        <v>2928</v>
      </c>
      <c r="D2313" s="41" t="s">
        <v>5494</v>
      </c>
      <c r="E2313" s="41" t="s">
        <v>2929</v>
      </c>
      <c r="F2313" s="41" t="s">
        <v>2930</v>
      </c>
      <c r="G2313" s="41" t="s">
        <v>2931</v>
      </c>
    </row>
    <row r="2314" spans="1:7" x14ac:dyDescent="0.25">
      <c r="A2314" s="41" t="s">
        <v>5504</v>
      </c>
      <c r="B2314" s="41" t="s">
        <v>208</v>
      </c>
      <c r="C2314" s="41" t="s">
        <v>2928</v>
      </c>
      <c r="D2314" s="41" t="s">
        <v>5494</v>
      </c>
      <c r="E2314" s="41" t="s">
        <v>2929</v>
      </c>
      <c r="F2314" s="41" t="s">
        <v>2930</v>
      </c>
      <c r="G2314" s="41" t="s">
        <v>2931</v>
      </c>
    </row>
    <row r="2315" spans="1:7" x14ac:dyDescent="0.25">
      <c r="A2315" s="41" t="s">
        <v>5505</v>
      </c>
      <c r="B2315" s="41" t="s">
        <v>208</v>
      </c>
      <c r="C2315" s="41" t="s">
        <v>2928</v>
      </c>
      <c r="D2315" s="41" t="s">
        <v>5494</v>
      </c>
      <c r="E2315" s="41" t="s">
        <v>2929</v>
      </c>
      <c r="F2315" s="41" t="s">
        <v>2930</v>
      </c>
      <c r="G2315" s="41" t="s">
        <v>2931</v>
      </c>
    </row>
    <row r="2316" spans="1:7" x14ac:dyDescent="0.25">
      <c r="A2316" s="41" t="s">
        <v>5506</v>
      </c>
      <c r="B2316" s="41" t="s">
        <v>208</v>
      </c>
      <c r="C2316" s="41" t="s">
        <v>2928</v>
      </c>
      <c r="D2316" s="41" t="s">
        <v>5494</v>
      </c>
      <c r="E2316" s="41" t="s">
        <v>2929</v>
      </c>
      <c r="F2316" s="41" t="s">
        <v>2930</v>
      </c>
      <c r="G2316" s="41" t="s">
        <v>2931</v>
      </c>
    </row>
    <row r="2317" spans="1:7" x14ac:dyDescent="0.25">
      <c r="A2317" s="41" t="s">
        <v>5507</v>
      </c>
      <c r="B2317" s="41" t="s">
        <v>208</v>
      </c>
      <c r="C2317" s="41" t="s">
        <v>2928</v>
      </c>
      <c r="D2317" s="41" t="s">
        <v>5494</v>
      </c>
      <c r="E2317" s="41" t="s">
        <v>2929</v>
      </c>
      <c r="F2317" s="41" t="s">
        <v>2930</v>
      </c>
      <c r="G2317" s="41" t="s">
        <v>2931</v>
      </c>
    </row>
    <row r="2318" spans="1:7" x14ac:dyDescent="0.25">
      <c r="A2318" s="41" t="s">
        <v>5508</v>
      </c>
      <c r="B2318" s="41" t="s">
        <v>208</v>
      </c>
      <c r="C2318" s="41" t="s">
        <v>2928</v>
      </c>
      <c r="D2318" s="41" t="s">
        <v>5494</v>
      </c>
      <c r="E2318" s="41" t="s">
        <v>2929</v>
      </c>
      <c r="F2318" s="41" t="s">
        <v>2930</v>
      </c>
      <c r="G2318" s="41" t="s">
        <v>2931</v>
      </c>
    </row>
    <row r="2319" spans="1:7" x14ac:dyDescent="0.25">
      <c r="A2319" s="41" t="s">
        <v>5509</v>
      </c>
      <c r="B2319" s="41" t="s">
        <v>208</v>
      </c>
      <c r="C2319" s="41" t="s">
        <v>2928</v>
      </c>
      <c r="D2319" s="41" t="s">
        <v>5494</v>
      </c>
      <c r="E2319" s="41" t="s">
        <v>2929</v>
      </c>
      <c r="F2319" s="41" t="s">
        <v>2949</v>
      </c>
      <c r="G2319" s="41" t="s">
        <v>2950</v>
      </c>
    </row>
    <row r="2320" spans="1:7" x14ac:dyDescent="0.25">
      <c r="A2320" s="41" t="s">
        <v>5510</v>
      </c>
      <c r="B2320" s="41" t="s">
        <v>208</v>
      </c>
      <c r="C2320" s="41" t="s">
        <v>2928</v>
      </c>
      <c r="D2320" s="41" t="s">
        <v>5494</v>
      </c>
      <c r="E2320" s="41" t="s">
        <v>2929</v>
      </c>
      <c r="F2320" s="41" t="s">
        <v>2949</v>
      </c>
      <c r="G2320" s="41" t="s">
        <v>2950</v>
      </c>
    </row>
    <row r="2321" spans="1:7" x14ac:dyDescent="0.25">
      <c r="A2321" s="41" t="s">
        <v>5511</v>
      </c>
      <c r="B2321" s="41" t="s">
        <v>208</v>
      </c>
      <c r="C2321" s="41" t="s">
        <v>2928</v>
      </c>
      <c r="D2321" s="41" t="s">
        <v>5494</v>
      </c>
      <c r="E2321" s="41" t="s">
        <v>2929</v>
      </c>
      <c r="F2321" s="41" t="s">
        <v>2949</v>
      </c>
      <c r="G2321" s="41" t="s">
        <v>2950</v>
      </c>
    </row>
    <row r="2322" spans="1:7" x14ac:dyDescent="0.25">
      <c r="A2322" s="41" t="s">
        <v>5512</v>
      </c>
      <c r="B2322" s="41" t="s">
        <v>208</v>
      </c>
      <c r="C2322" s="41" t="s">
        <v>2928</v>
      </c>
      <c r="D2322" s="41" t="s">
        <v>5494</v>
      </c>
      <c r="E2322" s="41" t="s">
        <v>2929</v>
      </c>
      <c r="F2322" s="41" t="s">
        <v>2949</v>
      </c>
      <c r="G2322" s="41" t="s">
        <v>2950</v>
      </c>
    </row>
    <row r="2323" spans="1:7" x14ac:dyDescent="0.25">
      <c r="A2323" s="41" t="s">
        <v>5513</v>
      </c>
      <c r="B2323" s="41" t="s">
        <v>208</v>
      </c>
      <c r="C2323" s="41" t="s">
        <v>2928</v>
      </c>
      <c r="D2323" s="41" t="s">
        <v>5494</v>
      </c>
      <c r="E2323" s="41" t="s">
        <v>2929</v>
      </c>
      <c r="F2323" s="41" t="s">
        <v>2949</v>
      </c>
      <c r="G2323" s="41" t="s">
        <v>2950</v>
      </c>
    </row>
    <row r="2324" spans="1:7" x14ac:dyDescent="0.25">
      <c r="A2324" s="41" t="s">
        <v>5514</v>
      </c>
      <c r="B2324" s="41" t="s">
        <v>208</v>
      </c>
      <c r="C2324" s="41" t="s">
        <v>2928</v>
      </c>
      <c r="D2324" s="41" t="s">
        <v>5494</v>
      </c>
      <c r="E2324" s="41" t="s">
        <v>2929</v>
      </c>
      <c r="F2324" s="41" t="s">
        <v>2949</v>
      </c>
      <c r="G2324" s="41" t="s">
        <v>2950</v>
      </c>
    </row>
    <row r="2325" spans="1:7" x14ac:dyDescent="0.25">
      <c r="A2325" s="41" t="s">
        <v>5515</v>
      </c>
      <c r="B2325" s="41" t="s">
        <v>208</v>
      </c>
      <c r="C2325" s="41" t="s">
        <v>2928</v>
      </c>
      <c r="D2325" s="41" t="s">
        <v>5494</v>
      </c>
      <c r="E2325" s="41" t="s">
        <v>2929</v>
      </c>
      <c r="F2325" s="41" t="s">
        <v>2949</v>
      </c>
      <c r="G2325" s="41" t="s">
        <v>2950</v>
      </c>
    </row>
    <row r="2326" spans="1:7" x14ac:dyDescent="0.25">
      <c r="A2326" s="41" t="s">
        <v>5516</v>
      </c>
      <c r="B2326" s="41" t="s">
        <v>5517</v>
      </c>
      <c r="C2326" s="41" t="s">
        <v>2928</v>
      </c>
      <c r="D2326" s="41" t="s">
        <v>5516</v>
      </c>
      <c r="E2326" s="41" t="s">
        <v>2929</v>
      </c>
      <c r="F2326" s="41" t="s">
        <v>2930</v>
      </c>
      <c r="G2326" s="41" t="s">
        <v>2931</v>
      </c>
    </row>
    <row r="2327" spans="1:7" x14ac:dyDescent="0.25">
      <c r="A2327" s="41" t="s">
        <v>5518</v>
      </c>
      <c r="B2327" s="41" t="s">
        <v>5517</v>
      </c>
      <c r="C2327" s="41" t="s">
        <v>2928</v>
      </c>
      <c r="D2327" s="41" t="s">
        <v>5516</v>
      </c>
      <c r="E2327" s="41" t="s">
        <v>2929</v>
      </c>
      <c r="F2327" s="41" t="s">
        <v>2933</v>
      </c>
      <c r="G2327" s="41" t="s">
        <v>2934</v>
      </c>
    </row>
    <row r="2328" spans="1:7" x14ac:dyDescent="0.25">
      <c r="A2328" s="41" t="s">
        <v>5519</v>
      </c>
      <c r="B2328" s="41" t="s">
        <v>5517</v>
      </c>
      <c r="C2328" s="41" t="s">
        <v>2928</v>
      </c>
      <c r="D2328" s="41" t="s">
        <v>5516</v>
      </c>
      <c r="E2328" s="41" t="s">
        <v>2929</v>
      </c>
      <c r="F2328" s="41" t="s">
        <v>2930</v>
      </c>
      <c r="G2328" s="41" t="s">
        <v>2931</v>
      </c>
    </row>
    <row r="2329" spans="1:7" x14ac:dyDescent="0.25">
      <c r="A2329" s="41" t="s">
        <v>5520</v>
      </c>
      <c r="B2329" s="41" t="s">
        <v>5517</v>
      </c>
      <c r="C2329" s="41" t="s">
        <v>2928</v>
      </c>
      <c r="D2329" s="41" t="s">
        <v>5516</v>
      </c>
      <c r="E2329" s="41" t="s">
        <v>2929</v>
      </c>
      <c r="F2329" s="41" t="s">
        <v>2949</v>
      </c>
      <c r="G2329" s="41" t="s">
        <v>2950</v>
      </c>
    </row>
    <row r="2330" spans="1:7" x14ac:dyDescent="0.25">
      <c r="A2330" s="41" t="s">
        <v>1165</v>
      </c>
      <c r="B2330" s="41" t="s">
        <v>5521</v>
      </c>
      <c r="C2330" s="41" t="s">
        <v>2928</v>
      </c>
      <c r="D2330" s="41" t="s">
        <v>1165</v>
      </c>
      <c r="E2330" s="41" t="s">
        <v>2929</v>
      </c>
      <c r="F2330" s="41" t="s">
        <v>2930</v>
      </c>
      <c r="G2330" s="41" t="s">
        <v>2931</v>
      </c>
    </row>
    <row r="2331" spans="1:7" x14ac:dyDescent="0.25">
      <c r="A2331" s="41" t="s">
        <v>5522</v>
      </c>
      <c r="B2331" s="41" t="s">
        <v>5521</v>
      </c>
      <c r="C2331" s="41" t="s">
        <v>2928</v>
      </c>
      <c r="D2331" s="41" t="s">
        <v>1165</v>
      </c>
      <c r="E2331" s="41" t="s">
        <v>2929</v>
      </c>
      <c r="F2331" s="41" t="s">
        <v>2949</v>
      </c>
      <c r="G2331" s="41" t="s">
        <v>2950</v>
      </c>
    </row>
    <row r="2332" spans="1:7" x14ac:dyDescent="0.25">
      <c r="A2332" s="41" t="s">
        <v>1176</v>
      </c>
      <c r="B2332" s="41" t="s">
        <v>1178</v>
      </c>
      <c r="C2332" s="41" t="s">
        <v>2928</v>
      </c>
      <c r="D2332" s="41" t="s">
        <v>1176</v>
      </c>
      <c r="E2332" s="41" t="s">
        <v>2929</v>
      </c>
      <c r="F2332" s="41" t="s">
        <v>2930</v>
      </c>
      <c r="G2332" s="41" t="s">
        <v>2931</v>
      </c>
    </row>
    <row r="2333" spans="1:7" x14ac:dyDescent="0.25">
      <c r="A2333" s="41" t="s">
        <v>5523</v>
      </c>
      <c r="B2333" s="41" t="s">
        <v>1178</v>
      </c>
      <c r="C2333" s="41" t="s">
        <v>2928</v>
      </c>
      <c r="D2333" s="41" t="s">
        <v>1176</v>
      </c>
      <c r="E2333" s="41" t="s">
        <v>2929</v>
      </c>
      <c r="F2333" s="41" t="s">
        <v>2949</v>
      </c>
      <c r="G2333" s="41" t="s">
        <v>2950</v>
      </c>
    </row>
    <row r="2334" spans="1:7" x14ac:dyDescent="0.25">
      <c r="A2334" s="41" t="s">
        <v>1189</v>
      </c>
      <c r="B2334" s="41" t="s">
        <v>5524</v>
      </c>
      <c r="C2334" s="41" t="s">
        <v>2928</v>
      </c>
      <c r="D2334" s="41" t="s">
        <v>1189</v>
      </c>
      <c r="E2334" s="41" t="s">
        <v>2929</v>
      </c>
      <c r="F2334" s="41" t="s">
        <v>2930</v>
      </c>
      <c r="G2334" s="41" t="s">
        <v>2931</v>
      </c>
    </row>
    <row r="2335" spans="1:7" x14ac:dyDescent="0.25">
      <c r="A2335" s="41" t="s">
        <v>5525</v>
      </c>
      <c r="B2335" s="41" t="s">
        <v>5524</v>
      </c>
      <c r="C2335" s="41" t="s">
        <v>2928</v>
      </c>
      <c r="D2335" s="41" t="s">
        <v>1189</v>
      </c>
      <c r="E2335" s="41" t="s">
        <v>2929</v>
      </c>
      <c r="F2335" s="41" t="s">
        <v>2949</v>
      </c>
      <c r="G2335" s="41" t="s">
        <v>2950</v>
      </c>
    </row>
    <row r="2336" spans="1:7" x14ac:dyDescent="0.25">
      <c r="A2336" s="41" t="s">
        <v>5526</v>
      </c>
      <c r="B2336" s="41" t="s">
        <v>5527</v>
      </c>
      <c r="C2336" s="41" t="s">
        <v>2928</v>
      </c>
      <c r="D2336" s="41" t="s">
        <v>5526</v>
      </c>
      <c r="E2336" s="41" t="s">
        <v>2929</v>
      </c>
      <c r="F2336" s="41" t="s">
        <v>2930</v>
      </c>
      <c r="G2336" s="41" t="s">
        <v>2931</v>
      </c>
    </row>
    <row r="2337" spans="1:7" x14ac:dyDescent="0.25">
      <c r="A2337" s="41" t="s">
        <v>5528</v>
      </c>
      <c r="B2337" s="41" t="s">
        <v>5527</v>
      </c>
      <c r="C2337" s="41" t="s">
        <v>2928</v>
      </c>
      <c r="D2337" s="41" t="s">
        <v>5526</v>
      </c>
      <c r="E2337" s="41" t="s">
        <v>2929</v>
      </c>
      <c r="F2337" s="41" t="s">
        <v>2949</v>
      </c>
      <c r="G2337" s="41" t="s">
        <v>2950</v>
      </c>
    </row>
    <row r="2338" spans="1:7" x14ac:dyDescent="0.25">
      <c r="A2338" s="41" t="s">
        <v>5529</v>
      </c>
      <c r="B2338" s="41" t="s">
        <v>5530</v>
      </c>
      <c r="C2338" s="41" t="s">
        <v>2928</v>
      </c>
      <c r="D2338" s="41" t="s">
        <v>5529</v>
      </c>
      <c r="E2338" s="41" t="s">
        <v>2929</v>
      </c>
      <c r="F2338" s="41" t="s">
        <v>2930</v>
      </c>
      <c r="G2338" s="41" t="s">
        <v>2931</v>
      </c>
    </row>
    <row r="2339" spans="1:7" x14ac:dyDescent="0.25">
      <c r="A2339" s="41" t="s">
        <v>5531</v>
      </c>
      <c r="B2339" s="41" t="s">
        <v>5530</v>
      </c>
      <c r="C2339" s="41" t="s">
        <v>2928</v>
      </c>
      <c r="D2339" s="41" t="s">
        <v>5529</v>
      </c>
      <c r="E2339" s="41" t="s">
        <v>2929</v>
      </c>
      <c r="F2339" s="41" t="s">
        <v>2949</v>
      </c>
      <c r="G2339" s="41" t="s">
        <v>2950</v>
      </c>
    </row>
    <row r="2340" spans="1:7" x14ac:dyDescent="0.25">
      <c r="A2340" s="41" t="s">
        <v>5532</v>
      </c>
      <c r="B2340" s="41" t="s">
        <v>982</v>
      </c>
      <c r="C2340" s="41" t="s">
        <v>2928</v>
      </c>
      <c r="D2340" s="41" t="s">
        <v>5532</v>
      </c>
      <c r="E2340" s="41" t="s">
        <v>2929</v>
      </c>
      <c r="F2340" s="41" t="s">
        <v>2930</v>
      </c>
      <c r="G2340" s="41" t="s">
        <v>2931</v>
      </c>
    </row>
    <row r="2341" spans="1:7" x14ac:dyDescent="0.25">
      <c r="A2341" s="41" t="s">
        <v>5533</v>
      </c>
      <c r="B2341" s="41" t="s">
        <v>982</v>
      </c>
      <c r="C2341" s="41" t="s">
        <v>2928</v>
      </c>
      <c r="D2341" s="41" t="s">
        <v>5532</v>
      </c>
      <c r="E2341" s="41" t="s">
        <v>2929</v>
      </c>
      <c r="F2341" s="41" t="s">
        <v>2933</v>
      </c>
      <c r="G2341" s="41" t="s">
        <v>2934</v>
      </c>
    </row>
    <row r="2342" spans="1:7" x14ac:dyDescent="0.25">
      <c r="A2342" s="41" t="s">
        <v>5534</v>
      </c>
      <c r="B2342" s="41" t="s">
        <v>982</v>
      </c>
      <c r="C2342" s="41" t="s">
        <v>2928</v>
      </c>
      <c r="D2342" s="41" t="s">
        <v>5532</v>
      </c>
      <c r="E2342" s="41" t="s">
        <v>2929</v>
      </c>
      <c r="F2342" s="41" t="s">
        <v>2933</v>
      </c>
      <c r="G2342" s="41" t="s">
        <v>2934</v>
      </c>
    </row>
    <row r="2343" spans="1:7" x14ac:dyDescent="0.25">
      <c r="A2343" s="41" t="s">
        <v>5535</v>
      </c>
      <c r="B2343" s="41" t="s">
        <v>982</v>
      </c>
      <c r="C2343" s="41" t="s">
        <v>2928</v>
      </c>
      <c r="D2343" s="41" t="s">
        <v>5532</v>
      </c>
      <c r="E2343" s="41" t="s">
        <v>2929</v>
      </c>
      <c r="F2343" s="41" t="s">
        <v>2930</v>
      </c>
      <c r="G2343" s="41" t="s">
        <v>2931</v>
      </c>
    </row>
    <row r="2344" spans="1:7" x14ac:dyDescent="0.25">
      <c r="A2344" s="41" t="s">
        <v>5536</v>
      </c>
      <c r="B2344" s="41" t="s">
        <v>982</v>
      </c>
      <c r="C2344" s="41" t="s">
        <v>2928</v>
      </c>
      <c r="D2344" s="41" t="s">
        <v>5532</v>
      </c>
      <c r="E2344" s="41" t="s">
        <v>2929</v>
      </c>
      <c r="F2344" s="41" t="s">
        <v>2949</v>
      </c>
      <c r="G2344" s="41" t="s">
        <v>2950</v>
      </c>
    </row>
    <row r="2345" spans="1:7" x14ac:dyDescent="0.25">
      <c r="A2345" s="41" t="s">
        <v>5537</v>
      </c>
      <c r="B2345" s="41" t="s">
        <v>982</v>
      </c>
      <c r="C2345" s="41" t="s">
        <v>2928</v>
      </c>
      <c r="D2345" s="41" t="s">
        <v>5532</v>
      </c>
      <c r="E2345" s="41" t="s">
        <v>2929</v>
      </c>
      <c r="F2345" s="41" t="s">
        <v>2949</v>
      </c>
      <c r="G2345" s="41" t="s">
        <v>2950</v>
      </c>
    </row>
    <row r="2346" spans="1:7" x14ac:dyDescent="0.25">
      <c r="A2346" s="41" t="s">
        <v>5538</v>
      </c>
      <c r="B2346" s="41" t="s">
        <v>943</v>
      </c>
      <c r="C2346" s="41" t="s">
        <v>2928</v>
      </c>
      <c r="D2346" s="41" t="s">
        <v>5538</v>
      </c>
      <c r="E2346" s="41" t="s">
        <v>2929</v>
      </c>
      <c r="F2346" s="41" t="s">
        <v>2930</v>
      </c>
      <c r="G2346" s="41" t="s">
        <v>2931</v>
      </c>
    </row>
    <row r="2347" spans="1:7" x14ac:dyDescent="0.25">
      <c r="A2347" s="41" t="s">
        <v>5539</v>
      </c>
      <c r="B2347" s="41" t="s">
        <v>943</v>
      </c>
      <c r="C2347" s="41" t="s">
        <v>2928</v>
      </c>
      <c r="D2347" s="41" t="s">
        <v>5538</v>
      </c>
      <c r="E2347" s="41" t="s">
        <v>2929</v>
      </c>
      <c r="F2347" s="41" t="s">
        <v>2933</v>
      </c>
      <c r="G2347" s="41" t="s">
        <v>2934</v>
      </c>
    </row>
    <row r="2348" spans="1:7" x14ac:dyDescent="0.25">
      <c r="A2348" s="41" t="s">
        <v>5540</v>
      </c>
      <c r="B2348" s="41" t="s">
        <v>943</v>
      </c>
      <c r="C2348" s="41" t="s">
        <v>2928</v>
      </c>
      <c r="D2348" s="41" t="s">
        <v>5538</v>
      </c>
      <c r="E2348" s="41" t="s">
        <v>2929</v>
      </c>
      <c r="F2348" s="41" t="s">
        <v>2933</v>
      </c>
      <c r="G2348" s="41" t="s">
        <v>2934</v>
      </c>
    </row>
    <row r="2349" spans="1:7" x14ac:dyDescent="0.25">
      <c r="A2349" s="41" t="s">
        <v>5541</v>
      </c>
      <c r="B2349" s="41" t="s">
        <v>943</v>
      </c>
      <c r="C2349" s="41" t="s">
        <v>2928</v>
      </c>
      <c r="D2349" s="41" t="s">
        <v>5538</v>
      </c>
      <c r="E2349" s="41" t="s">
        <v>2929</v>
      </c>
      <c r="F2349" s="41" t="s">
        <v>2930</v>
      </c>
      <c r="G2349" s="41" t="s">
        <v>2931</v>
      </c>
    </row>
    <row r="2350" spans="1:7" x14ac:dyDescent="0.25">
      <c r="A2350" s="41" t="s">
        <v>5542</v>
      </c>
      <c r="B2350" s="41" t="s">
        <v>943</v>
      </c>
      <c r="C2350" s="41" t="s">
        <v>2928</v>
      </c>
      <c r="D2350" s="41" t="s">
        <v>5538</v>
      </c>
      <c r="E2350" s="41" t="s">
        <v>2929</v>
      </c>
      <c r="F2350" s="41" t="s">
        <v>2949</v>
      </c>
      <c r="G2350" s="41" t="s">
        <v>2950</v>
      </c>
    </row>
    <row r="2351" spans="1:7" x14ac:dyDescent="0.25">
      <c r="A2351" s="41" t="s">
        <v>5543</v>
      </c>
      <c r="B2351" s="41" t="s">
        <v>943</v>
      </c>
      <c r="C2351" s="41" t="s">
        <v>2928</v>
      </c>
      <c r="D2351" s="41" t="s">
        <v>5538</v>
      </c>
      <c r="E2351" s="41" t="s">
        <v>2929</v>
      </c>
      <c r="F2351" s="41" t="s">
        <v>2949</v>
      </c>
      <c r="G2351" s="41" t="s">
        <v>2950</v>
      </c>
    </row>
    <row r="2352" spans="1:7" x14ac:dyDescent="0.25">
      <c r="A2352" s="41" t="s">
        <v>5544</v>
      </c>
      <c r="B2352" s="41" t="s">
        <v>771</v>
      </c>
      <c r="C2352" s="41" t="s">
        <v>2928</v>
      </c>
      <c r="D2352" s="41" t="s">
        <v>5544</v>
      </c>
      <c r="E2352" s="41" t="s">
        <v>2929</v>
      </c>
      <c r="F2352" s="41" t="s">
        <v>2930</v>
      </c>
      <c r="G2352" s="41" t="s">
        <v>2931</v>
      </c>
    </row>
    <row r="2353" spans="1:7" x14ac:dyDescent="0.25">
      <c r="A2353" s="41" t="s">
        <v>5545</v>
      </c>
      <c r="B2353" s="41" t="s">
        <v>771</v>
      </c>
      <c r="C2353" s="41" t="s">
        <v>2928</v>
      </c>
      <c r="D2353" s="41" t="s">
        <v>5544</v>
      </c>
      <c r="E2353" s="41" t="s">
        <v>2929</v>
      </c>
      <c r="F2353" s="41" t="s">
        <v>2933</v>
      </c>
      <c r="G2353" s="41" t="s">
        <v>2934</v>
      </c>
    </row>
    <row r="2354" spans="1:7" x14ac:dyDescent="0.25">
      <c r="A2354" s="41" t="s">
        <v>5546</v>
      </c>
      <c r="B2354" s="41" t="s">
        <v>771</v>
      </c>
      <c r="C2354" s="41" t="s">
        <v>2928</v>
      </c>
      <c r="D2354" s="41" t="s">
        <v>5544</v>
      </c>
      <c r="E2354" s="41" t="s">
        <v>2929</v>
      </c>
      <c r="F2354" s="41" t="s">
        <v>2933</v>
      </c>
      <c r="G2354" s="41" t="s">
        <v>2934</v>
      </c>
    </row>
    <row r="2355" spans="1:7" x14ac:dyDescent="0.25">
      <c r="A2355" s="41" t="s">
        <v>5547</v>
      </c>
      <c r="B2355" s="41" t="s">
        <v>771</v>
      </c>
      <c r="C2355" s="41" t="s">
        <v>2928</v>
      </c>
      <c r="D2355" s="41" t="s">
        <v>5544</v>
      </c>
      <c r="E2355" s="41" t="s">
        <v>2929</v>
      </c>
      <c r="F2355" s="41" t="s">
        <v>2933</v>
      </c>
      <c r="G2355" s="41" t="s">
        <v>2934</v>
      </c>
    </row>
    <row r="2356" spans="1:7" x14ac:dyDescent="0.25">
      <c r="A2356" s="41" t="s">
        <v>5548</v>
      </c>
      <c r="B2356" s="41" t="s">
        <v>771</v>
      </c>
      <c r="C2356" s="41" t="s">
        <v>2928</v>
      </c>
      <c r="D2356" s="41" t="s">
        <v>5544</v>
      </c>
      <c r="E2356" s="41" t="s">
        <v>2929</v>
      </c>
      <c r="F2356" s="41" t="s">
        <v>2933</v>
      </c>
      <c r="G2356" s="41" t="s">
        <v>2934</v>
      </c>
    </row>
    <row r="2357" spans="1:7" x14ac:dyDescent="0.25">
      <c r="A2357" s="41" t="s">
        <v>5549</v>
      </c>
      <c r="B2357" s="41" t="s">
        <v>771</v>
      </c>
      <c r="C2357" s="41" t="s">
        <v>2928</v>
      </c>
      <c r="D2357" s="41" t="s">
        <v>5544</v>
      </c>
      <c r="E2357" s="41" t="s">
        <v>2929</v>
      </c>
      <c r="F2357" s="41" t="s">
        <v>2933</v>
      </c>
      <c r="G2357" s="41" t="s">
        <v>2934</v>
      </c>
    </row>
    <row r="2358" spans="1:7" x14ac:dyDescent="0.25">
      <c r="A2358" s="41" t="s">
        <v>5550</v>
      </c>
      <c r="B2358" s="41" t="s">
        <v>771</v>
      </c>
      <c r="C2358" s="41" t="s">
        <v>2928</v>
      </c>
      <c r="D2358" s="41" t="s">
        <v>5544</v>
      </c>
      <c r="E2358" s="41" t="s">
        <v>2929</v>
      </c>
      <c r="F2358" s="41" t="s">
        <v>2933</v>
      </c>
      <c r="G2358" s="41" t="s">
        <v>2934</v>
      </c>
    </row>
    <row r="2359" spans="1:7" x14ac:dyDescent="0.25">
      <c r="A2359" s="41" t="s">
        <v>5551</v>
      </c>
      <c r="B2359" s="41" t="s">
        <v>771</v>
      </c>
      <c r="C2359" s="41" t="s">
        <v>2928</v>
      </c>
      <c r="D2359" s="41" t="s">
        <v>5544</v>
      </c>
      <c r="E2359" s="41" t="s">
        <v>2929</v>
      </c>
      <c r="F2359" s="41" t="s">
        <v>2933</v>
      </c>
      <c r="G2359" s="41" t="s">
        <v>2934</v>
      </c>
    </row>
    <row r="2360" spans="1:7" x14ac:dyDescent="0.25">
      <c r="A2360" s="41" t="s">
        <v>5552</v>
      </c>
      <c r="B2360" s="41" t="s">
        <v>771</v>
      </c>
      <c r="C2360" s="41" t="s">
        <v>2928</v>
      </c>
      <c r="D2360" s="41" t="s">
        <v>5544</v>
      </c>
      <c r="E2360" s="41" t="s">
        <v>2929</v>
      </c>
      <c r="F2360" s="41" t="s">
        <v>2930</v>
      </c>
      <c r="G2360" s="41" t="s">
        <v>2931</v>
      </c>
    </row>
    <row r="2361" spans="1:7" x14ac:dyDescent="0.25">
      <c r="A2361" s="41" t="s">
        <v>5553</v>
      </c>
      <c r="B2361" s="41" t="s">
        <v>771</v>
      </c>
      <c r="C2361" s="41" t="s">
        <v>2928</v>
      </c>
      <c r="D2361" s="41" t="s">
        <v>5544</v>
      </c>
      <c r="E2361" s="41" t="s">
        <v>2929</v>
      </c>
      <c r="F2361" s="41" t="s">
        <v>2930</v>
      </c>
      <c r="G2361" s="41" t="s">
        <v>2931</v>
      </c>
    </row>
    <row r="2362" spans="1:7" x14ac:dyDescent="0.25">
      <c r="A2362" s="41" t="s">
        <v>5554</v>
      </c>
      <c r="B2362" s="41" t="s">
        <v>771</v>
      </c>
      <c r="C2362" s="41" t="s">
        <v>2928</v>
      </c>
      <c r="D2362" s="41" t="s">
        <v>5544</v>
      </c>
      <c r="E2362" s="41" t="s">
        <v>2929</v>
      </c>
      <c r="F2362" s="41" t="s">
        <v>2930</v>
      </c>
      <c r="G2362" s="41" t="s">
        <v>2931</v>
      </c>
    </row>
    <row r="2363" spans="1:7" x14ac:dyDescent="0.25">
      <c r="A2363" s="41" t="s">
        <v>5555</v>
      </c>
      <c r="B2363" s="41" t="s">
        <v>771</v>
      </c>
      <c r="C2363" s="41" t="s">
        <v>2928</v>
      </c>
      <c r="D2363" s="41" t="s">
        <v>5544</v>
      </c>
      <c r="E2363" s="41" t="s">
        <v>2929</v>
      </c>
      <c r="F2363" s="41" t="s">
        <v>2930</v>
      </c>
      <c r="G2363" s="41" t="s">
        <v>2931</v>
      </c>
    </row>
    <row r="2364" spans="1:7" x14ac:dyDescent="0.25">
      <c r="A2364" s="41" t="s">
        <v>5556</v>
      </c>
      <c r="B2364" s="41" t="s">
        <v>771</v>
      </c>
      <c r="C2364" s="41" t="s">
        <v>2928</v>
      </c>
      <c r="D2364" s="41" t="s">
        <v>5544</v>
      </c>
      <c r="E2364" s="41" t="s">
        <v>2929</v>
      </c>
      <c r="F2364" s="41" t="s">
        <v>2930</v>
      </c>
      <c r="G2364" s="41" t="s">
        <v>2931</v>
      </c>
    </row>
    <row r="2365" spans="1:7" x14ac:dyDescent="0.25">
      <c r="A2365" s="41" t="s">
        <v>5557</v>
      </c>
      <c r="B2365" s="41" t="s">
        <v>771</v>
      </c>
      <c r="C2365" s="41" t="s">
        <v>2928</v>
      </c>
      <c r="D2365" s="41" t="s">
        <v>5544</v>
      </c>
      <c r="E2365" s="41" t="s">
        <v>2929</v>
      </c>
      <c r="F2365" s="41" t="s">
        <v>2930</v>
      </c>
      <c r="G2365" s="41" t="s">
        <v>2931</v>
      </c>
    </row>
    <row r="2366" spans="1:7" x14ac:dyDescent="0.25">
      <c r="A2366" s="41" t="s">
        <v>5558</v>
      </c>
      <c r="B2366" s="41" t="s">
        <v>771</v>
      </c>
      <c r="C2366" s="41" t="s">
        <v>2928</v>
      </c>
      <c r="D2366" s="41" t="s">
        <v>5544</v>
      </c>
      <c r="E2366" s="41" t="s">
        <v>2929</v>
      </c>
      <c r="F2366" s="41" t="s">
        <v>2930</v>
      </c>
      <c r="G2366" s="41" t="s">
        <v>2931</v>
      </c>
    </row>
    <row r="2367" spans="1:7" x14ac:dyDescent="0.25">
      <c r="A2367" s="41" t="s">
        <v>5559</v>
      </c>
      <c r="B2367" s="41" t="s">
        <v>771</v>
      </c>
      <c r="C2367" s="41" t="s">
        <v>2928</v>
      </c>
      <c r="D2367" s="41" t="s">
        <v>5544</v>
      </c>
      <c r="E2367" s="41" t="s">
        <v>2929</v>
      </c>
      <c r="F2367" s="41" t="s">
        <v>2949</v>
      </c>
      <c r="G2367" s="41" t="s">
        <v>2950</v>
      </c>
    </row>
    <row r="2368" spans="1:7" x14ac:dyDescent="0.25">
      <c r="A2368" s="41" t="s">
        <v>5560</v>
      </c>
      <c r="B2368" s="41" t="s">
        <v>771</v>
      </c>
      <c r="C2368" s="41" t="s">
        <v>2928</v>
      </c>
      <c r="D2368" s="41" t="s">
        <v>5544</v>
      </c>
      <c r="E2368" s="41" t="s">
        <v>2929</v>
      </c>
      <c r="F2368" s="41" t="s">
        <v>2949</v>
      </c>
      <c r="G2368" s="41" t="s">
        <v>2950</v>
      </c>
    </row>
    <row r="2369" spans="1:7" x14ac:dyDescent="0.25">
      <c r="A2369" s="41" t="s">
        <v>5561</v>
      </c>
      <c r="B2369" s="41" t="s">
        <v>771</v>
      </c>
      <c r="C2369" s="41" t="s">
        <v>2928</v>
      </c>
      <c r="D2369" s="41" t="s">
        <v>5544</v>
      </c>
      <c r="E2369" s="41" t="s">
        <v>2929</v>
      </c>
      <c r="F2369" s="41" t="s">
        <v>2949</v>
      </c>
      <c r="G2369" s="41" t="s">
        <v>2950</v>
      </c>
    </row>
    <row r="2370" spans="1:7" x14ac:dyDescent="0.25">
      <c r="A2370" s="41" t="s">
        <v>5562</v>
      </c>
      <c r="B2370" s="41" t="s">
        <v>771</v>
      </c>
      <c r="C2370" s="41" t="s">
        <v>2928</v>
      </c>
      <c r="D2370" s="41" t="s">
        <v>5544</v>
      </c>
      <c r="E2370" s="41" t="s">
        <v>2929</v>
      </c>
      <c r="F2370" s="41" t="s">
        <v>2949</v>
      </c>
      <c r="G2370" s="41" t="s">
        <v>2950</v>
      </c>
    </row>
    <row r="2371" spans="1:7" x14ac:dyDescent="0.25">
      <c r="A2371" s="41" t="s">
        <v>5563</v>
      </c>
      <c r="B2371" s="41" t="s">
        <v>771</v>
      </c>
      <c r="C2371" s="41" t="s">
        <v>2928</v>
      </c>
      <c r="D2371" s="41" t="s">
        <v>5544</v>
      </c>
      <c r="E2371" s="41" t="s">
        <v>2929</v>
      </c>
      <c r="F2371" s="41" t="s">
        <v>2949</v>
      </c>
      <c r="G2371" s="41" t="s">
        <v>2950</v>
      </c>
    </row>
    <row r="2372" spans="1:7" x14ac:dyDescent="0.25">
      <c r="A2372" s="41" t="s">
        <v>5564</v>
      </c>
      <c r="B2372" s="41" t="s">
        <v>771</v>
      </c>
      <c r="C2372" s="41" t="s">
        <v>2928</v>
      </c>
      <c r="D2372" s="41" t="s">
        <v>5544</v>
      </c>
      <c r="E2372" s="41" t="s">
        <v>2929</v>
      </c>
      <c r="F2372" s="41" t="s">
        <v>2949</v>
      </c>
      <c r="G2372" s="41" t="s">
        <v>2950</v>
      </c>
    </row>
    <row r="2373" spans="1:7" x14ac:dyDescent="0.25">
      <c r="A2373" s="41" t="s">
        <v>5565</v>
      </c>
      <c r="B2373" s="41" t="s">
        <v>771</v>
      </c>
      <c r="C2373" s="41" t="s">
        <v>2928</v>
      </c>
      <c r="D2373" s="41" t="s">
        <v>5544</v>
      </c>
      <c r="E2373" s="41" t="s">
        <v>2929</v>
      </c>
      <c r="F2373" s="41" t="s">
        <v>2949</v>
      </c>
      <c r="G2373" s="41" t="s">
        <v>2950</v>
      </c>
    </row>
    <row r="2374" spans="1:7" x14ac:dyDescent="0.25">
      <c r="A2374" s="41" t="s">
        <v>5566</v>
      </c>
      <c r="B2374" s="41" t="s">
        <v>5567</v>
      </c>
      <c r="C2374" s="41" t="s">
        <v>2928</v>
      </c>
      <c r="D2374" s="41" t="s">
        <v>5566</v>
      </c>
      <c r="E2374" s="41" t="s">
        <v>2929</v>
      </c>
      <c r="F2374" s="41" t="s">
        <v>2930</v>
      </c>
      <c r="G2374" s="41" t="s">
        <v>2931</v>
      </c>
    </row>
    <row r="2375" spans="1:7" x14ac:dyDescent="0.25">
      <c r="A2375" s="41" t="s">
        <v>5568</v>
      </c>
      <c r="B2375" s="41" t="s">
        <v>5567</v>
      </c>
      <c r="C2375" s="41" t="s">
        <v>2928</v>
      </c>
      <c r="D2375" s="41" t="s">
        <v>5566</v>
      </c>
      <c r="E2375" s="41" t="s">
        <v>2929</v>
      </c>
      <c r="F2375" s="41" t="s">
        <v>2933</v>
      </c>
      <c r="G2375" s="41" t="s">
        <v>2934</v>
      </c>
    </row>
    <row r="2376" spans="1:7" x14ac:dyDescent="0.25">
      <c r="A2376" s="41" t="s">
        <v>5569</v>
      </c>
      <c r="B2376" s="41" t="s">
        <v>5567</v>
      </c>
      <c r="C2376" s="41" t="s">
        <v>2928</v>
      </c>
      <c r="D2376" s="41" t="s">
        <v>5566</v>
      </c>
      <c r="E2376" s="41" t="s">
        <v>2929</v>
      </c>
      <c r="F2376" s="41" t="s">
        <v>2933</v>
      </c>
      <c r="G2376" s="41" t="s">
        <v>2934</v>
      </c>
    </row>
    <row r="2377" spans="1:7" x14ac:dyDescent="0.25">
      <c r="A2377" s="41" t="s">
        <v>5570</v>
      </c>
      <c r="B2377" s="41" t="s">
        <v>5567</v>
      </c>
      <c r="C2377" s="41" t="s">
        <v>2928</v>
      </c>
      <c r="D2377" s="41" t="s">
        <v>5566</v>
      </c>
      <c r="E2377" s="41" t="s">
        <v>2929</v>
      </c>
      <c r="F2377" s="41" t="s">
        <v>2933</v>
      </c>
      <c r="G2377" s="41" t="s">
        <v>2934</v>
      </c>
    </row>
    <row r="2378" spans="1:7" x14ac:dyDescent="0.25">
      <c r="A2378" s="41" t="s">
        <v>5571</v>
      </c>
      <c r="B2378" s="41" t="s">
        <v>5567</v>
      </c>
      <c r="C2378" s="41" t="s">
        <v>2928</v>
      </c>
      <c r="D2378" s="41" t="s">
        <v>5566</v>
      </c>
      <c r="E2378" s="41" t="s">
        <v>2929</v>
      </c>
      <c r="F2378" s="41" t="s">
        <v>2933</v>
      </c>
      <c r="G2378" s="41" t="s">
        <v>2934</v>
      </c>
    </row>
    <row r="2379" spans="1:7" x14ac:dyDescent="0.25">
      <c r="A2379" s="41" t="s">
        <v>5572</v>
      </c>
      <c r="B2379" s="41" t="s">
        <v>5567</v>
      </c>
      <c r="C2379" s="41" t="s">
        <v>2928</v>
      </c>
      <c r="D2379" s="41" t="s">
        <v>5566</v>
      </c>
      <c r="E2379" s="41" t="s">
        <v>2929</v>
      </c>
      <c r="F2379" s="41" t="s">
        <v>2933</v>
      </c>
      <c r="G2379" s="41" t="s">
        <v>2934</v>
      </c>
    </row>
    <row r="2380" spans="1:7" x14ac:dyDescent="0.25">
      <c r="A2380" s="41" t="s">
        <v>5573</v>
      </c>
      <c r="B2380" s="41" t="s">
        <v>5567</v>
      </c>
      <c r="C2380" s="41" t="s">
        <v>2928</v>
      </c>
      <c r="D2380" s="41" t="s">
        <v>5566</v>
      </c>
      <c r="E2380" s="41" t="s">
        <v>2929</v>
      </c>
      <c r="F2380" s="41" t="s">
        <v>2933</v>
      </c>
      <c r="G2380" s="41" t="s">
        <v>2934</v>
      </c>
    </row>
    <row r="2381" spans="1:7" x14ac:dyDescent="0.25">
      <c r="A2381" s="41" t="s">
        <v>5574</v>
      </c>
      <c r="B2381" s="41" t="s">
        <v>5567</v>
      </c>
      <c r="C2381" s="41" t="s">
        <v>2928</v>
      </c>
      <c r="D2381" s="41" t="s">
        <v>5566</v>
      </c>
      <c r="E2381" s="41" t="s">
        <v>2929</v>
      </c>
      <c r="F2381" s="41" t="s">
        <v>2933</v>
      </c>
      <c r="G2381" s="41" t="s">
        <v>2934</v>
      </c>
    </row>
    <row r="2382" spans="1:7" x14ac:dyDescent="0.25">
      <c r="A2382" s="41" t="s">
        <v>5575</v>
      </c>
      <c r="B2382" s="41" t="s">
        <v>5567</v>
      </c>
      <c r="C2382" s="41" t="s">
        <v>2928</v>
      </c>
      <c r="D2382" s="41" t="s">
        <v>5566</v>
      </c>
      <c r="E2382" s="41" t="s">
        <v>2929</v>
      </c>
      <c r="F2382" s="41" t="s">
        <v>2930</v>
      </c>
      <c r="G2382" s="41" t="s">
        <v>2931</v>
      </c>
    </row>
    <row r="2383" spans="1:7" x14ac:dyDescent="0.25">
      <c r="A2383" s="41" t="s">
        <v>5576</v>
      </c>
      <c r="B2383" s="41" t="s">
        <v>5567</v>
      </c>
      <c r="C2383" s="41" t="s">
        <v>2928</v>
      </c>
      <c r="D2383" s="41" t="s">
        <v>5566</v>
      </c>
      <c r="E2383" s="41" t="s">
        <v>2929</v>
      </c>
      <c r="F2383" s="41" t="s">
        <v>2930</v>
      </c>
      <c r="G2383" s="41" t="s">
        <v>2931</v>
      </c>
    </row>
    <row r="2384" spans="1:7" x14ac:dyDescent="0.25">
      <c r="A2384" s="41" t="s">
        <v>5577</v>
      </c>
      <c r="B2384" s="41" t="s">
        <v>5567</v>
      </c>
      <c r="C2384" s="41" t="s">
        <v>2928</v>
      </c>
      <c r="D2384" s="41" t="s">
        <v>5566</v>
      </c>
      <c r="E2384" s="41" t="s">
        <v>2929</v>
      </c>
      <c r="F2384" s="41" t="s">
        <v>2930</v>
      </c>
      <c r="G2384" s="41" t="s">
        <v>2931</v>
      </c>
    </row>
    <row r="2385" spans="1:7" x14ac:dyDescent="0.25">
      <c r="A2385" s="41" t="s">
        <v>5578</v>
      </c>
      <c r="B2385" s="41" t="s">
        <v>5567</v>
      </c>
      <c r="C2385" s="41" t="s">
        <v>2928</v>
      </c>
      <c r="D2385" s="41" t="s">
        <v>5566</v>
      </c>
      <c r="E2385" s="41" t="s">
        <v>2929</v>
      </c>
      <c r="F2385" s="41" t="s">
        <v>2930</v>
      </c>
      <c r="G2385" s="41" t="s">
        <v>2931</v>
      </c>
    </row>
    <row r="2386" spans="1:7" x14ac:dyDescent="0.25">
      <c r="A2386" s="41" t="s">
        <v>5579</v>
      </c>
      <c r="B2386" s="41" t="s">
        <v>5567</v>
      </c>
      <c r="C2386" s="41" t="s">
        <v>2928</v>
      </c>
      <c r="D2386" s="41" t="s">
        <v>5566</v>
      </c>
      <c r="E2386" s="41" t="s">
        <v>2929</v>
      </c>
      <c r="F2386" s="41" t="s">
        <v>2930</v>
      </c>
      <c r="G2386" s="41" t="s">
        <v>2931</v>
      </c>
    </row>
    <row r="2387" spans="1:7" x14ac:dyDescent="0.25">
      <c r="A2387" s="41" t="s">
        <v>5580</v>
      </c>
      <c r="B2387" s="41" t="s">
        <v>5567</v>
      </c>
      <c r="C2387" s="41" t="s">
        <v>2928</v>
      </c>
      <c r="D2387" s="41" t="s">
        <v>5566</v>
      </c>
      <c r="E2387" s="41" t="s">
        <v>2929</v>
      </c>
      <c r="F2387" s="41" t="s">
        <v>2930</v>
      </c>
      <c r="G2387" s="41" t="s">
        <v>2931</v>
      </c>
    </row>
    <row r="2388" spans="1:7" x14ac:dyDescent="0.25">
      <c r="A2388" s="41" t="s">
        <v>5581</v>
      </c>
      <c r="B2388" s="41" t="s">
        <v>5567</v>
      </c>
      <c r="C2388" s="41" t="s">
        <v>2928</v>
      </c>
      <c r="D2388" s="41" t="s">
        <v>5566</v>
      </c>
      <c r="E2388" s="41" t="s">
        <v>2929</v>
      </c>
      <c r="F2388" s="41" t="s">
        <v>2930</v>
      </c>
      <c r="G2388" s="41" t="s">
        <v>2931</v>
      </c>
    </row>
    <row r="2389" spans="1:7" x14ac:dyDescent="0.25">
      <c r="A2389" s="41" t="s">
        <v>5582</v>
      </c>
      <c r="B2389" s="41" t="s">
        <v>5567</v>
      </c>
      <c r="C2389" s="41" t="s">
        <v>2928</v>
      </c>
      <c r="D2389" s="41" t="s">
        <v>5566</v>
      </c>
      <c r="E2389" s="41" t="s">
        <v>2929</v>
      </c>
      <c r="F2389" s="41" t="s">
        <v>2949</v>
      </c>
      <c r="G2389" s="41" t="s">
        <v>2950</v>
      </c>
    </row>
    <row r="2390" spans="1:7" x14ac:dyDescent="0.25">
      <c r="A2390" s="41" t="s">
        <v>5583</v>
      </c>
      <c r="B2390" s="41" t="s">
        <v>5567</v>
      </c>
      <c r="C2390" s="41" t="s">
        <v>2928</v>
      </c>
      <c r="D2390" s="41" t="s">
        <v>5566</v>
      </c>
      <c r="E2390" s="41" t="s">
        <v>2929</v>
      </c>
      <c r="F2390" s="41" t="s">
        <v>2949</v>
      </c>
      <c r="G2390" s="41" t="s">
        <v>2950</v>
      </c>
    </row>
    <row r="2391" spans="1:7" x14ac:dyDescent="0.25">
      <c r="A2391" s="41" t="s">
        <v>5584</v>
      </c>
      <c r="B2391" s="41" t="s">
        <v>5567</v>
      </c>
      <c r="C2391" s="41" t="s">
        <v>2928</v>
      </c>
      <c r="D2391" s="41" t="s">
        <v>5566</v>
      </c>
      <c r="E2391" s="41" t="s">
        <v>2929</v>
      </c>
      <c r="F2391" s="41" t="s">
        <v>2949</v>
      </c>
      <c r="G2391" s="41" t="s">
        <v>2950</v>
      </c>
    </row>
    <row r="2392" spans="1:7" x14ac:dyDescent="0.25">
      <c r="A2392" s="41" t="s">
        <v>5585</v>
      </c>
      <c r="B2392" s="41" t="s">
        <v>5567</v>
      </c>
      <c r="C2392" s="41" t="s">
        <v>2928</v>
      </c>
      <c r="D2392" s="41" t="s">
        <v>5566</v>
      </c>
      <c r="E2392" s="41" t="s">
        <v>2929</v>
      </c>
      <c r="F2392" s="41" t="s">
        <v>2949</v>
      </c>
      <c r="G2392" s="41" t="s">
        <v>2950</v>
      </c>
    </row>
    <row r="2393" spans="1:7" x14ac:dyDescent="0.25">
      <c r="A2393" s="41" t="s">
        <v>5586</v>
      </c>
      <c r="B2393" s="41" t="s">
        <v>5567</v>
      </c>
      <c r="C2393" s="41" t="s">
        <v>2928</v>
      </c>
      <c r="D2393" s="41" t="s">
        <v>5566</v>
      </c>
      <c r="E2393" s="41" t="s">
        <v>2929</v>
      </c>
      <c r="F2393" s="41" t="s">
        <v>2949</v>
      </c>
      <c r="G2393" s="41" t="s">
        <v>2950</v>
      </c>
    </row>
    <row r="2394" spans="1:7" x14ac:dyDescent="0.25">
      <c r="A2394" s="41" t="s">
        <v>5587</v>
      </c>
      <c r="B2394" s="41" t="s">
        <v>5567</v>
      </c>
      <c r="C2394" s="41" t="s">
        <v>2928</v>
      </c>
      <c r="D2394" s="41" t="s">
        <v>5566</v>
      </c>
      <c r="E2394" s="41" t="s">
        <v>2929</v>
      </c>
      <c r="F2394" s="41" t="s">
        <v>2949</v>
      </c>
      <c r="G2394" s="41" t="s">
        <v>2950</v>
      </c>
    </row>
    <row r="2395" spans="1:7" x14ac:dyDescent="0.25">
      <c r="A2395" s="41" t="s">
        <v>5588</v>
      </c>
      <c r="B2395" s="41" t="s">
        <v>5567</v>
      </c>
      <c r="C2395" s="41" t="s">
        <v>2928</v>
      </c>
      <c r="D2395" s="41" t="s">
        <v>5566</v>
      </c>
      <c r="E2395" s="41" t="s">
        <v>2929</v>
      </c>
      <c r="F2395" s="41" t="s">
        <v>2949</v>
      </c>
      <c r="G2395" s="41" t="s">
        <v>2950</v>
      </c>
    </row>
    <row r="2396" spans="1:7" x14ac:dyDescent="0.25">
      <c r="A2396" s="41" t="s">
        <v>5589</v>
      </c>
      <c r="B2396" s="41" t="s">
        <v>217</v>
      </c>
      <c r="C2396" s="41" t="s">
        <v>2928</v>
      </c>
      <c r="D2396" s="41" t="s">
        <v>5589</v>
      </c>
      <c r="E2396" s="41" t="s">
        <v>2929</v>
      </c>
      <c r="F2396" s="41" t="s">
        <v>2930</v>
      </c>
      <c r="G2396" s="41" t="s">
        <v>2931</v>
      </c>
    </row>
    <row r="2397" spans="1:7" x14ac:dyDescent="0.25">
      <c r="A2397" s="41" t="s">
        <v>5590</v>
      </c>
      <c r="B2397" s="41" t="s">
        <v>217</v>
      </c>
      <c r="C2397" s="41" t="s">
        <v>2928</v>
      </c>
      <c r="D2397" s="41" t="s">
        <v>5589</v>
      </c>
      <c r="E2397" s="41" t="s">
        <v>2929</v>
      </c>
      <c r="F2397" s="41" t="s">
        <v>2933</v>
      </c>
      <c r="G2397" s="41" t="s">
        <v>2934</v>
      </c>
    </row>
    <row r="2398" spans="1:7" x14ac:dyDescent="0.25">
      <c r="A2398" s="41" t="s">
        <v>5591</v>
      </c>
      <c r="B2398" s="41" t="s">
        <v>217</v>
      </c>
      <c r="C2398" s="41" t="s">
        <v>2928</v>
      </c>
      <c r="D2398" s="41" t="s">
        <v>5589</v>
      </c>
      <c r="E2398" s="41" t="s">
        <v>2929</v>
      </c>
      <c r="F2398" s="41" t="s">
        <v>2933</v>
      </c>
      <c r="G2398" s="41" t="s">
        <v>2934</v>
      </c>
    </row>
    <row r="2399" spans="1:7" x14ac:dyDescent="0.25">
      <c r="A2399" s="41" t="s">
        <v>5592</v>
      </c>
      <c r="B2399" s="41" t="s">
        <v>217</v>
      </c>
      <c r="C2399" s="41" t="s">
        <v>2928</v>
      </c>
      <c r="D2399" s="41" t="s">
        <v>5589</v>
      </c>
      <c r="E2399" s="41" t="s">
        <v>2929</v>
      </c>
      <c r="F2399" s="41" t="s">
        <v>2933</v>
      </c>
      <c r="G2399" s="41" t="s">
        <v>2934</v>
      </c>
    </row>
    <row r="2400" spans="1:7" x14ac:dyDescent="0.25">
      <c r="A2400" s="41" t="s">
        <v>5593</v>
      </c>
      <c r="B2400" s="41" t="s">
        <v>217</v>
      </c>
      <c r="C2400" s="41" t="s">
        <v>2928</v>
      </c>
      <c r="D2400" s="41" t="s">
        <v>5589</v>
      </c>
      <c r="E2400" s="41" t="s">
        <v>2929</v>
      </c>
      <c r="F2400" s="41" t="s">
        <v>2933</v>
      </c>
      <c r="G2400" s="41" t="s">
        <v>2934</v>
      </c>
    </row>
    <row r="2401" spans="1:7" x14ac:dyDescent="0.25">
      <c r="A2401" s="41" t="s">
        <v>5594</v>
      </c>
      <c r="B2401" s="41" t="s">
        <v>217</v>
      </c>
      <c r="C2401" s="41" t="s">
        <v>2928</v>
      </c>
      <c r="D2401" s="41" t="s">
        <v>5589</v>
      </c>
      <c r="E2401" s="41" t="s">
        <v>2929</v>
      </c>
      <c r="F2401" s="41" t="s">
        <v>2933</v>
      </c>
      <c r="G2401" s="41" t="s">
        <v>2934</v>
      </c>
    </row>
    <row r="2402" spans="1:7" x14ac:dyDescent="0.25">
      <c r="A2402" s="41" t="s">
        <v>5595</v>
      </c>
      <c r="B2402" s="41" t="s">
        <v>217</v>
      </c>
      <c r="C2402" s="41" t="s">
        <v>2928</v>
      </c>
      <c r="D2402" s="41" t="s">
        <v>5589</v>
      </c>
      <c r="E2402" s="41" t="s">
        <v>2929</v>
      </c>
      <c r="F2402" s="41" t="s">
        <v>2933</v>
      </c>
      <c r="G2402" s="41" t="s">
        <v>2934</v>
      </c>
    </row>
    <row r="2403" spans="1:7" x14ac:dyDescent="0.25">
      <c r="A2403" s="41" t="s">
        <v>5596</v>
      </c>
      <c r="B2403" s="41" t="s">
        <v>217</v>
      </c>
      <c r="C2403" s="41" t="s">
        <v>2928</v>
      </c>
      <c r="D2403" s="41" t="s">
        <v>5589</v>
      </c>
      <c r="E2403" s="41" t="s">
        <v>2929</v>
      </c>
      <c r="F2403" s="41" t="s">
        <v>2933</v>
      </c>
      <c r="G2403" s="41" t="s">
        <v>2934</v>
      </c>
    </row>
    <row r="2404" spans="1:7" x14ac:dyDescent="0.25">
      <c r="A2404" s="41" t="s">
        <v>5597</v>
      </c>
      <c r="B2404" s="41" t="s">
        <v>217</v>
      </c>
      <c r="C2404" s="41" t="s">
        <v>2928</v>
      </c>
      <c r="D2404" s="41" t="s">
        <v>5589</v>
      </c>
      <c r="E2404" s="41" t="s">
        <v>2929</v>
      </c>
      <c r="F2404" s="41" t="s">
        <v>2930</v>
      </c>
      <c r="G2404" s="41" t="s">
        <v>2931</v>
      </c>
    </row>
    <row r="2405" spans="1:7" x14ac:dyDescent="0.25">
      <c r="A2405" s="41" t="s">
        <v>5598</v>
      </c>
      <c r="B2405" s="41" t="s">
        <v>217</v>
      </c>
      <c r="C2405" s="41" t="s">
        <v>2928</v>
      </c>
      <c r="D2405" s="41" t="s">
        <v>5589</v>
      </c>
      <c r="E2405" s="41" t="s">
        <v>2929</v>
      </c>
      <c r="F2405" s="41" t="s">
        <v>2930</v>
      </c>
      <c r="G2405" s="41" t="s">
        <v>2931</v>
      </c>
    </row>
    <row r="2406" spans="1:7" x14ac:dyDescent="0.25">
      <c r="A2406" s="41" t="s">
        <v>5599</v>
      </c>
      <c r="B2406" s="41" t="s">
        <v>217</v>
      </c>
      <c r="C2406" s="41" t="s">
        <v>2928</v>
      </c>
      <c r="D2406" s="41" t="s">
        <v>5589</v>
      </c>
      <c r="E2406" s="41" t="s">
        <v>2929</v>
      </c>
      <c r="F2406" s="41" t="s">
        <v>2930</v>
      </c>
      <c r="G2406" s="41" t="s">
        <v>2931</v>
      </c>
    </row>
    <row r="2407" spans="1:7" x14ac:dyDescent="0.25">
      <c r="A2407" s="41" t="s">
        <v>5600</v>
      </c>
      <c r="B2407" s="41" t="s">
        <v>217</v>
      </c>
      <c r="C2407" s="41" t="s">
        <v>2928</v>
      </c>
      <c r="D2407" s="41" t="s">
        <v>5589</v>
      </c>
      <c r="E2407" s="41" t="s">
        <v>2929</v>
      </c>
      <c r="F2407" s="41" t="s">
        <v>2930</v>
      </c>
      <c r="G2407" s="41" t="s">
        <v>2931</v>
      </c>
    </row>
    <row r="2408" spans="1:7" x14ac:dyDescent="0.25">
      <c r="A2408" s="41" t="s">
        <v>5601</v>
      </c>
      <c r="B2408" s="41" t="s">
        <v>217</v>
      </c>
      <c r="C2408" s="41" t="s">
        <v>2928</v>
      </c>
      <c r="D2408" s="41" t="s">
        <v>5589</v>
      </c>
      <c r="E2408" s="41" t="s">
        <v>2929</v>
      </c>
      <c r="F2408" s="41" t="s">
        <v>2930</v>
      </c>
      <c r="G2408" s="41" t="s">
        <v>2931</v>
      </c>
    </row>
    <row r="2409" spans="1:7" x14ac:dyDescent="0.25">
      <c r="A2409" s="41" t="s">
        <v>5602</v>
      </c>
      <c r="B2409" s="41" t="s">
        <v>217</v>
      </c>
      <c r="C2409" s="41" t="s">
        <v>2928</v>
      </c>
      <c r="D2409" s="41" t="s">
        <v>5589</v>
      </c>
      <c r="E2409" s="41" t="s">
        <v>2929</v>
      </c>
      <c r="F2409" s="41" t="s">
        <v>2930</v>
      </c>
      <c r="G2409" s="41" t="s">
        <v>2931</v>
      </c>
    </row>
    <row r="2410" spans="1:7" x14ac:dyDescent="0.25">
      <c r="A2410" s="41" t="s">
        <v>5603</v>
      </c>
      <c r="B2410" s="41" t="s">
        <v>217</v>
      </c>
      <c r="C2410" s="41" t="s">
        <v>2928</v>
      </c>
      <c r="D2410" s="41" t="s">
        <v>5589</v>
      </c>
      <c r="E2410" s="41" t="s">
        <v>2929</v>
      </c>
      <c r="F2410" s="41" t="s">
        <v>2930</v>
      </c>
      <c r="G2410" s="41" t="s">
        <v>2931</v>
      </c>
    </row>
    <row r="2411" spans="1:7" x14ac:dyDescent="0.25">
      <c r="A2411" s="41" t="s">
        <v>5604</v>
      </c>
      <c r="B2411" s="41" t="s">
        <v>217</v>
      </c>
      <c r="C2411" s="41" t="s">
        <v>2928</v>
      </c>
      <c r="D2411" s="41" t="s">
        <v>5589</v>
      </c>
      <c r="E2411" s="41" t="s">
        <v>2929</v>
      </c>
      <c r="F2411" s="41" t="s">
        <v>2949</v>
      </c>
      <c r="G2411" s="41" t="s">
        <v>2950</v>
      </c>
    </row>
    <row r="2412" spans="1:7" x14ac:dyDescent="0.25">
      <c r="A2412" s="41" t="s">
        <v>5605</v>
      </c>
      <c r="B2412" s="41" t="s">
        <v>217</v>
      </c>
      <c r="C2412" s="41" t="s">
        <v>2928</v>
      </c>
      <c r="D2412" s="41" t="s">
        <v>5589</v>
      </c>
      <c r="E2412" s="41" t="s">
        <v>2929</v>
      </c>
      <c r="F2412" s="41" t="s">
        <v>2949</v>
      </c>
      <c r="G2412" s="41" t="s">
        <v>2950</v>
      </c>
    </row>
    <row r="2413" spans="1:7" x14ac:dyDescent="0.25">
      <c r="A2413" s="41" t="s">
        <v>5606</v>
      </c>
      <c r="B2413" s="41" t="s">
        <v>217</v>
      </c>
      <c r="C2413" s="41" t="s">
        <v>2928</v>
      </c>
      <c r="D2413" s="41" t="s">
        <v>5589</v>
      </c>
      <c r="E2413" s="41" t="s">
        <v>2929</v>
      </c>
      <c r="F2413" s="41" t="s">
        <v>2949</v>
      </c>
      <c r="G2413" s="41" t="s">
        <v>2950</v>
      </c>
    </row>
    <row r="2414" spans="1:7" x14ac:dyDescent="0.25">
      <c r="A2414" s="41" t="s">
        <v>5607</v>
      </c>
      <c r="B2414" s="41" t="s">
        <v>217</v>
      </c>
      <c r="C2414" s="41" t="s">
        <v>2928</v>
      </c>
      <c r="D2414" s="41" t="s">
        <v>5589</v>
      </c>
      <c r="E2414" s="41" t="s">
        <v>2929</v>
      </c>
      <c r="F2414" s="41" t="s">
        <v>2949</v>
      </c>
      <c r="G2414" s="41" t="s">
        <v>2950</v>
      </c>
    </row>
    <row r="2415" spans="1:7" x14ac:dyDescent="0.25">
      <c r="A2415" s="41" t="s">
        <v>5608</v>
      </c>
      <c r="B2415" s="41" t="s">
        <v>217</v>
      </c>
      <c r="C2415" s="41" t="s">
        <v>2928</v>
      </c>
      <c r="D2415" s="41" t="s">
        <v>5589</v>
      </c>
      <c r="E2415" s="41" t="s">
        <v>2929</v>
      </c>
      <c r="F2415" s="41" t="s">
        <v>2949</v>
      </c>
      <c r="G2415" s="41" t="s">
        <v>2950</v>
      </c>
    </row>
    <row r="2416" spans="1:7" x14ac:dyDescent="0.25">
      <c r="A2416" s="41" t="s">
        <v>5609</v>
      </c>
      <c r="B2416" s="41" t="s">
        <v>217</v>
      </c>
      <c r="C2416" s="41" t="s">
        <v>2928</v>
      </c>
      <c r="D2416" s="41" t="s">
        <v>5589</v>
      </c>
      <c r="E2416" s="41" t="s">
        <v>2929</v>
      </c>
      <c r="F2416" s="41" t="s">
        <v>2949</v>
      </c>
      <c r="G2416" s="41" t="s">
        <v>2950</v>
      </c>
    </row>
    <row r="2417" spans="1:7" x14ac:dyDescent="0.25">
      <c r="A2417" s="41" t="s">
        <v>5610</v>
      </c>
      <c r="B2417" s="41" t="s">
        <v>217</v>
      </c>
      <c r="C2417" s="41" t="s">
        <v>2928</v>
      </c>
      <c r="D2417" s="41" t="s">
        <v>5589</v>
      </c>
      <c r="E2417" s="41" t="s">
        <v>2929</v>
      </c>
      <c r="F2417" s="41" t="s">
        <v>2949</v>
      </c>
      <c r="G2417" s="41" t="s">
        <v>2950</v>
      </c>
    </row>
    <row r="2418" spans="1:7" x14ac:dyDescent="0.25">
      <c r="A2418" s="41" t="s">
        <v>5611</v>
      </c>
      <c r="B2418" s="41" t="s">
        <v>5612</v>
      </c>
      <c r="C2418" s="41" t="s">
        <v>2928</v>
      </c>
      <c r="D2418" s="41" t="s">
        <v>5611</v>
      </c>
      <c r="E2418" s="41" t="s">
        <v>2929</v>
      </c>
      <c r="F2418" s="41" t="s">
        <v>2930</v>
      </c>
      <c r="G2418" s="41" t="s">
        <v>2931</v>
      </c>
    </row>
    <row r="2419" spans="1:7" x14ac:dyDescent="0.25">
      <c r="A2419" s="41" t="s">
        <v>5613</v>
      </c>
      <c r="B2419" s="41" t="s">
        <v>5612</v>
      </c>
      <c r="C2419" s="41" t="s">
        <v>2928</v>
      </c>
      <c r="D2419" s="41" t="s">
        <v>5611</v>
      </c>
      <c r="E2419" s="41" t="s">
        <v>2929</v>
      </c>
      <c r="F2419" s="41" t="s">
        <v>2933</v>
      </c>
      <c r="G2419" s="41" t="s">
        <v>2934</v>
      </c>
    </row>
    <row r="2420" spans="1:7" x14ac:dyDescent="0.25">
      <c r="A2420" s="41" t="s">
        <v>5614</v>
      </c>
      <c r="B2420" s="41" t="s">
        <v>5612</v>
      </c>
      <c r="C2420" s="41" t="s">
        <v>2928</v>
      </c>
      <c r="D2420" s="41" t="s">
        <v>5611</v>
      </c>
      <c r="E2420" s="41" t="s">
        <v>2929</v>
      </c>
      <c r="F2420" s="41" t="s">
        <v>2930</v>
      </c>
      <c r="G2420" s="41" t="s">
        <v>2931</v>
      </c>
    </row>
    <row r="2421" spans="1:7" x14ac:dyDescent="0.25">
      <c r="A2421" s="41" t="s">
        <v>5615</v>
      </c>
      <c r="B2421" s="41" t="s">
        <v>5612</v>
      </c>
      <c r="C2421" s="41" t="s">
        <v>2928</v>
      </c>
      <c r="D2421" s="41" t="s">
        <v>5611</v>
      </c>
      <c r="E2421" s="41" t="s">
        <v>2929</v>
      </c>
      <c r="F2421" s="41" t="s">
        <v>2949</v>
      </c>
      <c r="G2421" s="41" t="s">
        <v>2950</v>
      </c>
    </row>
    <row r="2422" spans="1:7" x14ac:dyDescent="0.25">
      <c r="A2422" s="41" t="s">
        <v>5616</v>
      </c>
      <c r="B2422" s="41" t="s">
        <v>932</v>
      </c>
      <c r="C2422" s="41" t="s">
        <v>2928</v>
      </c>
      <c r="D2422" s="41" t="s">
        <v>5616</v>
      </c>
      <c r="E2422" s="41" t="s">
        <v>2929</v>
      </c>
      <c r="F2422" s="41" t="s">
        <v>2930</v>
      </c>
      <c r="G2422" s="41" t="s">
        <v>2931</v>
      </c>
    </row>
    <row r="2423" spans="1:7" x14ac:dyDescent="0.25">
      <c r="A2423" s="41" t="s">
        <v>5617</v>
      </c>
      <c r="B2423" s="41" t="s">
        <v>932</v>
      </c>
      <c r="C2423" s="41" t="s">
        <v>2928</v>
      </c>
      <c r="D2423" s="41" t="s">
        <v>5616</v>
      </c>
      <c r="E2423" s="41" t="s">
        <v>2929</v>
      </c>
      <c r="F2423" s="41" t="s">
        <v>2933</v>
      </c>
      <c r="G2423" s="41" t="s">
        <v>2934</v>
      </c>
    </row>
    <row r="2424" spans="1:7" x14ac:dyDescent="0.25">
      <c r="A2424" s="41" t="s">
        <v>5618</v>
      </c>
      <c r="B2424" s="41" t="s">
        <v>932</v>
      </c>
      <c r="C2424" s="41" t="s">
        <v>2928</v>
      </c>
      <c r="D2424" s="41" t="s">
        <v>5616</v>
      </c>
      <c r="E2424" s="41" t="s">
        <v>2929</v>
      </c>
      <c r="F2424" s="41" t="s">
        <v>2933</v>
      </c>
      <c r="G2424" s="41" t="s">
        <v>2934</v>
      </c>
    </row>
    <row r="2425" spans="1:7" x14ac:dyDescent="0.25">
      <c r="A2425" s="41" t="s">
        <v>5619</v>
      </c>
      <c r="B2425" s="41" t="s">
        <v>932</v>
      </c>
      <c r="C2425" s="41" t="s">
        <v>2928</v>
      </c>
      <c r="D2425" s="41" t="s">
        <v>5616</v>
      </c>
      <c r="E2425" s="41" t="s">
        <v>2929</v>
      </c>
      <c r="F2425" s="41" t="s">
        <v>2930</v>
      </c>
      <c r="G2425" s="41" t="s">
        <v>2931</v>
      </c>
    </row>
    <row r="2426" spans="1:7" x14ac:dyDescent="0.25">
      <c r="A2426" s="41" t="s">
        <v>5620</v>
      </c>
      <c r="B2426" s="41" t="s">
        <v>932</v>
      </c>
      <c r="C2426" s="41" t="s">
        <v>2928</v>
      </c>
      <c r="D2426" s="41" t="s">
        <v>5616</v>
      </c>
      <c r="E2426" s="41" t="s">
        <v>2929</v>
      </c>
      <c r="F2426" s="41" t="s">
        <v>2949</v>
      </c>
      <c r="G2426" s="41" t="s">
        <v>2950</v>
      </c>
    </row>
    <row r="2427" spans="1:7" x14ac:dyDescent="0.25">
      <c r="A2427" s="41" t="s">
        <v>5621</v>
      </c>
      <c r="B2427" s="41" t="s">
        <v>932</v>
      </c>
      <c r="C2427" s="41" t="s">
        <v>2928</v>
      </c>
      <c r="D2427" s="41" t="s">
        <v>5616</v>
      </c>
      <c r="E2427" s="41" t="s">
        <v>2929</v>
      </c>
      <c r="F2427" s="41" t="s">
        <v>2949</v>
      </c>
      <c r="G2427" s="41" t="s">
        <v>2950</v>
      </c>
    </row>
    <row r="2428" spans="1:7" x14ac:dyDescent="0.25">
      <c r="A2428" s="41" t="s">
        <v>5622</v>
      </c>
      <c r="B2428" s="41" t="s">
        <v>979</v>
      </c>
      <c r="C2428" s="41" t="s">
        <v>2928</v>
      </c>
      <c r="D2428" s="41" t="s">
        <v>5622</v>
      </c>
      <c r="E2428" s="41" t="s">
        <v>2929</v>
      </c>
      <c r="F2428" s="41" t="s">
        <v>2930</v>
      </c>
      <c r="G2428" s="41" t="s">
        <v>2931</v>
      </c>
    </row>
    <row r="2429" spans="1:7" x14ac:dyDescent="0.25">
      <c r="A2429" s="41" t="s">
        <v>5623</v>
      </c>
      <c r="B2429" s="41" t="s">
        <v>979</v>
      </c>
      <c r="C2429" s="41" t="s">
        <v>2928</v>
      </c>
      <c r="D2429" s="41" t="s">
        <v>5622</v>
      </c>
      <c r="E2429" s="41" t="s">
        <v>2929</v>
      </c>
      <c r="F2429" s="41" t="s">
        <v>2933</v>
      </c>
      <c r="G2429" s="41" t="s">
        <v>2934</v>
      </c>
    </row>
    <row r="2430" spans="1:7" x14ac:dyDescent="0.25">
      <c r="A2430" s="41" t="s">
        <v>5624</v>
      </c>
      <c r="B2430" s="41" t="s">
        <v>979</v>
      </c>
      <c r="C2430" s="41" t="s">
        <v>2928</v>
      </c>
      <c r="D2430" s="41" t="s">
        <v>5622</v>
      </c>
      <c r="E2430" s="41" t="s">
        <v>2929</v>
      </c>
      <c r="F2430" s="41" t="s">
        <v>2930</v>
      </c>
      <c r="G2430" s="41" t="s">
        <v>2931</v>
      </c>
    </row>
    <row r="2431" spans="1:7" x14ac:dyDescent="0.25">
      <c r="A2431" s="41" t="s">
        <v>5625</v>
      </c>
      <c r="B2431" s="41" t="s">
        <v>979</v>
      </c>
      <c r="C2431" s="41" t="s">
        <v>2928</v>
      </c>
      <c r="D2431" s="41" t="s">
        <v>5622</v>
      </c>
      <c r="E2431" s="41" t="s">
        <v>2929</v>
      </c>
      <c r="F2431" s="41" t="s">
        <v>2949</v>
      </c>
      <c r="G2431" s="41" t="s">
        <v>2950</v>
      </c>
    </row>
    <row r="2432" spans="1:7" x14ac:dyDescent="0.25">
      <c r="A2432" s="41" t="s">
        <v>5626</v>
      </c>
      <c r="B2432" s="41" t="s">
        <v>441</v>
      </c>
      <c r="C2432" s="41" t="s">
        <v>2928</v>
      </c>
      <c r="D2432" s="41" t="s">
        <v>5626</v>
      </c>
      <c r="E2432" s="41" t="s">
        <v>2929</v>
      </c>
      <c r="F2432" s="41" t="s">
        <v>2930</v>
      </c>
      <c r="G2432" s="41" t="s">
        <v>2931</v>
      </c>
    </row>
    <row r="2433" spans="1:7" x14ac:dyDescent="0.25">
      <c r="A2433" s="41" t="s">
        <v>5627</v>
      </c>
      <c r="B2433" s="41" t="s">
        <v>441</v>
      </c>
      <c r="C2433" s="41" t="s">
        <v>2928</v>
      </c>
      <c r="D2433" s="41" t="s">
        <v>5626</v>
      </c>
      <c r="E2433" s="41" t="s">
        <v>2929</v>
      </c>
      <c r="F2433" s="41" t="s">
        <v>2933</v>
      </c>
      <c r="G2433" s="41" t="s">
        <v>2934</v>
      </c>
    </row>
    <row r="2434" spans="1:7" x14ac:dyDescent="0.25">
      <c r="A2434" s="41" t="s">
        <v>5628</v>
      </c>
      <c r="B2434" s="41" t="s">
        <v>441</v>
      </c>
      <c r="C2434" s="41" t="s">
        <v>2928</v>
      </c>
      <c r="D2434" s="41" t="s">
        <v>5626</v>
      </c>
      <c r="E2434" s="41" t="s">
        <v>2929</v>
      </c>
      <c r="F2434" s="41" t="s">
        <v>2933</v>
      </c>
      <c r="G2434" s="41" t="s">
        <v>2934</v>
      </c>
    </row>
    <row r="2435" spans="1:7" x14ac:dyDescent="0.25">
      <c r="A2435" s="41" t="s">
        <v>5629</v>
      </c>
      <c r="B2435" s="41" t="s">
        <v>441</v>
      </c>
      <c r="C2435" s="41" t="s">
        <v>2928</v>
      </c>
      <c r="D2435" s="41" t="s">
        <v>5626</v>
      </c>
      <c r="E2435" s="41" t="s">
        <v>2929</v>
      </c>
      <c r="F2435" s="41" t="s">
        <v>2930</v>
      </c>
      <c r="G2435" s="41" t="s">
        <v>2931</v>
      </c>
    </row>
    <row r="2436" spans="1:7" x14ac:dyDescent="0.25">
      <c r="A2436" s="41" t="s">
        <v>5630</v>
      </c>
      <c r="B2436" s="41" t="s">
        <v>441</v>
      </c>
      <c r="C2436" s="41" t="s">
        <v>2928</v>
      </c>
      <c r="D2436" s="41" t="s">
        <v>5626</v>
      </c>
      <c r="E2436" s="41" t="s">
        <v>2929</v>
      </c>
      <c r="F2436" s="41" t="s">
        <v>2949</v>
      </c>
      <c r="G2436" s="41" t="s">
        <v>2950</v>
      </c>
    </row>
    <row r="2437" spans="1:7" x14ac:dyDescent="0.25">
      <c r="A2437" s="41" t="s">
        <v>5631</v>
      </c>
      <c r="B2437" s="41" t="s">
        <v>5632</v>
      </c>
      <c r="C2437" s="41" t="s">
        <v>2928</v>
      </c>
      <c r="D2437" s="41" t="s">
        <v>5631</v>
      </c>
      <c r="E2437" s="41" t="s">
        <v>2929</v>
      </c>
      <c r="F2437" s="41" t="s">
        <v>2930</v>
      </c>
      <c r="G2437" s="41" t="s">
        <v>2931</v>
      </c>
    </row>
    <row r="2438" spans="1:7" x14ac:dyDescent="0.25">
      <c r="A2438" s="41" t="s">
        <v>5633</v>
      </c>
      <c r="B2438" s="41" t="s">
        <v>5632</v>
      </c>
      <c r="C2438" s="41" t="s">
        <v>2928</v>
      </c>
      <c r="D2438" s="41" t="s">
        <v>5631</v>
      </c>
      <c r="E2438" s="41" t="s">
        <v>2929</v>
      </c>
      <c r="F2438" s="41" t="s">
        <v>2933</v>
      </c>
      <c r="G2438" s="41" t="s">
        <v>2934</v>
      </c>
    </row>
    <row r="2439" spans="1:7" x14ac:dyDescent="0.25">
      <c r="A2439" s="41" t="s">
        <v>5634</v>
      </c>
      <c r="B2439" s="41" t="s">
        <v>5632</v>
      </c>
      <c r="C2439" s="41" t="s">
        <v>2928</v>
      </c>
      <c r="D2439" s="41" t="s">
        <v>5631</v>
      </c>
      <c r="E2439" s="41" t="s">
        <v>2929</v>
      </c>
      <c r="F2439" s="41" t="s">
        <v>2933</v>
      </c>
      <c r="G2439" s="41" t="s">
        <v>2934</v>
      </c>
    </row>
    <row r="2440" spans="1:7" x14ac:dyDescent="0.25">
      <c r="A2440" s="41" t="s">
        <v>5635</v>
      </c>
      <c r="B2440" s="41" t="s">
        <v>5632</v>
      </c>
      <c r="C2440" s="41" t="s">
        <v>2928</v>
      </c>
      <c r="D2440" s="41" t="s">
        <v>5631</v>
      </c>
      <c r="E2440" s="41" t="s">
        <v>2929</v>
      </c>
      <c r="F2440" s="41" t="s">
        <v>2930</v>
      </c>
      <c r="G2440" s="41" t="s">
        <v>2931</v>
      </c>
    </row>
    <row r="2441" spans="1:7" x14ac:dyDescent="0.25">
      <c r="A2441" s="41" t="s">
        <v>5636</v>
      </c>
      <c r="B2441" s="41" t="s">
        <v>5632</v>
      </c>
      <c r="C2441" s="41" t="s">
        <v>2928</v>
      </c>
      <c r="D2441" s="41" t="s">
        <v>5631</v>
      </c>
      <c r="E2441" s="41" t="s">
        <v>2929</v>
      </c>
      <c r="F2441" s="41" t="s">
        <v>2949</v>
      </c>
      <c r="G2441" s="41" t="s">
        <v>2950</v>
      </c>
    </row>
    <row r="2442" spans="1:7" x14ac:dyDescent="0.25">
      <c r="A2442" s="41" t="s">
        <v>5637</v>
      </c>
      <c r="B2442" s="41" t="s">
        <v>655</v>
      </c>
      <c r="C2442" s="41" t="s">
        <v>2928</v>
      </c>
      <c r="D2442" s="41" t="s">
        <v>5637</v>
      </c>
      <c r="E2442" s="41" t="s">
        <v>2929</v>
      </c>
      <c r="F2442" s="41" t="s">
        <v>2930</v>
      </c>
      <c r="G2442" s="41" t="s">
        <v>2931</v>
      </c>
    </row>
    <row r="2443" spans="1:7" x14ac:dyDescent="0.25">
      <c r="A2443" s="41" t="s">
        <v>5638</v>
      </c>
      <c r="B2443" s="41" t="s">
        <v>655</v>
      </c>
      <c r="C2443" s="41" t="s">
        <v>2928</v>
      </c>
      <c r="D2443" s="41" t="s">
        <v>5637</v>
      </c>
      <c r="E2443" s="41" t="s">
        <v>2929</v>
      </c>
      <c r="F2443" s="41" t="s">
        <v>2933</v>
      </c>
      <c r="G2443" s="41" t="s">
        <v>2934</v>
      </c>
    </row>
    <row r="2444" spans="1:7" x14ac:dyDescent="0.25">
      <c r="A2444" s="41" t="s">
        <v>5639</v>
      </c>
      <c r="B2444" s="41" t="s">
        <v>655</v>
      </c>
      <c r="C2444" s="41" t="s">
        <v>2928</v>
      </c>
      <c r="D2444" s="41" t="s">
        <v>5637</v>
      </c>
      <c r="E2444" s="41" t="s">
        <v>2929</v>
      </c>
      <c r="F2444" s="41" t="s">
        <v>2933</v>
      </c>
      <c r="G2444" s="41" t="s">
        <v>2934</v>
      </c>
    </row>
    <row r="2445" spans="1:7" x14ac:dyDescent="0.25">
      <c r="A2445" s="41" t="s">
        <v>5640</v>
      </c>
      <c r="B2445" s="41" t="s">
        <v>655</v>
      </c>
      <c r="C2445" s="41" t="s">
        <v>2928</v>
      </c>
      <c r="D2445" s="41" t="s">
        <v>5637</v>
      </c>
      <c r="E2445" s="41" t="s">
        <v>2929</v>
      </c>
      <c r="F2445" s="41" t="s">
        <v>2933</v>
      </c>
      <c r="G2445" s="41" t="s">
        <v>2934</v>
      </c>
    </row>
    <row r="2446" spans="1:7" x14ac:dyDescent="0.25">
      <c r="A2446" s="41" t="s">
        <v>5641</v>
      </c>
      <c r="B2446" s="41" t="s">
        <v>655</v>
      </c>
      <c r="C2446" s="41" t="s">
        <v>2928</v>
      </c>
      <c r="D2446" s="41" t="s">
        <v>5637</v>
      </c>
      <c r="E2446" s="41" t="s">
        <v>2929</v>
      </c>
      <c r="F2446" s="41" t="s">
        <v>2933</v>
      </c>
      <c r="G2446" s="41" t="s">
        <v>2934</v>
      </c>
    </row>
    <row r="2447" spans="1:7" x14ac:dyDescent="0.25">
      <c r="A2447" s="41" t="s">
        <v>5642</v>
      </c>
      <c r="B2447" s="41" t="s">
        <v>655</v>
      </c>
      <c r="C2447" s="41" t="s">
        <v>2928</v>
      </c>
      <c r="D2447" s="41" t="s">
        <v>5637</v>
      </c>
      <c r="E2447" s="41" t="s">
        <v>2929</v>
      </c>
      <c r="F2447" s="41" t="s">
        <v>2933</v>
      </c>
      <c r="G2447" s="41" t="s">
        <v>2934</v>
      </c>
    </row>
    <row r="2448" spans="1:7" x14ac:dyDescent="0.25">
      <c r="A2448" s="41" t="s">
        <v>5643</v>
      </c>
      <c r="B2448" s="41" t="s">
        <v>655</v>
      </c>
      <c r="C2448" s="41" t="s">
        <v>2928</v>
      </c>
      <c r="D2448" s="41" t="s">
        <v>5637</v>
      </c>
      <c r="E2448" s="41" t="s">
        <v>2929</v>
      </c>
      <c r="F2448" s="41" t="s">
        <v>2933</v>
      </c>
      <c r="G2448" s="41" t="s">
        <v>2934</v>
      </c>
    </row>
    <row r="2449" spans="1:7" x14ac:dyDescent="0.25">
      <c r="A2449" s="41" t="s">
        <v>5644</v>
      </c>
      <c r="B2449" s="41" t="s">
        <v>655</v>
      </c>
      <c r="C2449" s="41" t="s">
        <v>2928</v>
      </c>
      <c r="D2449" s="41" t="s">
        <v>5637</v>
      </c>
      <c r="E2449" s="41" t="s">
        <v>2929</v>
      </c>
      <c r="F2449" s="41" t="s">
        <v>2933</v>
      </c>
      <c r="G2449" s="41" t="s">
        <v>2934</v>
      </c>
    </row>
    <row r="2450" spans="1:7" x14ac:dyDescent="0.25">
      <c r="A2450" s="41" t="s">
        <v>5645</v>
      </c>
      <c r="B2450" s="41" t="s">
        <v>655</v>
      </c>
      <c r="C2450" s="41" t="s">
        <v>2928</v>
      </c>
      <c r="D2450" s="41" t="s">
        <v>5637</v>
      </c>
      <c r="E2450" s="41" t="s">
        <v>2929</v>
      </c>
      <c r="F2450" s="41" t="s">
        <v>2930</v>
      </c>
      <c r="G2450" s="41" t="s">
        <v>2931</v>
      </c>
    </row>
    <row r="2451" spans="1:7" x14ac:dyDescent="0.25">
      <c r="A2451" s="41" t="s">
        <v>5646</v>
      </c>
      <c r="B2451" s="41" t="s">
        <v>655</v>
      </c>
      <c r="C2451" s="41" t="s">
        <v>2928</v>
      </c>
      <c r="D2451" s="41" t="s">
        <v>5637</v>
      </c>
      <c r="E2451" s="41" t="s">
        <v>2929</v>
      </c>
      <c r="F2451" s="41" t="s">
        <v>2930</v>
      </c>
      <c r="G2451" s="41" t="s">
        <v>2931</v>
      </c>
    </row>
    <row r="2452" spans="1:7" x14ac:dyDescent="0.25">
      <c r="A2452" s="41" t="s">
        <v>5647</v>
      </c>
      <c r="B2452" s="41" t="s">
        <v>655</v>
      </c>
      <c r="C2452" s="41" t="s">
        <v>2928</v>
      </c>
      <c r="D2452" s="41" t="s">
        <v>5637</v>
      </c>
      <c r="E2452" s="41" t="s">
        <v>2929</v>
      </c>
      <c r="F2452" s="41" t="s">
        <v>2930</v>
      </c>
      <c r="G2452" s="41" t="s">
        <v>2931</v>
      </c>
    </row>
    <row r="2453" spans="1:7" x14ac:dyDescent="0.25">
      <c r="A2453" s="41" t="s">
        <v>5648</v>
      </c>
      <c r="B2453" s="41" t="s">
        <v>655</v>
      </c>
      <c r="C2453" s="41" t="s">
        <v>2928</v>
      </c>
      <c r="D2453" s="41" t="s">
        <v>5637</v>
      </c>
      <c r="E2453" s="41" t="s">
        <v>2929</v>
      </c>
      <c r="F2453" s="41" t="s">
        <v>2930</v>
      </c>
      <c r="G2453" s="41" t="s">
        <v>2931</v>
      </c>
    </row>
    <row r="2454" spans="1:7" x14ac:dyDescent="0.25">
      <c r="A2454" s="41" t="s">
        <v>5649</v>
      </c>
      <c r="B2454" s="41" t="s">
        <v>655</v>
      </c>
      <c r="C2454" s="41" t="s">
        <v>2928</v>
      </c>
      <c r="D2454" s="41" t="s">
        <v>5637</v>
      </c>
      <c r="E2454" s="41" t="s">
        <v>2929</v>
      </c>
      <c r="F2454" s="41" t="s">
        <v>2930</v>
      </c>
      <c r="G2454" s="41" t="s">
        <v>2931</v>
      </c>
    </row>
    <row r="2455" spans="1:7" x14ac:dyDescent="0.25">
      <c r="A2455" s="41" t="s">
        <v>5650</v>
      </c>
      <c r="B2455" s="41" t="s">
        <v>655</v>
      </c>
      <c r="C2455" s="41" t="s">
        <v>2928</v>
      </c>
      <c r="D2455" s="41" t="s">
        <v>5637</v>
      </c>
      <c r="E2455" s="41" t="s">
        <v>2929</v>
      </c>
      <c r="F2455" s="41" t="s">
        <v>2930</v>
      </c>
      <c r="G2455" s="41" t="s">
        <v>2931</v>
      </c>
    </row>
    <row r="2456" spans="1:7" x14ac:dyDescent="0.25">
      <c r="A2456" s="41" t="s">
        <v>5651</v>
      </c>
      <c r="B2456" s="41" t="s">
        <v>655</v>
      </c>
      <c r="C2456" s="41" t="s">
        <v>2928</v>
      </c>
      <c r="D2456" s="41" t="s">
        <v>5637</v>
      </c>
      <c r="E2456" s="41" t="s">
        <v>2929</v>
      </c>
      <c r="F2456" s="41" t="s">
        <v>2930</v>
      </c>
      <c r="G2456" s="41" t="s">
        <v>2931</v>
      </c>
    </row>
    <row r="2457" spans="1:7" x14ac:dyDescent="0.25">
      <c r="A2457" s="41" t="s">
        <v>5652</v>
      </c>
      <c r="B2457" s="41" t="s">
        <v>655</v>
      </c>
      <c r="C2457" s="41" t="s">
        <v>2928</v>
      </c>
      <c r="D2457" s="41" t="s">
        <v>5637</v>
      </c>
      <c r="E2457" s="41" t="s">
        <v>2929</v>
      </c>
      <c r="F2457" s="41" t="s">
        <v>2949</v>
      </c>
      <c r="G2457" s="41" t="s">
        <v>2950</v>
      </c>
    </row>
    <row r="2458" spans="1:7" x14ac:dyDescent="0.25">
      <c r="A2458" s="41" t="s">
        <v>5653</v>
      </c>
      <c r="B2458" s="41" t="s">
        <v>655</v>
      </c>
      <c r="C2458" s="41" t="s">
        <v>2928</v>
      </c>
      <c r="D2458" s="41" t="s">
        <v>5637</v>
      </c>
      <c r="E2458" s="41" t="s">
        <v>2929</v>
      </c>
      <c r="F2458" s="41" t="s">
        <v>2949</v>
      </c>
      <c r="G2458" s="41" t="s">
        <v>2950</v>
      </c>
    </row>
    <row r="2459" spans="1:7" x14ac:dyDescent="0.25">
      <c r="A2459" s="41" t="s">
        <v>5654</v>
      </c>
      <c r="B2459" s="41" t="s">
        <v>655</v>
      </c>
      <c r="C2459" s="41" t="s">
        <v>2928</v>
      </c>
      <c r="D2459" s="41" t="s">
        <v>5637</v>
      </c>
      <c r="E2459" s="41" t="s">
        <v>2929</v>
      </c>
      <c r="F2459" s="41" t="s">
        <v>2949</v>
      </c>
      <c r="G2459" s="41" t="s">
        <v>2950</v>
      </c>
    </row>
    <row r="2460" spans="1:7" x14ac:dyDescent="0.25">
      <c r="A2460" s="41" t="s">
        <v>5655</v>
      </c>
      <c r="B2460" s="41" t="s">
        <v>655</v>
      </c>
      <c r="C2460" s="41" t="s">
        <v>2928</v>
      </c>
      <c r="D2460" s="41" t="s">
        <v>5637</v>
      </c>
      <c r="E2460" s="41" t="s">
        <v>2929</v>
      </c>
      <c r="F2460" s="41" t="s">
        <v>2949</v>
      </c>
      <c r="G2460" s="41" t="s">
        <v>2950</v>
      </c>
    </row>
    <row r="2461" spans="1:7" x14ac:dyDescent="0.25">
      <c r="A2461" s="41" t="s">
        <v>5656</v>
      </c>
      <c r="B2461" s="41" t="s">
        <v>655</v>
      </c>
      <c r="C2461" s="41" t="s">
        <v>2928</v>
      </c>
      <c r="D2461" s="41" t="s">
        <v>5637</v>
      </c>
      <c r="E2461" s="41" t="s">
        <v>2929</v>
      </c>
      <c r="F2461" s="41" t="s">
        <v>2949</v>
      </c>
      <c r="G2461" s="41" t="s">
        <v>2950</v>
      </c>
    </row>
    <row r="2462" spans="1:7" x14ac:dyDescent="0.25">
      <c r="A2462" s="41" t="s">
        <v>5657</v>
      </c>
      <c r="B2462" s="41" t="s">
        <v>655</v>
      </c>
      <c r="C2462" s="41" t="s">
        <v>2928</v>
      </c>
      <c r="D2462" s="41" t="s">
        <v>5637</v>
      </c>
      <c r="E2462" s="41" t="s">
        <v>2929</v>
      </c>
      <c r="F2462" s="41" t="s">
        <v>2949</v>
      </c>
      <c r="G2462" s="41" t="s">
        <v>2950</v>
      </c>
    </row>
    <row r="2463" spans="1:7" x14ac:dyDescent="0.25">
      <c r="A2463" s="41" t="s">
        <v>5658</v>
      </c>
      <c r="B2463" s="41" t="s">
        <v>655</v>
      </c>
      <c r="C2463" s="41" t="s">
        <v>2928</v>
      </c>
      <c r="D2463" s="41" t="s">
        <v>5637</v>
      </c>
      <c r="E2463" s="41" t="s">
        <v>2929</v>
      </c>
      <c r="F2463" s="41" t="s">
        <v>2949</v>
      </c>
      <c r="G2463" s="41" t="s">
        <v>2950</v>
      </c>
    </row>
    <row r="2464" spans="1:7" x14ac:dyDescent="0.25">
      <c r="A2464" s="41" t="s">
        <v>5659</v>
      </c>
      <c r="B2464" s="41" t="s">
        <v>775</v>
      </c>
      <c r="C2464" s="41" t="s">
        <v>2928</v>
      </c>
      <c r="D2464" s="41" t="s">
        <v>5659</v>
      </c>
      <c r="E2464" s="41" t="s">
        <v>2929</v>
      </c>
      <c r="F2464" s="41" t="s">
        <v>2930</v>
      </c>
      <c r="G2464" s="41" t="s">
        <v>2931</v>
      </c>
    </row>
    <row r="2465" spans="1:7" x14ac:dyDescent="0.25">
      <c r="A2465" s="41" t="s">
        <v>5660</v>
      </c>
      <c r="B2465" s="41" t="s">
        <v>775</v>
      </c>
      <c r="C2465" s="41" t="s">
        <v>2928</v>
      </c>
      <c r="D2465" s="41" t="s">
        <v>5659</v>
      </c>
      <c r="E2465" s="41" t="s">
        <v>2929</v>
      </c>
      <c r="F2465" s="41" t="s">
        <v>2933</v>
      </c>
      <c r="G2465" s="41" t="s">
        <v>2934</v>
      </c>
    </row>
    <row r="2466" spans="1:7" x14ac:dyDescent="0.25">
      <c r="A2466" s="41" t="s">
        <v>5661</v>
      </c>
      <c r="B2466" s="41" t="s">
        <v>775</v>
      </c>
      <c r="C2466" s="41" t="s">
        <v>2928</v>
      </c>
      <c r="D2466" s="41" t="s">
        <v>5659</v>
      </c>
      <c r="E2466" s="41" t="s">
        <v>2929</v>
      </c>
      <c r="F2466" s="41" t="s">
        <v>2933</v>
      </c>
      <c r="G2466" s="41" t="s">
        <v>2934</v>
      </c>
    </row>
    <row r="2467" spans="1:7" x14ac:dyDescent="0.25">
      <c r="A2467" s="41" t="s">
        <v>5662</v>
      </c>
      <c r="B2467" s="41" t="s">
        <v>775</v>
      </c>
      <c r="C2467" s="41" t="s">
        <v>2928</v>
      </c>
      <c r="D2467" s="41" t="s">
        <v>5659</v>
      </c>
      <c r="E2467" s="41" t="s">
        <v>2929</v>
      </c>
      <c r="F2467" s="41" t="s">
        <v>2933</v>
      </c>
      <c r="G2467" s="41" t="s">
        <v>2934</v>
      </c>
    </row>
    <row r="2468" spans="1:7" x14ac:dyDescent="0.25">
      <c r="A2468" s="41" t="s">
        <v>5663</v>
      </c>
      <c r="B2468" s="41" t="s">
        <v>775</v>
      </c>
      <c r="C2468" s="41" t="s">
        <v>2928</v>
      </c>
      <c r="D2468" s="41" t="s">
        <v>5659</v>
      </c>
      <c r="E2468" s="41" t="s">
        <v>2929</v>
      </c>
      <c r="F2468" s="41" t="s">
        <v>2933</v>
      </c>
      <c r="G2468" s="41" t="s">
        <v>2934</v>
      </c>
    </row>
    <row r="2469" spans="1:7" x14ac:dyDescent="0.25">
      <c r="A2469" s="41" t="s">
        <v>5664</v>
      </c>
      <c r="B2469" s="41" t="s">
        <v>775</v>
      </c>
      <c r="C2469" s="41" t="s">
        <v>2928</v>
      </c>
      <c r="D2469" s="41" t="s">
        <v>5659</v>
      </c>
      <c r="E2469" s="41" t="s">
        <v>2929</v>
      </c>
      <c r="F2469" s="41" t="s">
        <v>2933</v>
      </c>
      <c r="G2469" s="41" t="s">
        <v>2934</v>
      </c>
    </row>
    <row r="2470" spans="1:7" x14ac:dyDescent="0.25">
      <c r="A2470" s="41" t="s">
        <v>5665</v>
      </c>
      <c r="B2470" s="41" t="s">
        <v>775</v>
      </c>
      <c r="C2470" s="41" t="s">
        <v>2928</v>
      </c>
      <c r="D2470" s="41" t="s">
        <v>5659</v>
      </c>
      <c r="E2470" s="41" t="s">
        <v>2929</v>
      </c>
      <c r="F2470" s="41" t="s">
        <v>2933</v>
      </c>
      <c r="G2470" s="41" t="s">
        <v>2934</v>
      </c>
    </row>
    <row r="2471" spans="1:7" x14ac:dyDescent="0.25">
      <c r="A2471" s="41" t="s">
        <v>5666</v>
      </c>
      <c r="B2471" s="41" t="s">
        <v>775</v>
      </c>
      <c r="C2471" s="41" t="s">
        <v>2928</v>
      </c>
      <c r="D2471" s="41" t="s">
        <v>5659</v>
      </c>
      <c r="E2471" s="41" t="s">
        <v>2929</v>
      </c>
      <c r="F2471" s="41" t="s">
        <v>2933</v>
      </c>
      <c r="G2471" s="41" t="s">
        <v>2934</v>
      </c>
    </row>
    <row r="2472" spans="1:7" x14ac:dyDescent="0.25">
      <c r="A2472" s="41" t="s">
        <v>5667</v>
      </c>
      <c r="B2472" s="41" t="s">
        <v>775</v>
      </c>
      <c r="C2472" s="41" t="s">
        <v>2928</v>
      </c>
      <c r="D2472" s="41" t="s">
        <v>5659</v>
      </c>
      <c r="E2472" s="41" t="s">
        <v>2929</v>
      </c>
      <c r="F2472" s="41" t="s">
        <v>2930</v>
      </c>
      <c r="G2472" s="41" t="s">
        <v>2931</v>
      </c>
    </row>
    <row r="2473" spans="1:7" x14ac:dyDescent="0.25">
      <c r="A2473" s="41" t="s">
        <v>5668</v>
      </c>
      <c r="B2473" s="41" t="s">
        <v>775</v>
      </c>
      <c r="C2473" s="41" t="s">
        <v>2928</v>
      </c>
      <c r="D2473" s="41" t="s">
        <v>5659</v>
      </c>
      <c r="E2473" s="41" t="s">
        <v>2929</v>
      </c>
      <c r="F2473" s="41" t="s">
        <v>2930</v>
      </c>
      <c r="G2473" s="41" t="s">
        <v>2931</v>
      </c>
    </row>
    <row r="2474" spans="1:7" x14ac:dyDescent="0.25">
      <c r="A2474" s="41" t="s">
        <v>5669</v>
      </c>
      <c r="B2474" s="41" t="s">
        <v>775</v>
      </c>
      <c r="C2474" s="41" t="s">
        <v>2928</v>
      </c>
      <c r="D2474" s="41" t="s">
        <v>5659</v>
      </c>
      <c r="E2474" s="41" t="s">
        <v>2929</v>
      </c>
      <c r="F2474" s="41" t="s">
        <v>2930</v>
      </c>
      <c r="G2474" s="41" t="s">
        <v>2931</v>
      </c>
    </row>
    <row r="2475" spans="1:7" x14ac:dyDescent="0.25">
      <c r="A2475" s="41" t="s">
        <v>5670</v>
      </c>
      <c r="B2475" s="41" t="s">
        <v>775</v>
      </c>
      <c r="C2475" s="41" t="s">
        <v>2928</v>
      </c>
      <c r="D2475" s="41" t="s">
        <v>5659</v>
      </c>
      <c r="E2475" s="41" t="s">
        <v>2929</v>
      </c>
      <c r="F2475" s="41" t="s">
        <v>2930</v>
      </c>
      <c r="G2475" s="41" t="s">
        <v>2931</v>
      </c>
    </row>
    <row r="2476" spans="1:7" x14ac:dyDescent="0.25">
      <c r="A2476" s="41" t="s">
        <v>5671</v>
      </c>
      <c r="B2476" s="41" t="s">
        <v>775</v>
      </c>
      <c r="C2476" s="41" t="s">
        <v>2928</v>
      </c>
      <c r="D2476" s="41" t="s">
        <v>5659</v>
      </c>
      <c r="E2476" s="41" t="s">
        <v>2929</v>
      </c>
      <c r="F2476" s="41" t="s">
        <v>2930</v>
      </c>
      <c r="G2476" s="41" t="s">
        <v>2931</v>
      </c>
    </row>
    <row r="2477" spans="1:7" x14ac:dyDescent="0.25">
      <c r="A2477" s="41" t="s">
        <v>5672</v>
      </c>
      <c r="B2477" s="41" t="s">
        <v>775</v>
      </c>
      <c r="C2477" s="41" t="s">
        <v>2928</v>
      </c>
      <c r="D2477" s="41" t="s">
        <v>5659</v>
      </c>
      <c r="E2477" s="41" t="s">
        <v>2929</v>
      </c>
      <c r="F2477" s="41" t="s">
        <v>2930</v>
      </c>
      <c r="G2477" s="41" t="s">
        <v>2931</v>
      </c>
    </row>
    <row r="2478" spans="1:7" x14ac:dyDescent="0.25">
      <c r="A2478" s="41" t="s">
        <v>5673</v>
      </c>
      <c r="B2478" s="41" t="s">
        <v>775</v>
      </c>
      <c r="C2478" s="41" t="s">
        <v>2928</v>
      </c>
      <c r="D2478" s="41" t="s">
        <v>5659</v>
      </c>
      <c r="E2478" s="41" t="s">
        <v>2929</v>
      </c>
      <c r="F2478" s="41" t="s">
        <v>2930</v>
      </c>
      <c r="G2478" s="41" t="s">
        <v>2931</v>
      </c>
    </row>
    <row r="2479" spans="1:7" x14ac:dyDescent="0.25">
      <c r="A2479" s="41" t="s">
        <v>5674</v>
      </c>
      <c r="B2479" s="41" t="s">
        <v>775</v>
      </c>
      <c r="C2479" s="41" t="s">
        <v>2928</v>
      </c>
      <c r="D2479" s="41" t="s">
        <v>5659</v>
      </c>
      <c r="E2479" s="41" t="s">
        <v>2929</v>
      </c>
      <c r="F2479" s="41" t="s">
        <v>2949</v>
      </c>
      <c r="G2479" s="41" t="s">
        <v>2950</v>
      </c>
    </row>
    <row r="2480" spans="1:7" x14ac:dyDescent="0.25">
      <c r="A2480" s="41" t="s">
        <v>5675</v>
      </c>
      <c r="B2480" s="41" t="s">
        <v>775</v>
      </c>
      <c r="C2480" s="41" t="s">
        <v>2928</v>
      </c>
      <c r="D2480" s="41" t="s">
        <v>5659</v>
      </c>
      <c r="E2480" s="41" t="s">
        <v>2929</v>
      </c>
      <c r="F2480" s="41" t="s">
        <v>2949</v>
      </c>
      <c r="G2480" s="41" t="s">
        <v>2950</v>
      </c>
    </row>
    <row r="2481" spans="1:7" x14ac:dyDescent="0.25">
      <c r="A2481" s="41" t="s">
        <v>5676</v>
      </c>
      <c r="B2481" s="41" t="s">
        <v>775</v>
      </c>
      <c r="C2481" s="41" t="s">
        <v>2928</v>
      </c>
      <c r="D2481" s="41" t="s">
        <v>5659</v>
      </c>
      <c r="E2481" s="41" t="s">
        <v>2929</v>
      </c>
      <c r="F2481" s="41" t="s">
        <v>2949</v>
      </c>
      <c r="G2481" s="41" t="s">
        <v>2950</v>
      </c>
    </row>
    <row r="2482" spans="1:7" x14ac:dyDescent="0.25">
      <c r="A2482" s="41" t="s">
        <v>5677</v>
      </c>
      <c r="B2482" s="41" t="s">
        <v>775</v>
      </c>
      <c r="C2482" s="41" t="s">
        <v>2928</v>
      </c>
      <c r="D2482" s="41" t="s">
        <v>5659</v>
      </c>
      <c r="E2482" s="41" t="s">
        <v>2929</v>
      </c>
      <c r="F2482" s="41" t="s">
        <v>2949</v>
      </c>
      <c r="G2482" s="41" t="s">
        <v>2950</v>
      </c>
    </row>
    <row r="2483" spans="1:7" x14ac:dyDescent="0.25">
      <c r="A2483" s="41" t="s">
        <v>5678</v>
      </c>
      <c r="B2483" s="41" t="s">
        <v>775</v>
      </c>
      <c r="C2483" s="41" t="s">
        <v>2928</v>
      </c>
      <c r="D2483" s="41" t="s">
        <v>5659</v>
      </c>
      <c r="E2483" s="41" t="s">
        <v>2929</v>
      </c>
      <c r="F2483" s="41" t="s">
        <v>2949</v>
      </c>
      <c r="G2483" s="41" t="s">
        <v>2950</v>
      </c>
    </row>
    <row r="2484" spans="1:7" x14ac:dyDescent="0.25">
      <c r="A2484" s="41" t="s">
        <v>5679</v>
      </c>
      <c r="B2484" s="41" t="s">
        <v>775</v>
      </c>
      <c r="C2484" s="41" t="s">
        <v>2928</v>
      </c>
      <c r="D2484" s="41" t="s">
        <v>5659</v>
      </c>
      <c r="E2484" s="41" t="s">
        <v>2929</v>
      </c>
      <c r="F2484" s="41" t="s">
        <v>2949</v>
      </c>
      <c r="G2484" s="41" t="s">
        <v>2950</v>
      </c>
    </row>
    <row r="2485" spans="1:7" x14ac:dyDescent="0.25">
      <c r="A2485" s="41" t="s">
        <v>5680</v>
      </c>
      <c r="B2485" s="41" t="s">
        <v>775</v>
      </c>
      <c r="C2485" s="41" t="s">
        <v>2928</v>
      </c>
      <c r="D2485" s="41" t="s">
        <v>5659</v>
      </c>
      <c r="E2485" s="41" t="s">
        <v>2929</v>
      </c>
      <c r="F2485" s="41" t="s">
        <v>2949</v>
      </c>
      <c r="G2485" s="41" t="s">
        <v>2950</v>
      </c>
    </row>
    <row r="2486" spans="1:7" x14ac:dyDescent="0.25">
      <c r="A2486" s="41" t="s">
        <v>5681</v>
      </c>
      <c r="B2486" s="41" t="s">
        <v>701</v>
      </c>
      <c r="C2486" s="41" t="s">
        <v>2928</v>
      </c>
      <c r="D2486" s="41" t="s">
        <v>5681</v>
      </c>
      <c r="E2486" s="41" t="s">
        <v>2929</v>
      </c>
      <c r="F2486" s="41" t="s">
        <v>2930</v>
      </c>
      <c r="G2486" s="41" t="s">
        <v>2931</v>
      </c>
    </row>
    <row r="2487" spans="1:7" x14ac:dyDescent="0.25">
      <c r="A2487" s="41" t="s">
        <v>5682</v>
      </c>
      <c r="B2487" s="41" t="s">
        <v>701</v>
      </c>
      <c r="C2487" s="41" t="s">
        <v>2928</v>
      </c>
      <c r="D2487" s="41" t="s">
        <v>5681</v>
      </c>
      <c r="E2487" s="41" t="s">
        <v>2929</v>
      </c>
      <c r="F2487" s="41" t="s">
        <v>2933</v>
      </c>
      <c r="G2487" s="41" t="s">
        <v>2934</v>
      </c>
    </row>
    <row r="2488" spans="1:7" x14ac:dyDescent="0.25">
      <c r="A2488" s="41" t="s">
        <v>5683</v>
      </c>
      <c r="B2488" s="41" t="s">
        <v>701</v>
      </c>
      <c r="C2488" s="41" t="s">
        <v>2928</v>
      </c>
      <c r="D2488" s="41" t="s">
        <v>5681</v>
      </c>
      <c r="E2488" s="41" t="s">
        <v>2929</v>
      </c>
      <c r="F2488" s="41" t="s">
        <v>2933</v>
      </c>
      <c r="G2488" s="41" t="s">
        <v>2934</v>
      </c>
    </row>
    <row r="2489" spans="1:7" x14ac:dyDescent="0.25">
      <c r="A2489" s="41" t="s">
        <v>5684</v>
      </c>
      <c r="B2489" s="41" t="s">
        <v>701</v>
      </c>
      <c r="C2489" s="41" t="s">
        <v>2928</v>
      </c>
      <c r="D2489" s="41" t="s">
        <v>5681</v>
      </c>
      <c r="E2489" s="41" t="s">
        <v>2929</v>
      </c>
      <c r="F2489" s="41" t="s">
        <v>2930</v>
      </c>
      <c r="G2489" s="41" t="s">
        <v>2931</v>
      </c>
    </row>
    <row r="2490" spans="1:7" x14ac:dyDescent="0.25">
      <c r="A2490" s="41" t="s">
        <v>5685</v>
      </c>
      <c r="B2490" s="41" t="s">
        <v>701</v>
      </c>
      <c r="C2490" s="41" t="s">
        <v>2928</v>
      </c>
      <c r="D2490" s="41" t="s">
        <v>5681</v>
      </c>
      <c r="E2490" s="41" t="s">
        <v>2929</v>
      </c>
      <c r="F2490" s="41" t="s">
        <v>2949</v>
      </c>
      <c r="G2490" s="41" t="s">
        <v>2950</v>
      </c>
    </row>
    <row r="2491" spans="1:7" x14ac:dyDescent="0.25">
      <c r="A2491" s="41" t="s">
        <v>5686</v>
      </c>
      <c r="B2491" s="41" t="s">
        <v>701</v>
      </c>
      <c r="C2491" s="41" t="s">
        <v>2928</v>
      </c>
      <c r="D2491" s="41" t="s">
        <v>5681</v>
      </c>
      <c r="E2491" s="41" t="s">
        <v>2929</v>
      </c>
      <c r="F2491" s="41" t="s">
        <v>2949</v>
      </c>
      <c r="G2491" s="41" t="s">
        <v>2950</v>
      </c>
    </row>
    <row r="2492" spans="1:7" x14ac:dyDescent="0.25">
      <c r="A2492" s="41" t="s">
        <v>5687</v>
      </c>
      <c r="B2492" s="41" t="s">
        <v>701</v>
      </c>
      <c r="C2492" s="41" t="s">
        <v>2928</v>
      </c>
      <c r="D2492" s="41" t="s">
        <v>5681</v>
      </c>
      <c r="E2492" s="41" t="s">
        <v>2929</v>
      </c>
      <c r="F2492" s="41" t="s">
        <v>2949</v>
      </c>
      <c r="G2492" s="41" t="s">
        <v>2950</v>
      </c>
    </row>
    <row r="2493" spans="1:7" x14ac:dyDescent="0.25">
      <c r="A2493" s="41" t="s">
        <v>5688</v>
      </c>
      <c r="B2493" s="41" t="s">
        <v>1063</v>
      </c>
      <c r="C2493" s="41" t="s">
        <v>2928</v>
      </c>
      <c r="D2493" s="41" t="s">
        <v>5688</v>
      </c>
      <c r="E2493" s="41" t="s">
        <v>2929</v>
      </c>
      <c r="F2493" s="41" t="s">
        <v>2930</v>
      </c>
      <c r="G2493" s="41" t="s">
        <v>2931</v>
      </c>
    </row>
    <row r="2494" spans="1:7" x14ac:dyDescent="0.25">
      <c r="A2494" s="41" t="s">
        <v>5689</v>
      </c>
      <c r="B2494" s="41" t="s">
        <v>1063</v>
      </c>
      <c r="C2494" s="41" t="s">
        <v>2928</v>
      </c>
      <c r="D2494" s="41" t="s">
        <v>5688</v>
      </c>
      <c r="E2494" s="41" t="s">
        <v>2929</v>
      </c>
      <c r="F2494" s="41" t="s">
        <v>2933</v>
      </c>
      <c r="G2494" s="41" t="s">
        <v>2934</v>
      </c>
    </row>
    <row r="2495" spans="1:7" x14ac:dyDescent="0.25">
      <c r="A2495" s="41" t="s">
        <v>5690</v>
      </c>
      <c r="B2495" s="41" t="s">
        <v>1063</v>
      </c>
      <c r="C2495" s="41" t="s">
        <v>2928</v>
      </c>
      <c r="D2495" s="41" t="s">
        <v>5688</v>
      </c>
      <c r="E2495" s="41" t="s">
        <v>2929</v>
      </c>
      <c r="F2495" s="41" t="s">
        <v>2930</v>
      </c>
      <c r="G2495" s="41" t="s">
        <v>2931</v>
      </c>
    </row>
    <row r="2496" spans="1:7" x14ac:dyDescent="0.25">
      <c r="A2496" s="41" t="s">
        <v>5691</v>
      </c>
      <c r="B2496" s="41" t="s">
        <v>1063</v>
      </c>
      <c r="C2496" s="41" t="s">
        <v>2928</v>
      </c>
      <c r="D2496" s="41" t="s">
        <v>5688</v>
      </c>
      <c r="E2496" s="41" t="s">
        <v>2929</v>
      </c>
      <c r="F2496" s="41" t="s">
        <v>2949</v>
      </c>
      <c r="G2496" s="41" t="s">
        <v>2950</v>
      </c>
    </row>
    <row r="2497" spans="1:7" x14ac:dyDescent="0.25">
      <c r="A2497" s="41" t="s">
        <v>5692</v>
      </c>
      <c r="B2497" s="41" t="s">
        <v>1136</v>
      </c>
      <c r="C2497" s="41" t="s">
        <v>2928</v>
      </c>
      <c r="D2497" s="41" t="s">
        <v>5692</v>
      </c>
      <c r="E2497" s="41" t="s">
        <v>2929</v>
      </c>
      <c r="F2497" s="41" t="s">
        <v>2930</v>
      </c>
      <c r="G2497" s="41" t="s">
        <v>2931</v>
      </c>
    </row>
    <row r="2498" spans="1:7" x14ac:dyDescent="0.25">
      <c r="A2498" s="41" t="s">
        <v>5693</v>
      </c>
      <c r="B2498" s="41" t="s">
        <v>1136</v>
      </c>
      <c r="C2498" s="41" t="s">
        <v>2928</v>
      </c>
      <c r="D2498" s="41" t="s">
        <v>5692</v>
      </c>
      <c r="E2498" s="41" t="s">
        <v>2929</v>
      </c>
      <c r="F2498" s="41" t="s">
        <v>2933</v>
      </c>
      <c r="G2498" s="41" t="s">
        <v>2934</v>
      </c>
    </row>
    <row r="2499" spans="1:7" x14ac:dyDescent="0.25">
      <c r="A2499" s="41" t="s">
        <v>5694</v>
      </c>
      <c r="B2499" s="41" t="s">
        <v>1136</v>
      </c>
      <c r="C2499" s="41" t="s">
        <v>2928</v>
      </c>
      <c r="D2499" s="41" t="s">
        <v>5692</v>
      </c>
      <c r="E2499" s="41" t="s">
        <v>2929</v>
      </c>
      <c r="F2499" s="41" t="s">
        <v>2949</v>
      </c>
      <c r="G2499" s="41" t="s">
        <v>2950</v>
      </c>
    </row>
    <row r="2500" spans="1:7" x14ac:dyDescent="0.25">
      <c r="A2500" s="41" t="s">
        <v>5695</v>
      </c>
      <c r="B2500" s="41" t="s">
        <v>788</v>
      </c>
      <c r="C2500" s="41" t="s">
        <v>2928</v>
      </c>
      <c r="D2500" s="41" t="s">
        <v>5695</v>
      </c>
      <c r="E2500" s="41" t="s">
        <v>2929</v>
      </c>
      <c r="F2500" s="41" t="s">
        <v>2930</v>
      </c>
      <c r="G2500" s="41" t="s">
        <v>2931</v>
      </c>
    </row>
    <row r="2501" spans="1:7" x14ac:dyDescent="0.25">
      <c r="A2501" s="41" t="s">
        <v>5696</v>
      </c>
      <c r="B2501" s="41" t="s">
        <v>788</v>
      </c>
      <c r="C2501" s="41" t="s">
        <v>2928</v>
      </c>
      <c r="D2501" s="41" t="s">
        <v>5695</v>
      </c>
      <c r="E2501" s="41" t="s">
        <v>2929</v>
      </c>
      <c r="F2501" s="41" t="s">
        <v>2933</v>
      </c>
      <c r="G2501" s="41" t="s">
        <v>2934</v>
      </c>
    </row>
    <row r="2502" spans="1:7" x14ac:dyDescent="0.25">
      <c r="A2502" s="41" t="s">
        <v>5697</v>
      </c>
      <c r="B2502" s="41" t="s">
        <v>788</v>
      </c>
      <c r="C2502" s="41" t="s">
        <v>2928</v>
      </c>
      <c r="D2502" s="41" t="s">
        <v>5695</v>
      </c>
      <c r="E2502" s="41" t="s">
        <v>2929</v>
      </c>
      <c r="F2502" s="41" t="s">
        <v>2930</v>
      </c>
      <c r="G2502" s="41" t="s">
        <v>2931</v>
      </c>
    </row>
    <row r="2503" spans="1:7" x14ac:dyDescent="0.25">
      <c r="A2503" s="41" t="s">
        <v>5698</v>
      </c>
      <c r="B2503" s="41" t="s">
        <v>788</v>
      </c>
      <c r="C2503" s="41" t="s">
        <v>2928</v>
      </c>
      <c r="D2503" s="41" t="s">
        <v>5695</v>
      </c>
      <c r="E2503" s="41" t="s">
        <v>2929</v>
      </c>
      <c r="F2503" s="41" t="s">
        <v>2930</v>
      </c>
      <c r="G2503" s="41" t="s">
        <v>2931</v>
      </c>
    </row>
    <row r="2504" spans="1:7" x14ac:dyDescent="0.25">
      <c r="A2504" s="41" t="s">
        <v>5699</v>
      </c>
      <c r="B2504" s="41" t="s">
        <v>788</v>
      </c>
      <c r="C2504" s="41" t="s">
        <v>2928</v>
      </c>
      <c r="D2504" s="41" t="s">
        <v>5695</v>
      </c>
      <c r="E2504" s="41" t="s">
        <v>2929</v>
      </c>
      <c r="F2504" s="41" t="s">
        <v>2949</v>
      </c>
      <c r="G2504" s="41" t="s">
        <v>2950</v>
      </c>
    </row>
    <row r="2505" spans="1:7" x14ac:dyDescent="0.25">
      <c r="A2505" s="41" t="s">
        <v>5700</v>
      </c>
      <c r="B2505" s="41" t="s">
        <v>745</v>
      </c>
      <c r="C2505" s="41" t="s">
        <v>2928</v>
      </c>
      <c r="D2505" s="41" t="s">
        <v>5700</v>
      </c>
      <c r="E2505" s="41" t="s">
        <v>2929</v>
      </c>
      <c r="F2505" s="41" t="s">
        <v>2930</v>
      </c>
      <c r="G2505" s="41" t="s">
        <v>2931</v>
      </c>
    </row>
    <row r="2506" spans="1:7" x14ac:dyDescent="0.25">
      <c r="A2506" s="41" t="s">
        <v>5701</v>
      </c>
      <c r="B2506" s="41" t="s">
        <v>745</v>
      </c>
      <c r="C2506" s="41" t="s">
        <v>2928</v>
      </c>
      <c r="D2506" s="41" t="s">
        <v>5700</v>
      </c>
      <c r="E2506" s="41" t="s">
        <v>2929</v>
      </c>
      <c r="F2506" s="41" t="s">
        <v>2933</v>
      </c>
      <c r="G2506" s="41" t="s">
        <v>2934</v>
      </c>
    </row>
    <row r="2507" spans="1:7" x14ac:dyDescent="0.25">
      <c r="A2507" s="41" t="s">
        <v>5702</v>
      </c>
      <c r="B2507" s="41" t="s">
        <v>745</v>
      </c>
      <c r="C2507" s="41" t="s">
        <v>2928</v>
      </c>
      <c r="D2507" s="41" t="s">
        <v>5700</v>
      </c>
      <c r="E2507" s="41" t="s">
        <v>2929</v>
      </c>
      <c r="F2507" s="41" t="s">
        <v>2933</v>
      </c>
      <c r="G2507" s="41" t="s">
        <v>2934</v>
      </c>
    </row>
    <row r="2508" spans="1:7" x14ac:dyDescent="0.25">
      <c r="A2508" s="41" t="s">
        <v>5703</v>
      </c>
      <c r="B2508" s="41" t="s">
        <v>745</v>
      </c>
      <c r="C2508" s="41" t="s">
        <v>2928</v>
      </c>
      <c r="D2508" s="41" t="s">
        <v>5700</v>
      </c>
      <c r="E2508" s="41" t="s">
        <v>2929</v>
      </c>
      <c r="F2508" s="41" t="s">
        <v>2933</v>
      </c>
      <c r="G2508" s="41" t="s">
        <v>2934</v>
      </c>
    </row>
    <row r="2509" spans="1:7" x14ac:dyDescent="0.25">
      <c r="A2509" s="41" t="s">
        <v>5704</v>
      </c>
      <c r="B2509" s="41" t="s">
        <v>745</v>
      </c>
      <c r="C2509" s="41" t="s">
        <v>2928</v>
      </c>
      <c r="D2509" s="41" t="s">
        <v>5700</v>
      </c>
      <c r="E2509" s="41" t="s">
        <v>2929</v>
      </c>
      <c r="F2509" s="41" t="s">
        <v>2933</v>
      </c>
      <c r="G2509" s="41" t="s">
        <v>2934</v>
      </c>
    </row>
    <row r="2510" spans="1:7" x14ac:dyDescent="0.25">
      <c r="A2510" s="41" t="s">
        <v>5705</v>
      </c>
      <c r="B2510" s="41" t="s">
        <v>745</v>
      </c>
      <c r="C2510" s="41" t="s">
        <v>2928</v>
      </c>
      <c r="D2510" s="41" t="s">
        <v>5700</v>
      </c>
      <c r="E2510" s="41" t="s">
        <v>2929</v>
      </c>
      <c r="F2510" s="41" t="s">
        <v>2933</v>
      </c>
      <c r="G2510" s="41" t="s">
        <v>2934</v>
      </c>
    </row>
    <row r="2511" spans="1:7" x14ac:dyDescent="0.25">
      <c r="A2511" s="41" t="s">
        <v>5706</v>
      </c>
      <c r="B2511" s="41" t="s">
        <v>745</v>
      </c>
      <c r="C2511" s="41" t="s">
        <v>2928</v>
      </c>
      <c r="D2511" s="41" t="s">
        <v>5700</v>
      </c>
      <c r="E2511" s="41" t="s">
        <v>2929</v>
      </c>
      <c r="F2511" s="41" t="s">
        <v>2933</v>
      </c>
      <c r="G2511" s="41" t="s">
        <v>2934</v>
      </c>
    </row>
    <row r="2512" spans="1:7" x14ac:dyDescent="0.25">
      <c r="A2512" s="41" t="s">
        <v>5707</v>
      </c>
      <c r="B2512" s="41" t="s">
        <v>745</v>
      </c>
      <c r="C2512" s="41" t="s">
        <v>2928</v>
      </c>
      <c r="D2512" s="41" t="s">
        <v>5700</v>
      </c>
      <c r="E2512" s="41" t="s">
        <v>2929</v>
      </c>
      <c r="F2512" s="41" t="s">
        <v>2933</v>
      </c>
      <c r="G2512" s="41" t="s">
        <v>2934</v>
      </c>
    </row>
    <row r="2513" spans="1:7" x14ac:dyDescent="0.25">
      <c r="A2513" s="41" t="s">
        <v>5708</v>
      </c>
      <c r="B2513" s="41" t="s">
        <v>745</v>
      </c>
      <c r="C2513" s="41" t="s">
        <v>2928</v>
      </c>
      <c r="D2513" s="41" t="s">
        <v>5700</v>
      </c>
      <c r="E2513" s="41" t="s">
        <v>2929</v>
      </c>
      <c r="F2513" s="41" t="s">
        <v>2930</v>
      </c>
      <c r="G2513" s="41" t="s">
        <v>2931</v>
      </c>
    </row>
    <row r="2514" spans="1:7" x14ac:dyDescent="0.25">
      <c r="A2514" s="41" t="s">
        <v>5709</v>
      </c>
      <c r="B2514" s="41" t="s">
        <v>745</v>
      </c>
      <c r="C2514" s="41" t="s">
        <v>2928</v>
      </c>
      <c r="D2514" s="41" t="s">
        <v>5700</v>
      </c>
      <c r="E2514" s="41" t="s">
        <v>2929</v>
      </c>
      <c r="F2514" s="41" t="s">
        <v>2930</v>
      </c>
      <c r="G2514" s="41" t="s">
        <v>2931</v>
      </c>
    </row>
    <row r="2515" spans="1:7" x14ac:dyDescent="0.25">
      <c r="A2515" s="41" t="s">
        <v>5710</v>
      </c>
      <c r="B2515" s="41" t="s">
        <v>745</v>
      </c>
      <c r="C2515" s="41" t="s">
        <v>2928</v>
      </c>
      <c r="D2515" s="41" t="s">
        <v>5700</v>
      </c>
      <c r="E2515" s="41" t="s">
        <v>2929</v>
      </c>
      <c r="F2515" s="41" t="s">
        <v>2930</v>
      </c>
      <c r="G2515" s="41" t="s">
        <v>2931</v>
      </c>
    </row>
    <row r="2516" spans="1:7" x14ac:dyDescent="0.25">
      <c r="A2516" s="41" t="s">
        <v>5711</v>
      </c>
      <c r="B2516" s="41" t="s">
        <v>745</v>
      </c>
      <c r="C2516" s="41" t="s">
        <v>2928</v>
      </c>
      <c r="D2516" s="41" t="s">
        <v>5700</v>
      </c>
      <c r="E2516" s="41" t="s">
        <v>2929</v>
      </c>
      <c r="F2516" s="41" t="s">
        <v>2930</v>
      </c>
      <c r="G2516" s="41" t="s">
        <v>2931</v>
      </c>
    </row>
    <row r="2517" spans="1:7" x14ac:dyDescent="0.25">
      <c r="A2517" s="41" t="s">
        <v>5712</v>
      </c>
      <c r="B2517" s="41" t="s">
        <v>745</v>
      </c>
      <c r="C2517" s="41" t="s">
        <v>2928</v>
      </c>
      <c r="D2517" s="41" t="s">
        <v>5700</v>
      </c>
      <c r="E2517" s="41" t="s">
        <v>2929</v>
      </c>
      <c r="F2517" s="41" t="s">
        <v>2930</v>
      </c>
      <c r="G2517" s="41" t="s">
        <v>2931</v>
      </c>
    </row>
    <row r="2518" spans="1:7" x14ac:dyDescent="0.25">
      <c r="A2518" s="41" t="s">
        <v>5713</v>
      </c>
      <c r="B2518" s="41" t="s">
        <v>745</v>
      </c>
      <c r="C2518" s="41" t="s">
        <v>2928</v>
      </c>
      <c r="D2518" s="41" t="s">
        <v>5700</v>
      </c>
      <c r="E2518" s="41" t="s">
        <v>2929</v>
      </c>
      <c r="F2518" s="41" t="s">
        <v>2930</v>
      </c>
      <c r="G2518" s="41" t="s">
        <v>2931</v>
      </c>
    </row>
    <row r="2519" spans="1:7" x14ac:dyDescent="0.25">
      <c r="A2519" s="41" t="s">
        <v>5714</v>
      </c>
      <c r="B2519" s="41" t="s">
        <v>745</v>
      </c>
      <c r="C2519" s="41" t="s">
        <v>2928</v>
      </c>
      <c r="D2519" s="41" t="s">
        <v>5700</v>
      </c>
      <c r="E2519" s="41" t="s">
        <v>2929</v>
      </c>
      <c r="F2519" s="41" t="s">
        <v>2930</v>
      </c>
      <c r="G2519" s="41" t="s">
        <v>2931</v>
      </c>
    </row>
    <row r="2520" spans="1:7" x14ac:dyDescent="0.25">
      <c r="A2520" s="41" t="s">
        <v>5715</v>
      </c>
      <c r="B2520" s="41" t="s">
        <v>745</v>
      </c>
      <c r="C2520" s="41" t="s">
        <v>2928</v>
      </c>
      <c r="D2520" s="41" t="s">
        <v>5700</v>
      </c>
      <c r="E2520" s="41" t="s">
        <v>2929</v>
      </c>
      <c r="F2520" s="41" t="s">
        <v>2949</v>
      </c>
      <c r="G2520" s="41" t="s">
        <v>2950</v>
      </c>
    </row>
    <row r="2521" spans="1:7" x14ac:dyDescent="0.25">
      <c r="A2521" s="41" t="s">
        <v>5716</v>
      </c>
      <c r="B2521" s="41" t="s">
        <v>745</v>
      </c>
      <c r="C2521" s="41" t="s">
        <v>2928</v>
      </c>
      <c r="D2521" s="41" t="s">
        <v>5700</v>
      </c>
      <c r="E2521" s="41" t="s">
        <v>2929</v>
      </c>
      <c r="F2521" s="41" t="s">
        <v>2949</v>
      </c>
      <c r="G2521" s="41" t="s">
        <v>2950</v>
      </c>
    </row>
    <row r="2522" spans="1:7" x14ac:dyDescent="0.25">
      <c r="A2522" s="41" t="s">
        <v>5717</v>
      </c>
      <c r="B2522" s="41" t="s">
        <v>745</v>
      </c>
      <c r="C2522" s="41" t="s">
        <v>2928</v>
      </c>
      <c r="D2522" s="41" t="s">
        <v>5700</v>
      </c>
      <c r="E2522" s="41" t="s">
        <v>2929</v>
      </c>
      <c r="F2522" s="41" t="s">
        <v>2949</v>
      </c>
      <c r="G2522" s="41" t="s">
        <v>2950</v>
      </c>
    </row>
    <row r="2523" spans="1:7" x14ac:dyDescent="0.25">
      <c r="A2523" s="41" t="s">
        <v>5718</v>
      </c>
      <c r="B2523" s="41" t="s">
        <v>745</v>
      </c>
      <c r="C2523" s="41" t="s">
        <v>2928</v>
      </c>
      <c r="D2523" s="41" t="s">
        <v>5700</v>
      </c>
      <c r="E2523" s="41" t="s">
        <v>2929</v>
      </c>
      <c r="F2523" s="41" t="s">
        <v>2949</v>
      </c>
      <c r="G2523" s="41" t="s">
        <v>2950</v>
      </c>
    </row>
    <row r="2524" spans="1:7" x14ac:dyDescent="0.25">
      <c r="A2524" s="41" t="s">
        <v>5719</v>
      </c>
      <c r="B2524" s="41" t="s">
        <v>745</v>
      </c>
      <c r="C2524" s="41" t="s">
        <v>2928</v>
      </c>
      <c r="D2524" s="41" t="s">
        <v>5700</v>
      </c>
      <c r="E2524" s="41" t="s">
        <v>2929</v>
      </c>
      <c r="F2524" s="41" t="s">
        <v>2949</v>
      </c>
      <c r="G2524" s="41" t="s">
        <v>2950</v>
      </c>
    </row>
    <row r="2525" spans="1:7" x14ac:dyDescent="0.25">
      <c r="A2525" s="41" t="s">
        <v>5720</v>
      </c>
      <c r="B2525" s="41" t="s">
        <v>745</v>
      </c>
      <c r="C2525" s="41" t="s">
        <v>2928</v>
      </c>
      <c r="D2525" s="41" t="s">
        <v>5700</v>
      </c>
      <c r="E2525" s="41" t="s">
        <v>2929</v>
      </c>
      <c r="F2525" s="41" t="s">
        <v>2949</v>
      </c>
      <c r="G2525" s="41" t="s">
        <v>2950</v>
      </c>
    </row>
    <row r="2526" spans="1:7" x14ac:dyDescent="0.25">
      <c r="A2526" s="41" t="s">
        <v>5721</v>
      </c>
      <c r="B2526" s="41" t="s">
        <v>745</v>
      </c>
      <c r="C2526" s="41" t="s">
        <v>2928</v>
      </c>
      <c r="D2526" s="41" t="s">
        <v>5700</v>
      </c>
      <c r="E2526" s="41" t="s">
        <v>2929</v>
      </c>
      <c r="F2526" s="41" t="s">
        <v>2949</v>
      </c>
      <c r="G2526" s="41" t="s">
        <v>2950</v>
      </c>
    </row>
    <row r="2527" spans="1:7" x14ac:dyDescent="0.25">
      <c r="A2527" s="41" t="s">
        <v>5722</v>
      </c>
      <c r="B2527" s="41" t="s">
        <v>5723</v>
      </c>
      <c r="C2527" s="41" t="s">
        <v>2928</v>
      </c>
      <c r="D2527" s="41" t="s">
        <v>5722</v>
      </c>
      <c r="E2527" s="41" t="s">
        <v>2929</v>
      </c>
      <c r="F2527" s="41" t="s">
        <v>2930</v>
      </c>
      <c r="G2527" s="41" t="s">
        <v>2931</v>
      </c>
    </row>
    <row r="2528" spans="1:7" x14ac:dyDescent="0.25">
      <c r="A2528" s="41" t="s">
        <v>5724</v>
      </c>
      <c r="B2528" s="41" t="s">
        <v>5723</v>
      </c>
      <c r="C2528" s="41" t="s">
        <v>2928</v>
      </c>
      <c r="D2528" s="41" t="s">
        <v>5722</v>
      </c>
      <c r="E2528" s="41" t="s">
        <v>2929</v>
      </c>
      <c r="F2528" s="41" t="s">
        <v>2933</v>
      </c>
      <c r="G2528" s="41" t="s">
        <v>2934</v>
      </c>
    </row>
    <row r="2529" spans="1:7" x14ac:dyDescent="0.25">
      <c r="A2529" s="41" t="s">
        <v>5725</v>
      </c>
      <c r="B2529" s="41" t="s">
        <v>5723</v>
      </c>
      <c r="C2529" s="41" t="s">
        <v>2928</v>
      </c>
      <c r="D2529" s="41" t="s">
        <v>5722</v>
      </c>
      <c r="E2529" s="41" t="s">
        <v>2929</v>
      </c>
      <c r="F2529" s="41" t="s">
        <v>2933</v>
      </c>
      <c r="G2529" s="41" t="s">
        <v>2934</v>
      </c>
    </row>
    <row r="2530" spans="1:7" x14ac:dyDescent="0.25">
      <c r="A2530" s="41" t="s">
        <v>5726</v>
      </c>
      <c r="B2530" s="41" t="s">
        <v>5723</v>
      </c>
      <c r="C2530" s="41" t="s">
        <v>2928</v>
      </c>
      <c r="D2530" s="41" t="s">
        <v>5722</v>
      </c>
      <c r="E2530" s="41" t="s">
        <v>2929</v>
      </c>
      <c r="F2530" s="41" t="s">
        <v>2933</v>
      </c>
      <c r="G2530" s="41" t="s">
        <v>2934</v>
      </c>
    </row>
    <row r="2531" spans="1:7" x14ac:dyDescent="0.25">
      <c r="A2531" s="41" t="s">
        <v>5727</v>
      </c>
      <c r="B2531" s="41" t="s">
        <v>5723</v>
      </c>
      <c r="C2531" s="41" t="s">
        <v>2928</v>
      </c>
      <c r="D2531" s="41" t="s">
        <v>5722</v>
      </c>
      <c r="E2531" s="41" t="s">
        <v>2929</v>
      </c>
      <c r="F2531" s="41" t="s">
        <v>2933</v>
      </c>
      <c r="G2531" s="41" t="s">
        <v>2934</v>
      </c>
    </row>
    <row r="2532" spans="1:7" x14ac:dyDescent="0.25">
      <c r="A2532" s="41" t="s">
        <v>5728</v>
      </c>
      <c r="B2532" s="41" t="s">
        <v>5723</v>
      </c>
      <c r="C2532" s="41" t="s">
        <v>2928</v>
      </c>
      <c r="D2532" s="41" t="s">
        <v>5722</v>
      </c>
      <c r="E2532" s="41" t="s">
        <v>2929</v>
      </c>
      <c r="F2532" s="41" t="s">
        <v>2933</v>
      </c>
      <c r="G2532" s="41" t="s">
        <v>2934</v>
      </c>
    </row>
    <row r="2533" spans="1:7" x14ac:dyDescent="0.25">
      <c r="A2533" s="41" t="s">
        <v>5729</v>
      </c>
      <c r="B2533" s="41" t="s">
        <v>5723</v>
      </c>
      <c r="C2533" s="41" t="s">
        <v>2928</v>
      </c>
      <c r="D2533" s="41" t="s">
        <v>5722</v>
      </c>
      <c r="E2533" s="41" t="s">
        <v>2929</v>
      </c>
      <c r="F2533" s="41" t="s">
        <v>2933</v>
      </c>
      <c r="G2533" s="41" t="s">
        <v>2934</v>
      </c>
    </row>
    <row r="2534" spans="1:7" x14ac:dyDescent="0.25">
      <c r="A2534" s="41" t="s">
        <v>5730</v>
      </c>
      <c r="B2534" s="41" t="s">
        <v>5723</v>
      </c>
      <c r="C2534" s="41" t="s">
        <v>2928</v>
      </c>
      <c r="D2534" s="41" t="s">
        <v>5722</v>
      </c>
      <c r="E2534" s="41" t="s">
        <v>2929</v>
      </c>
      <c r="F2534" s="41" t="s">
        <v>2933</v>
      </c>
      <c r="G2534" s="41" t="s">
        <v>2934</v>
      </c>
    </row>
    <row r="2535" spans="1:7" x14ac:dyDescent="0.25">
      <c r="A2535" s="41" t="s">
        <v>5731</v>
      </c>
      <c r="B2535" s="41" t="s">
        <v>5723</v>
      </c>
      <c r="C2535" s="41" t="s">
        <v>2928</v>
      </c>
      <c r="D2535" s="41" t="s">
        <v>5722</v>
      </c>
      <c r="E2535" s="41" t="s">
        <v>2929</v>
      </c>
      <c r="F2535" s="41" t="s">
        <v>2930</v>
      </c>
      <c r="G2535" s="41" t="s">
        <v>2931</v>
      </c>
    </row>
    <row r="2536" spans="1:7" x14ac:dyDescent="0.25">
      <c r="A2536" s="41" t="s">
        <v>5732</v>
      </c>
      <c r="B2536" s="41" t="s">
        <v>5723</v>
      </c>
      <c r="C2536" s="41" t="s">
        <v>2928</v>
      </c>
      <c r="D2536" s="41" t="s">
        <v>5722</v>
      </c>
      <c r="E2536" s="41" t="s">
        <v>2929</v>
      </c>
      <c r="F2536" s="41" t="s">
        <v>2930</v>
      </c>
      <c r="G2536" s="41" t="s">
        <v>2931</v>
      </c>
    </row>
    <row r="2537" spans="1:7" x14ac:dyDescent="0.25">
      <c r="A2537" s="41" t="s">
        <v>5733</v>
      </c>
      <c r="B2537" s="41" t="s">
        <v>5723</v>
      </c>
      <c r="C2537" s="41" t="s">
        <v>2928</v>
      </c>
      <c r="D2537" s="41" t="s">
        <v>5722</v>
      </c>
      <c r="E2537" s="41" t="s">
        <v>2929</v>
      </c>
      <c r="F2537" s="41" t="s">
        <v>2930</v>
      </c>
      <c r="G2537" s="41" t="s">
        <v>2931</v>
      </c>
    </row>
    <row r="2538" spans="1:7" x14ac:dyDescent="0.25">
      <c r="A2538" s="41" t="s">
        <v>5734</v>
      </c>
      <c r="B2538" s="41" t="s">
        <v>5723</v>
      </c>
      <c r="C2538" s="41" t="s">
        <v>2928</v>
      </c>
      <c r="D2538" s="41" t="s">
        <v>5722</v>
      </c>
      <c r="E2538" s="41" t="s">
        <v>2929</v>
      </c>
      <c r="F2538" s="41" t="s">
        <v>2930</v>
      </c>
      <c r="G2538" s="41" t="s">
        <v>2931</v>
      </c>
    </row>
    <row r="2539" spans="1:7" x14ac:dyDescent="0.25">
      <c r="A2539" s="41" t="s">
        <v>5735</v>
      </c>
      <c r="B2539" s="41" t="s">
        <v>5723</v>
      </c>
      <c r="C2539" s="41" t="s">
        <v>2928</v>
      </c>
      <c r="D2539" s="41" t="s">
        <v>5722</v>
      </c>
      <c r="E2539" s="41" t="s">
        <v>2929</v>
      </c>
      <c r="F2539" s="41" t="s">
        <v>2930</v>
      </c>
      <c r="G2539" s="41" t="s">
        <v>2931</v>
      </c>
    </row>
    <row r="2540" spans="1:7" x14ac:dyDescent="0.25">
      <c r="A2540" s="41" t="s">
        <v>5736</v>
      </c>
      <c r="B2540" s="41" t="s">
        <v>5723</v>
      </c>
      <c r="C2540" s="41" t="s">
        <v>2928</v>
      </c>
      <c r="D2540" s="41" t="s">
        <v>5722</v>
      </c>
      <c r="E2540" s="41" t="s">
        <v>2929</v>
      </c>
      <c r="F2540" s="41" t="s">
        <v>2930</v>
      </c>
      <c r="G2540" s="41" t="s">
        <v>2931</v>
      </c>
    </row>
    <row r="2541" spans="1:7" x14ac:dyDescent="0.25">
      <c r="A2541" s="41" t="s">
        <v>5737</v>
      </c>
      <c r="B2541" s="41" t="s">
        <v>5723</v>
      </c>
      <c r="C2541" s="41" t="s">
        <v>2928</v>
      </c>
      <c r="D2541" s="41" t="s">
        <v>5722</v>
      </c>
      <c r="E2541" s="41" t="s">
        <v>2929</v>
      </c>
      <c r="F2541" s="41" t="s">
        <v>2930</v>
      </c>
      <c r="G2541" s="41" t="s">
        <v>2931</v>
      </c>
    </row>
    <row r="2542" spans="1:7" x14ac:dyDescent="0.25">
      <c r="A2542" s="41" t="s">
        <v>5738</v>
      </c>
      <c r="B2542" s="41" t="s">
        <v>5723</v>
      </c>
      <c r="C2542" s="41" t="s">
        <v>2928</v>
      </c>
      <c r="D2542" s="41" t="s">
        <v>5722</v>
      </c>
      <c r="E2542" s="41" t="s">
        <v>2929</v>
      </c>
      <c r="F2542" s="41" t="s">
        <v>2949</v>
      </c>
      <c r="G2542" s="41" t="s">
        <v>2950</v>
      </c>
    </row>
    <row r="2543" spans="1:7" x14ac:dyDescent="0.25">
      <c r="A2543" s="41" t="s">
        <v>5739</v>
      </c>
      <c r="B2543" s="41" t="s">
        <v>5723</v>
      </c>
      <c r="C2543" s="41" t="s">
        <v>2928</v>
      </c>
      <c r="D2543" s="41" t="s">
        <v>5722</v>
      </c>
      <c r="E2543" s="41" t="s">
        <v>2929</v>
      </c>
      <c r="F2543" s="41" t="s">
        <v>2949</v>
      </c>
      <c r="G2543" s="41" t="s">
        <v>2950</v>
      </c>
    </row>
    <row r="2544" spans="1:7" x14ac:dyDescent="0.25">
      <c r="A2544" s="41" t="s">
        <v>5740</v>
      </c>
      <c r="B2544" s="41" t="s">
        <v>5723</v>
      </c>
      <c r="C2544" s="41" t="s">
        <v>2928</v>
      </c>
      <c r="D2544" s="41" t="s">
        <v>5722</v>
      </c>
      <c r="E2544" s="41" t="s">
        <v>2929</v>
      </c>
      <c r="F2544" s="41" t="s">
        <v>2949</v>
      </c>
      <c r="G2544" s="41" t="s">
        <v>2950</v>
      </c>
    </row>
    <row r="2545" spans="1:7" x14ac:dyDescent="0.25">
      <c r="A2545" s="41" t="s">
        <v>5741</v>
      </c>
      <c r="B2545" s="41" t="s">
        <v>5723</v>
      </c>
      <c r="C2545" s="41" t="s">
        <v>2928</v>
      </c>
      <c r="D2545" s="41" t="s">
        <v>5722</v>
      </c>
      <c r="E2545" s="41" t="s">
        <v>2929</v>
      </c>
      <c r="F2545" s="41" t="s">
        <v>2949</v>
      </c>
      <c r="G2545" s="41" t="s">
        <v>2950</v>
      </c>
    </row>
    <row r="2546" spans="1:7" x14ac:dyDescent="0.25">
      <c r="A2546" s="41" t="s">
        <v>5742</v>
      </c>
      <c r="B2546" s="41" t="s">
        <v>5723</v>
      </c>
      <c r="C2546" s="41" t="s">
        <v>2928</v>
      </c>
      <c r="D2546" s="41" t="s">
        <v>5722</v>
      </c>
      <c r="E2546" s="41" t="s">
        <v>2929</v>
      </c>
      <c r="F2546" s="41" t="s">
        <v>2949</v>
      </c>
      <c r="G2546" s="41" t="s">
        <v>2950</v>
      </c>
    </row>
    <row r="2547" spans="1:7" x14ac:dyDescent="0.25">
      <c r="A2547" s="41" t="s">
        <v>5743</v>
      </c>
      <c r="B2547" s="41" t="s">
        <v>5723</v>
      </c>
      <c r="C2547" s="41" t="s">
        <v>2928</v>
      </c>
      <c r="D2547" s="41" t="s">
        <v>5722</v>
      </c>
      <c r="E2547" s="41" t="s">
        <v>2929</v>
      </c>
      <c r="F2547" s="41" t="s">
        <v>2949</v>
      </c>
      <c r="G2547" s="41" t="s">
        <v>2950</v>
      </c>
    </row>
    <row r="2548" spans="1:7" x14ac:dyDescent="0.25">
      <c r="A2548" s="41" t="s">
        <v>5744</v>
      </c>
      <c r="B2548" s="41" t="s">
        <v>5723</v>
      </c>
      <c r="C2548" s="41" t="s">
        <v>2928</v>
      </c>
      <c r="D2548" s="41" t="s">
        <v>5722</v>
      </c>
      <c r="E2548" s="41" t="s">
        <v>2929</v>
      </c>
      <c r="F2548" s="41" t="s">
        <v>2949</v>
      </c>
      <c r="G2548" s="41" t="s">
        <v>2950</v>
      </c>
    </row>
    <row r="2549" spans="1:7" x14ac:dyDescent="0.25">
      <c r="A2549" s="41" t="s">
        <v>5745</v>
      </c>
      <c r="B2549" s="41" t="s">
        <v>5746</v>
      </c>
      <c r="C2549" s="41" t="s">
        <v>2928</v>
      </c>
      <c r="D2549" s="41" t="s">
        <v>5745</v>
      </c>
      <c r="E2549" s="41" t="s">
        <v>2929</v>
      </c>
      <c r="F2549" s="41" t="s">
        <v>2930</v>
      </c>
      <c r="G2549" s="41" t="s">
        <v>2931</v>
      </c>
    </row>
    <row r="2550" spans="1:7" x14ac:dyDescent="0.25">
      <c r="A2550" s="41" t="s">
        <v>5747</v>
      </c>
      <c r="B2550" s="41" t="s">
        <v>5746</v>
      </c>
      <c r="C2550" s="41" t="s">
        <v>2928</v>
      </c>
      <c r="D2550" s="41" t="s">
        <v>5745</v>
      </c>
      <c r="E2550" s="41" t="s">
        <v>2929</v>
      </c>
      <c r="F2550" s="41" t="s">
        <v>2933</v>
      </c>
      <c r="G2550" s="41" t="s">
        <v>2934</v>
      </c>
    </row>
    <row r="2551" spans="1:7" x14ac:dyDescent="0.25">
      <c r="A2551" s="41" t="s">
        <v>5748</v>
      </c>
      <c r="B2551" s="41" t="s">
        <v>5746</v>
      </c>
      <c r="C2551" s="41" t="s">
        <v>2928</v>
      </c>
      <c r="D2551" s="41" t="s">
        <v>5745</v>
      </c>
      <c r="E2551" s="41" t="s">
        <v>2929</v>
      </c>
      <c r="F2551" s="41" t="s">
        <v>2933</v>
      </c>
      <c r="G2551" s="41" t="s">
        <v>2934</v>
      </c>
    </row>
    <row r="2552" spans="1:7" x14ac:dyDescent="0.25">
      <c r="A2552" s="41" t="s">
        <v>5749</v>
      </c>
      <c r="B2552" s="41" t="s">
        <v>5746</v>
      </c>
      <c r="C2552" s="41" t="s">
        <v>2928</v>
      </c>
      <c r="D2552" s="41" t="s">
        <v>5745</v>
      </c>
      <c r="E2552" s="41" t="s">
        <v>2929</v>
      </c>
      <c r="F2552" s="41" t="s">
        <v>2933</v>
      </c>
      <c r="G2552" s="41" t="s">
        <v>2934</v>
      </c>
    </row>
    <row r="2553" spans="1:7" x14ac:dyDescent="0.25">
      <c r="A2553" s="41" t="s">
        <v>5750</v>
      </c>
      <c r="B2553" s="41" t="s">
        <v>5746</v>
      </c>
      <c r="C2553" s="41" t="s">
        <v>2928</v>
      </c>
      <c r="D2553" s="41" t="s">
        <v>5745</v>
      </c>
      <c r="E2553" s="41" t="s">
        <v>2929</v>
      </c>
      <c r="F2553" s="41" t="s">
        <v>2933</v>
      </c>
      <c r="G2553" s="41" t="s">
        <v>2934</v>
      </c>
    </row>
    <row r="2554" spans="1:7" x14ac:dyDescent="0.25">
      <c r="A2554" s="41" t="s">
        <v>5751</v>
      </c>
      <c r="B2554" s="41" t="s">
        <v>5746</v>
      </c>
      <c r="C2554" s="41" t="s">
        <v>2928</v>
      </c>
      <c r="D2554" s="41" t="s">
        <v>5745</v>
      </c>
      <c r="E2554" s="41" t="s">
        <v>2929</v>
      </c>
      <c r="F2554" s="41" t="s">
        <v>2933</v>
      </c>
      <c r="G2554" s="41" t="s">
        <v>2934</v>
      </c>
    </row>
    <row r="2555" spans="1:7" x14ac:dyDescent="0.25">
      <c r="A2555" s="41" t="s">
        <v>5752</v>
      </c>
      <c r="B2555" s="41" t="s">
        <v>5746</v>
      </c>
      <c r="C2555" s="41" t="s">
        <v>2928</v>
      </c>
      <c r="D2555" s="41" t="s">
        <v>5745</v>
      </c>
      <c r="E2555" s="41" t="s">
        <v>2929</v>
      </c>
      <c r="F2555" s="41" t="s">
        <v>2933</v>
      </c>
      <c r="G2555" s="41" t="s">
        <v>2934</v>
      </c>
    </row>
    <row r="2556" spans="1:7" x14ac:dyDescent="0.25">
      <c r="A2556" s="41" t="s">
        <v>5753</v>
      </c>
      <c r="B2556" s="41" t="s">
        <v>5746</v>
      </c>
      <c r="C2556" s="41" t="s">
        <v>2928</v>
      </c>
      <c r="D2556" s="41" t="s">
        <v>5745</v>
      </c>
      <c r="E2556" s="41" t="s">
        <v>2929</v>
      </c>
      <c r="F2556" s="41" t="s">
        <v>2933</v>
      </c>
      <c r="G2556" s="41" t="s">
        <v>2934</v>
      </c>
    </row>
    <row r="2557" spans="1:7" x14ac:dyDescent="0.25">
      <c r="A2557" s="41" t="s">
        <v>5754</v>
      </c>
      <c r="B2557" s="41" t="s">
        <v>5746</v>
      </c>
      <c r="C2557" s="41" t="s">
        <v>2928</v>
      </c>
      <c r="D2557" s="41" t="s">
        <v>5745</v>
      </c>
      <c r="E2557" s="41" t="s">
        <v>2929</v>
      </c>
      <c r="F2557" s="41" t="s">
        <v>2930</v>
      </c>
      <c r="G2557" s="41" t="s">
        <v>2931</v>
      </c>
    </row>
    <row r="2558" spans="1:7" x14ac:dyDescent="0.25">
      <c r="A2558" s="41" t="s">
        <v>5755</v>
      </c>
      <c r="B2558" s="41" t="s">
        <v>5746</v>
      </c>
      <c r="C2558" s="41" t="s">
        <v>2928</v>
      </c>
      <c r="D2558" s="41" t="s">
        <v>5745</v>
      </c>
      <c r="E2558" s="41" t="s">
        <v>2929</v>
      </c>
      <c r="F2558" s="41" t="s">
        <v>2930</v>
      </c>
      <c r="G2558" s="41" t="s">
        <v>2931</v>
      </c>
    </row>
    <row r="2559" spans="1:7" x14ac:dyDescent="0.25">
      <c r="A2559" s="41" t="s">
        <v>5756</v>
      </c>
      <c r="B2559" s="41" t="s">
        <v>5746</v>
      </c>
      <c r="C2559" s="41" t="s">
        <v>2928</v>
      </c>
      <c r="D2559" s="41" t="s">
        <v>5745</v>
      </c>
      <c r="E2559" s="41" t="s">
        <v>2929</v>
      </c>
      <c r="F2559" s="41" t="s">
        <v>2930</v>
      </c>
      <c r="G2559" s="41" t="s">
        <v>2931</v>
      </c>
    </row>
    <row r="2560" spans="1:7" x14ac:dyDescent="0.25">
      <c r="A2560" s="41" t="s">
        <v>5757</v>
      </c>
      <c r="B2560" s="41" t="s">
        <v>5746</v>
      </c>
      <c r="C2560" s="41" t="s">
        <v>2928</v>
      </c>
      <c r="D2560" s="41" t="s">
        <v>5745</v>
      </c>
      <c r="E2560" s="41" t="s">
        <v>2929</v>
      </c>
      <c r="F2560" s="41" t="s">
        <v>2930</v>
      </c>
      <c r="G2560" s="41" t="s">
        <v>2931</v>
      </c>
    </row>
    <row r="2561" spans="1:7" x14ac:dyDescent="0.25">
      <c r="A2561" s="41" t="s">
        <v>5758</v>
      </c>
      <c r="B2561" s="41" t="s">
        <v>5746</v>
      </c>
      <c r="C2561" s="41" t="s">
        <v>2928</v>
      </c>
      <c r="D2561" s="41" t="s">
        <v>5745</v>
      </c>
      <c r="E2561" s="41" t="s">
        <v>2929</v>
      </c>
      <c r="F2561" s="41" t="s">
        <v>2930</v>
      </c>
      <c r="G2561" s="41" t="s">
        <v>2931</v>
      </c>
    </row>
    <row r="2562" spans="1:7" x14ac:dyDescent="0.25">
      <c r="A2562" s="41" t="s">
        <v>5759</v>
      </c>
      <c r="B2562" s="41" t="s">
        <v>5746</v>
      </c>
      <c r="C2562" s="41" t="s">
        <v>2928</v>
      </c>
      <c r="D2562" s="41" t="s">
        <v>5745</v>
      </c>
      <c r="E2562" s="41" t="s">
        <v>2929</v>
      </c>
      <c r="F2562" s="41" t="s">
        <v>2930</v>
      </c>
      <c r="G2562" s="41" t="s">
        <v>2931</v>
      </c>
    </row>
    <row r="2563" spans="1:7" x14ac:dyDescent="0.25">
      <c r="A2563" s="41" t="s">
        <v>5760</v>
      </c>
      <c r="B2563" s="41" t="s">
        <v>5746</v>
      </c>
      <c r="C2563" s="41" t="s">
        <v>2928</v>
      </c>
      <c r="D2563" s="41" t="s">
        <v>5745</v>
      </c>
      <c r="E2563" s="41" t="s">
        <v>2929</v>
      </c>
      <c r="F2563" s="41" t="s">
        <v>2930</v>
      </c>
      <c r="G2563" s="41" t="s">
        <v>2931</v>
      </c>
    </row>
    <row r="2564" spans="1:7" x14ac:dyDescent="0.25">
      <c r="A2564" s="41" t="s">
        <v>5761</v>
      </c>
      <c r="B2564" s="41" t="s">
        <v>5746</v>
      </c>
      <c r="C2564" s="41" t="s">
        <v>2928</v>
      </c>
      <c r="D2564" s="41" t="s">
        <v>5745</v>
      </c>
      <c r="E2564" s="41" t="s">
        <v>2929</v>
      </c>
      <c r="F2564" s="41" t="s">
        <v>2949</v>
      </c>
      <c r="G2564" s="41" t="s">
        <v>2950</v>
      </c>
    </row>
    <row r="2565" spans="1:7" x14ac:dyDescent="0.25">
      <c r="A2565" s="41" t="s">
        <v>5762</v>
      </c>
      <c r="B2565" s="41" t="s">
        <v>5746</v>
      </c>
      <c r="C2565" s="41" t="s">
        <v>2928</v>
      </c>
      <c r="D2565" s="41" t="s">
        <v>5745</v>
      </c>
      <c r="E2565" s="41" t="s">
        <v>2929</v>
      </c>
      <c r="F2565" s="41" t="s">
        <v>2949</v>
      </c>
      <c r="G2565" s="41" t="s">
        <v>2950</v>
      </c>
    </row>
    <row r="2566" spans="1:7" x14ac:dyDescent="0.25">
      <c r="A2566" s="41" t="s">
        <v>5763</v>
      </c>
      <c r="B2566" s="41" t="s">
        <v>5746</v>
      </c>
      <c r="C2566" s="41" t="s">
        <v>2928</v>
      </c>
      <c r="D2566" s="41" t="s">
        <v>5745</v>
      </c>
      <c r="E2566" s="41" t="s">
        <v>2929</v>
      </c>
      <c r="F2566" s="41" t="s">
        <v>2949</v>
      </c>
      <c r="G2566" s="41" t="s">
        <v>2950</v>
      </c>
    </row>
    <row r="2567" spans="1:7" x14ac:dyDescent="0.25">
      <c r="A2567" s="41" t="s">
        <v>5764</v>
      </c>
      <c r="B2567" s="41" t="s">
        <v>5746</v>
      </c>
      <c r="C2567" s="41" t="s">
        <v>2928</v>
      </c>
      <c r="D2567" s="41" t="s">
        <v>5745</v>
      </c>
      <c r="E2567" s="41" t="s">
        <v>2929</v>
      </c>
      <c r="F2567" s="41" t="s">
        <v>2949</v>
      </c>
      <c r="G2567" s="41" t="s">
        <v>2950</v>
      </c>
    </row>
    <row r="2568" spans="1:7" x14ac:dyDescent="0.25">
      <c r="A2568" s="41" t="s">
        <v>5765</v>
      </c>
      <c r="B2568" s="41" t="s">
        <v>5746</v>
      </c>
      <c r="C2568" s="41" t="s">
        <v>2928</v>
      </c>
      <c r="D2568" s="41" t="s">
        <v>5745</v>
      </c>
      <c r="E2568" s="41" t="s">
        <v>2929</v>
      </c>
      <c r="F2568" s="41" t="s">
        <v>2949</v>
      </c>
      <c r="G2568" s="41" t="s">
        <v>2950</v>
      </c>
    </row>
    <row r="2569" spans="1:7" x14ac:dyDescent="0.25">
      <c r="A2569" s="41" t="s">
        <v>5766</v>
      </c>
      <c r="B2569" s="41" t="s">
        <v>5746</v>
      </c>
      <c r="C2569" s="41" t="s">
        <v>2928</v>
      </c>
      <c r="D2569" s="41" t="s">
        <v>5745</v>
      </c>
      <c r="E2569" s="41" t="s">
        <v>2929</v>
      </c>
      <c r="F2569" s="41" t="s">
        <v>2949</v>
      </c>
      <c r="G2569" s="41" t="s">
        <v>2950</v>
      </c>
    </row>
    <row r="2570" spans="1:7" x14ac:dyDescent="0.25">
      <c r="A2570" s="41" t="s">
        <v>5767</v>
      </c>
      <c r="B2570" s="41" t="s">
        <v>5746</v>
      </c>
      <c r="C2570" s="41" t="s">
        <v>2928</v>
      </c>
      <c r="D2570" s="41" t="s">
        <v>5745</v>
      </c>
      <c r="E2570" s="41" t="s">
        <v>2929</v>
      </c>
      <c r="F2570" s="41" t="s">
        <v>2949</v>
      </c>
      <c r="G2570" s="41" t="s">
        <v>2950</v>
      </c>
    </row>
    <row r="2571" spans="1:7" x14ac:dyDescent="0.25">
      <c r="A2571" s="41" t="s">
        <v>5768</v>
      </c>
      <c r="B2571" s="41" t="s">
        <v>5769</v>
      </c>
      <c r="C2571" s="41" t="s">
        <v>77</v>
      </c>
      <c r="D2571" s="41" t="s">
        <v>5770</v>
      </c>
      <c r="E2571" s="41" t="s">
        <v>2929</v>
      </c>
      <c r="F2571" s="41" t="s">
        <v>2930</v>
      </c>
      <c r="G2571" s="41" t="s">
        <v>2931</v>
      </c>
    </row>
    <row r="2572" spans="1:7" x14ac:dyDescent="0.25">
      <c r="A2572" s="41" t="s">
        <v>5771</v>
      </c>
      <c r="B2572" s="41" t="s">
        <v>5772</v>
      </c>
      <c r="C2572" s="41" t="s">
        <v>78</v>
      </c>
      <c r="D2572" s="41" t="s">
        <v>5773</v>
      </c>
      <c r="E2572" s="41" t="s">
        <v>2929</v>
      </c>
      <c r="F2572" s="41" t="s">
        <v>2930</v>
      </c>
      <c r="G2572" s="41" t="s">
        <v>2931</v>
      </c>
    </row>
    <row r="2573" spans="1:7" x14ac:dyDescent="0.25">
      <c r="A2573" s="41" t="s">
        <v>5774</v>
      </c>
      <c r="B2573" s="41" t="s">
        <v>5775</v>
      </c>
      <c r="C2573" s="41" t="s">
        <v>74</v>
      </c>
      <c r="D2573" s="41" t="s">
        <v>5776</v>
      </c>
      <c r="E2573" s="41" t="s">
        <v>2929</v>
      </c>
      <c r="F2573" s="41" t="s">
        <v>2949</v>
      </c>
      <c r="G2573" s="41" t="s">
        <v>2950</v>
      </c>
    </row>
    <row r="2574" spans="1:7" x14ac:dyDescent="0.25">
      <c r="A2574" s="41" t="s">
        <v>5777</v>
      </c>
      <c r="B2574" s="41" t="s">
        <v>5775</v>
      </c>
      <c r="C2574" s="41" t="s">
        <v>74</v>
      </c>
      <c r="D2574" s="41" t="s">
        <v>5776</v>
      </c>
      <c r="E2574" s="41" t="s">
        <v>2929</v>
      </c>
      <c r="F2574" s="41" t="s">
        <v>2949</v>
      </c>
      <c r="G2574" s="41" t="s">
        <v>2950</v>
      </c>
    </row>
    <row r="2575" spans="1:7" x14ac:dyDescent="0.25">
      <c r="A2575" s="41" t="s">
        <v>5778</v>
      </c>
      <c r="B2575" s="41" t="s">
        <v>3402</v>
      </c>
      <c r="C2575" s="41" t="s">
        <v>95</v>
      </c>
      <c r="D2575" s="41" t="s">
        <v>3403</v>
      </c>
      <c r="E2575" s="41" t="s">
        <v>2984</v>
      </c>
      <c r="F2575" s="41" t="s">
        <v>2949</v>
      </c>
      <c r="G2575" s="41" t="s">
        <v>2950</v>
      </c>
    </row>
    <row r="2576" spans="1:7" x14ac:dyDescent="0.25">
      <c r="A2576" s="41" t="s">
        <v>5779</v>
      </c>
      <c r="B2576" s="41" t="s">
        <v>5780</v>
      </c>
      <c r="C2576" s="41" t="s">
        <v>2928</v>
      </c>
      <c r="D2576" s="41" t="s">
        <v>5779</v>
      </c>
      <c r="E2576" s="41" t="s">
        <v>2929</v>
      </c>
      <c r="F2576" s="41" t="s">
        <v>2930</v>
      </c>
      <c r="G2576" s="41" t="s">
        <v>2931</v>
      </c>
    </row>
    <row r="2577" spans="1:7" x14ac:dyDescent="0.25">
      <c r="A2577" s="41" t="s">
        <v>5781</v>
      </c>
      <c r="B2577" s="41" t="s">
        <v>5780</v>
      </c>
      <c r="C2577" s="41" t="s">
        <v>2928</v>
      </c>
      <c r="D2577" s="41" t="s">
        <v>5779</v>
      </c>
      <c r="E2577" s="41" t="s">
        <v>2929</v>
      </c>
      <c r="F2577" s="41" t="s">
        <v>2933</v>
      </c>
      <c r="G2577" s="41" t="s">
        <v>2934</v>
      </c>
    </row>
    <row r="2578" spans="1:7" x14ac:dyDescent="0.25">
      <c r="A2578" s="41" t="s">
        <v>5782</v>
      </c>
      <c r="B2578" s="41" t="s">
        <v>5780</v>
      </c>
      <c r="C2578" s="41" t="s">
        <v>2928</v>
      </c>
      <c r="D2578" s="41" t="s">
        <v>5779</v>
      </c>
      <c r="E2578" s="41" t="s">
        <v>2929</v>
      </c>
      <c r="F2578" s="41" t="s">
        <v>2930</v>
      </c>
      <c r="G2578" s="41" t="s">
        <v>2931</v>
      </c>
    </row>
    <row r="2579" spans="1:7" x14ac:dyDescent="0.25">
      <c r="A2579" s="41" t="s">
        <v>5783</v>
      </c>
      <c r="B2579" s="41" t="s">
        <v>5780</v>
      </c>
      <c r="C2579" s="41" t="s">
        <v>2928</v>
      </c>
      <c r="D2579" s="41" t="s">
        <v>5779</v>
      </c>
      <c r="E2579" s="41" t="s">
        <v>2929</v>
      </c>
      <c r="F2579" s="41" t="s">
        <v>2949</v>
      </c>
      <c r="G2579" s="41" t="s">
        <v>2950</v>
      </c>
    </row>
    <row r="2580" spans="1:7" x14ac:dyDescent="0.25">
      <c r="A2580" s="41" t="s">
        <v>5784</v>
      </c>
      <c r="B2580" s="41" t="s">
        <v>111</v>
      </c>
      <c r="C2580" s="41" t="s">
        <v>2928</v>
      </c>
      <c r="D2580" s="41" t="s">
        <v>5784</v>
      </c>
      <c r="E2580" s="41" t="s">
        <v>2929</v>
      </c>
      <c r="F2580" s="41" t="s">
        <v>2930</v>
      </c>
      <c r="G2580" s="41" t="s">
        <v>2931</v>
      </c>
    </row>
    <row r="2581" spans="1:7" x14ac:dyDescent="0.25">
      <c r="A2581" s="41" t="s">
        <v>5785</v>
      </c>
      <c r="B2581" s="41" t="s">
        <v>111</v>
      </c>
      <c r="C2581" s="41" t="s">
        <v>2928</v>
      </c>
      <c r="D2581" s="41" t="s">
        <v>5784</v>
      </c>
      <c r="E2581" s="41" t="s">
        <v>2929</v>
      </c>
      <c r="F2581" s="41" t="s">
        <v>2933</v>
      </c>
      <c r="G2581" s="41" t="s">
        <v>2934</v>
      </c>
    </row>
    <row r="2582" spans="1:7" x14ac:dyDescent="0.25">
      <c r="A2582" s="41" t="s">
        <v>5786</v>
      </c>
      <c r="B2582" s="41" t="s">
        <v>111</v>
      </c>
      <c r="C2582" s="41" t="s">
        <v>2928</v>
      </c>
      <c r="D2582" s="41" t="s">
        <v>5784</v>
      </c>
      <c r="E2582" s="41" t="s">
        <v>2929</v>
      </c>
      <c r="F2582" s="41" t="s">
        <v>2933</v>
      </c>
      <c r="G2582" s="41" t="s">
        <v>2934</v>
      </c>
    </row>
    <row r="2583" spans="1:7" x14ac:dyDescent="0.25">
      <c r="A2583" s="41" t="s">
        <v>5787</v>
      </c>
      <c r="B2583" s="41" t="s">
        <v>111</v>
      </c>
      <c r="C2583" s="41" t="s">
        <v>2928</v>
      </c>
      <c r="D2583" s="41" t="s">
        <v>5784</v>
      </c>
      <c r="E2583" s="41" t="s">
        <v>2929</v>
      </c>
      <c r="F2583" s="41" t="s">
        <v>2933</v>
      </c>
      <c r="G2583" s="41" t="s">
        <v>2934</v>
      </c>
    </row>
    <row r="2584" spans="1:7" x14ac:dyDescent="0.25">
      <c r="A2584" s="41" t="s">
        <v>5788</v>
      </c>
      <c r="B2584" s="41" t="s">
        <v>111</v>
      </c>
      <c r="C2584" s="41" t="s">
        <v>2928</v>
      </c>
      <c r="D2584" s="41" t="s">
        <v>5784</v>
      </c>
      <c r="E2584" s="41" t="s">
        <v>2929</v>
      </c>
      <c r="F2584" s="41" t="s">
        <v>2933</v>
      </c>
      <c r="G2584" s="41" t="s">
        <v>2934</v>
      </c>
    </row>
    <row r="2585" spans="1:7" x14ac:dyDescent="0.25">
      <c r="A2585" s="41" t="s">
        <v>5789</v>
      </c>
      <c r="B2585" s="41" t="s">
        <v>111</v>
      </c>
      <c r="C2585" s="41" t="s">
        <v>2928</v>
      </c>
      <c r="D2585" s="41" t="s">
        <v>5784</v>
      </c>
      <c r="E2585" s="41" t="s">
        <v>2929</v>
      </c>
      <c r="F2585" s="41" t="s">
        <v>2933</v>
      </c>
      <c r="G2585" s="41" t="s">
        <v>2934</v>
      </c>
    </row>
    <row r="2586" spans="1:7" x14ac:dyDescent="0.25">
      <c r="A2586" s="41" t="s">
        <v>5790</v>
      </c>
      <c r="B2586" s="41" t="s">
        <v>111</v>
      </c>
      <c r="C2586" s="41" t="s">
        <v>2928</v>
      </c>
      <c r="D2586" s="41" t="s">
        <v>5784</v>
      </c>
      <c r="E2586" s="41" t="s">
        <v>2929</v>
      </c>
      <c r="F2586" s="41" t="s">
        <v>2933</v>
      </c>
      <c r="G2586" s="41" t="s">
        <v>2934</v>
      </c>
    </row>
    <row r="2587" spans="1:7" x14ac:dyDescent="0.25">
      <c r="A2587" s="41" t="s">
        <v>5791</v>
      </c>
      <c r="B2587" s="41" t="s">
        <v>111</v>
      </c>
      <c r="C2587" s="41" t="s">
        <v>2928</v>
      </c>
      <c r="D2587" s="41" t="s">
        <v>5784</v>
      </c>
      <c r="E2587" s="41" t="s">
        <v>2929</v>
      </c>
      <c r="F2587" s="41" t="s">
        <v>2933</v>
      </c>
      <c r="G2587" s="41" t="s">
        <v>2934</v>
      </c>
    </row>
    <row r="2588" spans="1:7" x14ac:dyDescent="0.25">
      <c r="A2588" s="41" t="s">
        <v>5792</v>
      </c>
      <c r="B2588" s="41" t="s">
        <v>111</v>
      </c>
      <c r="C2588" s="41" t="s">
        <v>2928</v>
      </c>
      <c r="D2588" s="41" t="s">
        <v>5784</v>
      </c>
      <c r="E2588" s="41" t="s">
        <v>2929</v>
      </c>
      <c r="F2588" s="41" t="s">
        <v>2930</v>
      </c>
      <c r="G2588" s="41" t="s">
        <v>2931</v>
      </c>
    </row>
    <row r="2589" spans="1:7" x14ac:dyDescent="0.25">
      <c r="A2589" s="41" t="s">
        <v>5793</v>
      </c>
      <c r="B2589" s="41" t="s">
        <v>111</v>
      </c>
      <c r="C2589" s="41" t="s">
        <v>2928</v>
      </c>
      <c r="D2589" s="41" t="s">
        <v>5784</v>
      </c>
      <c r="E2589" s="41" t="s">
        <v>2929</v>
      </c>
      <c r="F2589" s="41" t="s">
        <v>2930</v>
      </c>
      <c r="G2589" s="41" t="s">
        <v>2931</v>
      </c>
    </row>
    <row r="2590" spans="1:7" x14ac:dyDescent="0.25">
      <c r="A2590" s="41" t="s">
        <v>5794</v>
      </c>
      <c r="B2590" s="41" t="s">
        <v>111</v>
      </c>
      <c r="C2590" s="41" t="s">
        <v>2928</v>
      </c>
      <c r="D2590" s="41" t="s">
        <v>5784</v>
      </c>
      <c r="E2590" s="41" t="s">
        <v>2929</v>
      </c>
      <c r="F2590" s="41" t="s">
        <v>2930</v>
      </c>
      <c r="G2590" s="41" t="s">
        <v>2931</v>
      </c>
    </row>
    <row r="2591" spans="1:7" x14ac:dyDescent="0.25">
      <c r="A2591" s="41" t="s">
        <v>5795</v>
      </c>
      <c r="B2591" s="41" t="s">
        <v>111</v>
      </c>
      <c r="C2591" s="41" t="s">
        <v>2928</v>
      </c>
      <c r="D2591" s="41" t="s">
        <v>5784</v>
      </c>
      <c r="E2591" s="41" t="s">
        <v>2929</v>
      </c>
      <c r="F2591" s="41" t="s">
        <v>2930</v>
      </c>
      <c r="G2591" s="41" t="s">
        <v>2931</v>
      </c>
    </row>
    <row r="2592" spans="1:7" x14ac:dyDescent="0.25">
      <c r="A2592" s="41" t="s">
        <v>5796</v>
      </c>
      <c r="B2592" s="41" t="s">
        <v>111</v>
      </c>
      <c r="C2592" s="41" t="s">
        <v>2928</v>
      </c>
      <c r="D2592" s="41" t="s">
        <v>5784</v>
      </c>
      <c r="E2592" s="41" t="s">
        <v>2929</v>
      </c>
      <c r="F2592" s="41" t="s">
        <v>2930</v>
      </c>
      <c r="G2592" s="41" t="s">
        <v>2931</v>
      </c>
    </row>
    <row r="2593" spans="1:7" x14ac:dyDescent="0.25">
      <c r="A2593" s="41" t="s">
        <v>5797</v>
      </c>
      <c r="B2593" s="41" t="s">
        <v>111</v>
      </c>
      <c r="C2593" s="41" t="s">
        <v>2928</v>
      </c>
      <c r="D2593" s="41" t="s">
        <v>5784</v>
      </c>
      <c r="E2593" s="41" t="s">
        <v>2929</v>
      </c>
      <c r="F2593" s="41" t="s">
        <v>2930</v>
      </c>
      <c r="G2593" s="41" t="s">
        <v>2931</v>
      </c>
    </row>
    <row r="2594" spans="1:7" x14ac:dyDescent="0.25">
      <c r="A2594" s="41" t="s">
        <v>5798</v>
      </c>
      <c r="B2594" s="41" t="s">
        <v>111</v>
      </c>
      <c r="C2594" s="41" t="s">
        <v>2928</v>
      </c>
      <c r="D2594" s="41" t="s">
        <v>5784</v>
      </c>
      <c r="E2594" s="41" t="s">
        <v>2929</v>
      </c>
      <c r="F2594" s="41" t="s">
        <v>2930</v>
      </c>
      <c r="G2594" s="41" t="s">
        <v>2931</v>
      </c>
    </row>
    <row r="2595" spans="1:7" x14ac:dyDescent="0.25">
      <c r="A2595" s="41" t="s">
        <v>5799</v>
      </c>
      <c r="B2595" s="41" t="s">
        <v>111</v>
      </c>
      <c r="C2595" s="41" t="s">
        <v>2928</v>
      </c>
      <c r="D2595" s="41" t="s">
        <v>5784</v>
      </c>
      <c r="E2595" s="41" t="s">
        <v>2929</v>
      </c>
      <c r="F2595" s="41" t="s">
        <v>2949</v>
      </c>
      <c r="G2595" s="41" t="s">
        <v>2950</v>
      </c>
    </row>
    <row r="2596" spans="1:7" x14ac:dyDescent="0.25">
      <c r="A2596" s="41" t="s">
        <v>5800</v>
      </c>
      <c r="B2596" s="41" t="s">
        <v>111</v>
      </c>
      <c r="C2596" s="41" t="s">
        <v>2928</v>
      </c>
      <c r="D2596" s="41" t="s">
        <v>5784</v>
      </c>
      <c r="E2596" s="41" t="s">
        <v>2929</v>
      </c>
      <c r="F2596" s="41" t="s">
        <v>2949</v>
      </c>
      <c r="G2596" s="41" t="s">
        <v>2950</v>
      </c>
    </row>
    <row r="2597" spans="1:7" x14ac:dyDescent="0.25">
      <c r="A2597" s="41" t="s">
        <v>5801</v>
      </c>
      <c r="B2597" s="41" t="s">
        <v>111</v>
      </c>
      <c r="C2597" s="41" t="s">
        <v>2928</v>
      </c>
      <c r="D2597" s="41" t="s">
        <v>5784</v>
      </c>
      <c r="E2597" s="41" t="s">
        <v>2929</v>
      </c>
      <c r="F2597" s="41" t="s">
        <v>2949</v>
      </c>
      <c r="G2597" s="41" t="s">
        <v>2950</v>
      </c>
    </row>
    <row r="2598" spans="1:7" x14ac:dyDescent="0.25">
      <c r="A2598" s="41" t="s">
        <v>5802</v>
      </c>
      <c r="B2598" s="41" t="s">
        <v>111</v>
      </c>
      <c r="C2598" s="41" t="s">
        <v>2928</v>
      </c>
      <c r="D2598" s="41" t="s">
        <v>5784</v>
      </c>
      <c r="E2598" s="41" t="s">
        <v>2929</v>
      </c>
      <c r="F2598" s="41" t="s">
        <v>2949</v>
      </c>
      <c r="G2598" s="41" t="s">
        <v>2950</v>
      </c>
    </row>
    <row r="2599" spans="1:7" x14ac:dyDescent="0.25">
      <c r="A2599" s="41" t="s">
        <v>5803</v>
      </c>
      <c r="B2599" s="41" t="s">
        <v>111</v>
      </c>
      <c r="C2599" s="41" t="s">
        <v>2928</v>
      </c>
      <c r="D2599" s="41" t="s">
        <v>5784</v>
      </c>
      <c r="E2599" s="41" t="s">
        <v>2929</v>
      </c>
      <c r="F2599" s="41" t="s">
        <v>2949</v>
      </c>
      <c r="G2599" s="41" t="s">
        <v>2950</v>
      </c>
    </row>
    <row r="2600" spans="1:7" x14ac:dyDescent="0.25">
      <c r="A2600" s="41" t="s">
        <v>5804</v>
      </c>
      <c r="B2600" s="41" t="s">
        <v>111</v>
      </c>
      <c r="C2600" s="41" t="s">
        <v>2928</v>
      </c>
      <c r="D2600" s="41" t="s">
        <v>5784</v>
      </c>
      <c r="E2600" s="41" t="s">
        <v>2929</v>
      </c>
      <c r="F2600" s="41" t="s">
        <v>2949</v>
      </c>
      <c r="G2600" s="41" t="s">
        <v>2950</v>
      </c>
    </row>
    <row r="2601" spans="1:7" x14ac:dyDescent="0.25">
      <c r="A2601" s="41" t="s">
        <v>5805</v>
      </c>
      <c r="B2601" s="41" t="s">
        <v>111</v>
      </c>
      <c r="C2601" s="41" t="s">
        <v>2928</v>
      </c>
      <c r="D2601" s="41" t="s">
        <v>5784</v>
      </c>
      <c r="E2601" s="41" t="s">
        <v>2929</v>
      </c>
      <c r="F2601" s="41" t="s">
        <v>2949</v>
      </c>
      <c r="G2601" s="41" t="s">
        <v>2950</v>
      </c>
    </row>
    <row r="2602" spans="1:7" x14ac:dyDescent="0.25">
      <c r="A2602" s="41" t="s">
        <v>5806</v>
      </c>
      <c r="B2602" s="41" t="s">
        <v>3476</v>
      </c>
      <c r="C2602" s="41" t="s">
        <v>2928</v>
      </c>
      <c r="D2602" s="41" t="s">
        <v>5806</v>
      </c>
      <c r="E2602" s="41" t="s">
        <v>2929</v>
      </c>
      <c r="F2602" s="41" t="s">
        <v>2930</v>
      </c>
      <c r="G2602" s="41" t="s">
        <v>2931</v>
      </c>
    </row>
    <row r="2603" spans="1:7" x14ac:dyDescent="0.25">
      <c r="A2603" s="41" t="s">
        <v>5807</v>
      </c>
      <c r="B2603" s="41" t="s">
        <v>3476</v>
      </c>
      <c r="C2603" s="41" t="s">
        <v>2928</v>
      </c>
      <c r="D2603" s="41" t="s">
        <v>5806</v>
      </c>
      <c r="E2603" s="41" t="s">
        <v>2929</v>
      </c>
      <c r="F2603" s="41" t="s">
        <v>2933</v>
      </c>
      <c r="G2603" s="41" t="s">
        <v>2934</v>
      </c>
    </row>
    <row r="2604" spans="1:7" x14ac:dyDescent="0.25">
      <c r="A2604" s="41" t="s">
        <v>5808</v>
      </c>
      <c r="B2604" s="41" t="s">
        <v>3476</v>
      </c>
      <c r="C2604" s="41" t="s">
        <v>2928</v>
      </c>
      <c r="D2604" s="41" t="s">
        <v>5806</v>
      </c>
      <c r="E2604" s="41" t="s">
        <v>2929</v>
      </c>
      <c r="F2604" s="41" t="s">
        <v>2933</v>
      </c>
      <c r="G2604" s="41" t="s">
        <v>2934</v>
      </c>
    </row>
    <row r="2605" spans="1:7" x14ac:dyDescent="0.25">
      <c r="A2605" s="41" t="s">
        <v>5809</v>
      </c>
      <c r="B2605" s="41" t="s">
        <v>3476</v>
      </c>
      <c r="C2605" s="41" t="s">
        <v>2928</v>
      </c>
      <c r="D2605" s="41" t="s">
        <v>5806</v>
      </c>
      <c r="E2605" s="41" t="s">
        <v>2929</v>
      </c>
      <c r="F2605" s="41" t="s">
        <v>2933</v>
      </c>
      <c r="G2605" s="41" t="s">
        <v>2934</v>
      </c>
    </row>
    <row r="2606" spans="1:7" x14ac:dyDescent="0.25">
      <c r="A2606" s="41" t="s">
        <v>5810</v>
      </c>
      <c r="B2606" s="41" t="s">
        <v>3476</v>
      </c>
      <c r="C2606" s="41" t="s">
        <v>2928</v>
      </c>
      <c r="D2606" s="41" t="s">
        <v>5806</v>
      </c>
      <c r="E2606" s="41" t="s">
        <v>2929</v>
      </c>
      <c r="F2606" s="41" t="s">
        <v>2933</v>
      </c>
      <c r="G2606" s="41" t="s">
        <v>2934</v>
      </c>
    </row>
    <row r="2607" spans="1:7" x14ac:dyDescent="0.25">
      <c r="A2607" s="41" t="s">
        <v>5811</v>
      </c>
      <c r="B2607" s="41" t="s">
        <v>3476</v>
      </c>
      <c r="C2607" s="41" t="s">
        <v>2928</v>
      </c>
      <c r="D2607" s="41" t="s">
        <v>5806</v>
      </c>
      <c r="E2607" s="41" t="s">
        <v>2929</v>
      </c>
      <c r="F2607" s="41" t="s">
        <v>2933</v>
      </c>
      <c r="G2607" s="41" t="s">
        <v>2934</v>
      </c>
    </row>
    <row r="2608" spans="1:7" x14ac:dyDescent="0.25">
      <c r="A2608" s="41" t="s">
        <v>5812</v>
      </c>
      <c r="B2608" s="41" t="s">
        <v>3476</v>
      </c>
      <c r="C2608" s="41" t="s">
        <v>2928</v>
      </c>
      <c r="D2608" s="41" t="s">
        <v>5806</v>
      </c>
      <c r="E2608" s="41" t="s">
        <v>2929</v>
      </c>
      <c r="F2608" s="41" t="s">
        <v>2933</v>
      </c>
      <c r="G2608" s="41" t="s">
        <v>2934</v>
      </c>
    </row>
    <row r="2609" spans="1:7" x14ac:dyDescent="0.25">
      <c r="A2609" s="41" t="s">
        <v>5813</v>
      </c>
      <c r="B2609" s="41" t="s">
        <v>3476</v>
      </c>
      <c r="C2609" s="41" t="s">
        <v>2928</v>
      </c>
      <c r="D2609" s="41" t="s">
        <v>5806</v>
      </c>
      <c r="E2609" s="41" t="s">
        <v>2929</v>
      </c>
      <c r="F2609" s="41" t="s">
        <v>2933</v>
      </c>
      <c r="G2609" s="41" t="s">
        <v>2934</v>
      </c>
    </row>
    <row r="2610" spans="1:7" x14ac:dyDescent="0.25">
      <c r="A2610" s="41" t="s">
        <v>5814</v>
      </c>
      <c r="B2610" s="41" t="s">
        <v>3476</v>
      </c>
      <c r="C2610" s="41" t="s">
        <v>2928</v>
      </c>
      <c r="D2610" s="41" t="s">
        <v>5806</v>
      </c>
      <c r="E2610" s="41" t="s">
        <v>2929</v>
      </c>
      <c r="F2610" s="41" t="s">
        <v>2930</v>
      </c>
      <c r="G2610" s="41" t="s">
        <v>2931</v>
      </c>
    </row>
    <row r="2611" spans="1:7" x14ac:dyDescent="0.25">
      <c r="A2611" s="41" t="s">
        <v>5815</v>
      </c>
      <c r="B2611" s="41" t="s">
        <v>3476</v>
      </c>
      <c r="C2611" s="41" t="s">
        <v>2928</v>
      </c>
      <c r="D2611" s="41" t="s">
        <v>5806</v>
      </c>
      <c r="E2611" s="41" t="s">
        <v>2929</v>
      </c>
      <c r="F2611" s="41" t="s">
        <v>2930</v>
      </c>
      <c r="G2611" s="41" t="s">
        <v>2931</v>
      </c>
    </row>
    <row r="2612" spans="1:7" x14ac:dyDescent="0.25">
      <c r="A2612" s="41" t="s">
        <v>5816</v>
      </c>
      <c r="B2612" s="41" t="s">
        <v>3476</v>
      </c>
      <c r="C2612" s="41" t="s">
        <v>2928</v>
      </c>
      <c r="D2612" s="41" t="s">
        <v>5806</v>
      </c>
      <c r="E2612" s="41" t="s">
        <v>2929</v>
      </c>
      <c r="F2612" s="41" t="s">
        <v>2930</v>
      </c>
      <c r="G2612" s="41" t="s">
        <v>2931</v>
      </c>
    </row>
    <row r="2613" spans="1:7" x14ac:dyDescent="0.25">
      <c r="A2613" s="41" t="s">
        <v>5817</v>
      </c>
      <c r="B2613" s="41" t="s">
        <v>3476</v>
      </c>
      <c r="C2613" s="41" t="s">
        <v>2928</v>
      </c>
      <c r="D2613" s="41" t="s">
        <v>5806</v>
      </c>
      <c r="E2613" s="41" t="s">
        <v>2929</v>
      </c>
      <c r="F2613" s="41" t="s">
        <v>2930</v>
      </c>
      <c r="G2613" s="41" t="s">
        <v>2931</v>
      </c>
    </row>
    <row r="2614" spans="1:7" x14ac:dyDescent="0.25">
      <c r="A2614" s="41" t="s">
        <v>5818</v>
      </c>
      <c r="B2614" s="41" t="s">
        <v>3476</v>
      </c>
      <c r="C2614" s="41" t="s">
        <v>2928</v>
      </c>
      <c r="D2614" s="41" t="s">
        <v>5806</v>
      </c>
      <c r="E2614" s="41" t="s">
        <v>2929</v>
      </c>
      <c r="F2614" s="41" t="s">
        <v>2930</v>
      </c>
      <c r="G2614" s="41" t="s">
        <v>2931</v>
      </c>
    </row>
    <row r="2615" spans="1:7" x14ac:dyDescent="0.25">
      <c r="A2615" s="41" t="s">
        <v>5819</v>
      </c>
      <c r="B2615" s="41" t="s">
        <v>3476</v>
      </c>
      <c r="C2615" s="41" t="s">
        <v>2928</v>
      </c>
      <c r="D2615" s="41" t="s">
        <v>5806</v>
      </c>
      <c r="E2615" s="41" t="s">
        <v>2929</v>
      </c>
      <c r="F2615" s="41" t="s">
        <v>2930</v>
      </c>
      <c r="G2615" s="41" t="s">
        <v>2931</v>
      </c>
    </row>
    <row r="2616" spans="1:7" x14ac:dyDescent="0.25">
      <c r="A2616" s="41" t="s">
        <v>5820</v>
      </c>
      <c r="B2616" s="41" t="s">
        <v>3476</v>
      </c>
      <c r="C2616" s="41" t="s">
        <v>2928</v>
      </c>
      <c r="D2616" s="41" t="s">
        <v>5806</v>
      </c>
      <c r="E2616" s="41" t="s">
        <v>2929</v>
      </c>
      <c r="F2616" s="41" t="s">
        <v>2930</v>
      </c>
      <c r="G2616" s="41" t="s">
        <v>2931</v>
      </c>
    </row>
    <row r="2617" spans="1:7" x14ac:dyDescent="0.25">
      <c r="A2617" s="41" t="s">
        <v>5821</v>
      </c>
      <c r="B2617" s="41" t="s">
        <v>3476</v>
      </c>
      <c r="C2617" s="41" t="s">
        <v>2928</v>
      </c>
      <c r="D2617" s="41" t="s">
        <v>5806</v>
      </c>
      <c r="E2617" s="41" t="s">
        <v>2929</v>
      </c>
      <c r="F2617" s="41" t="s">
        <v>2949</v>
      </c>
      <c r="G2617" s="41" t="s">
        <v>2950</v>
      </c>
    </row>
    <row r="2618" spans="1:7" x14ac:dyDescent="0.25">
      <c r="A2618" s="41" t="s">
        <v>5822</v>
      </c>
      <c r="B2618" s="41" t="s">
        <v>3476</v>
      </c>
      <c r="C2618" s="41" t="s">
        <v>2928</v>
      </c>
      <c r="D2618" s="41" t="s">
        <v>5806</v>
      </c>
      <c r="E2618" s="41" t="s">
        <v>2929</v>
      </c>
      <c r="F2618" s="41" t="s">
        <v>2949</v>
      </c>
      <c r="G2618" s="41" t="s">
        <v>2950</v>
      </c>
    </row>
    <row r="2619" spans="1:7" x14ac:dyDescent="0.25">
      <c r="A2619" s="41" t="s">
        <v>5823</v>
      </c>
      <c r="B2619" s="41" t="s">
        <v>3476</v>
      </c>
      <c r="C2619" s="41" t="s">
        <v>2928</v>
      </c>
      <c r="D2619" s="41" t="s">
        <v>5806</v>
      </c>
      <c r="E2619" s="41" t="s">
        <v>2929</v>
      </c>
      <c r="F2619" s="41" t="s">
        <v>2949</v>
      </c>
      <c r="G2619" s="41" t="s">
        <v>2950</v>
      </c>
    </row>
    <row r="2620" spans="1:7" x14ac:dyDescent="0.25">
      <c r="A2620" s="41" t="s">
        <v>5824</v>
      </c>
      <c r="B2620" s="41" t="s">
        <v>3476</v>
      </c>
      <c r="C2620" s="41" t="s">
        <v>2928</v>
      </c>
      <c r="D2620" s="41" t="s">
        <v>5806</v>
      </c>
      <c r="E2620" s="41" t="s">
        <v>2929</v>
      </c>
      <c r="F2620" s="41" t="s">
        <v>2949</v>
      </c>
      <c r="G2620" s="41" t="s">
        <v>2950</v>
      </c>
    </row>
    <row r="2621" spans="1:7" x14ac:dyDescent="0.25">
      <c r="A2621" s="41" t="s">
        <v>5825</v>
      </c>
      <c r="B2621" s="41" t="s">
        <v>3476</v>
      </c>
      <c r="C2621" s="41" t="s">
        <v>2928</v>
      </c>
      <c r="D2621" s="41" t="s">
        <v>5806</v>
      </c>
      <c r="E2621" s="41" t="s">
        <v>2929</v>
      </c>
      <c r="F2621" s="41" t="s">
        <v>2949</v>
      </c>
      <c r="G2621" s="41" t="s">
        <v>2950</v>
      </c>
    </row>
    <row r="2622" spans="1:7" x14ac:dyDescent="0.25">
      <c r="A2622" s="41" t="s">
        <v>5826</v>
      </c>
      <c r="B2622" s="41" t="s">
        <v>3476</v>
      </c>
      <c r="C2622" s="41" t="s">
        <v>2928</v>
      </c>
      <c r="D2622" s="41" t="s">
        <v>5806</v>
      </c>
      <c r="E2622" s="41" t="s">
        <v>2929</v>
      </c>
      <c r="F2622" s="41" t="s">
        <v>2949</v>
      </c>
      <c r="G2622" s="41" t="s">
        <v>2950</v>
      </c>
    </row>
    <row r="2623" spans="1:7" x14ac:dyDescent="0.25">
      <c r="A2623" s="41" t="s">
        <v>5827</v>
      </c>
      <c r="B2623" s="41" t="s">
        <v>3476</v>
      </c>
      <c r="C2623" s="41" t="s">
        <v>2928</v>
      </c>
      <c r="D2623" s="41" t="s">
        <v>5806</v>
      </c>
      <c r="E2623" s="41" t="s">
        <v>2929</v>
      </c>
      <c r="F2623" s="41" t="s">
        <v>2949</v>
      </c>
      <c r="G2623" s="41" t="s">
        <v>2950</v>
      </c>
    </row>
    <row r="2624" spans="1:7" x14ac:dyDescent="0.25">
      <c r="A2624" s="41" t="s">
        <v>5828</v>
      </c>
      <c r="B2624" s="41" t="s">
        <v>5829</v>
      </c>
      <c r="C2624" s="41" t="s">
        <v>2928</v>
      </c>
      <c r="D2624" s="41" t="s">
        <v>5828</v>
      </c>
      <c r="E2624" s="41" t="s">
        <v>2929</v>
      </c>
      <c r="F2624" s="41" t="s">
        <v>2930</v>
      </c>
      <c r="G2624" s="41" t="s">
        <v>2931</v>
      </c>
    </row>
    <row r="2625" spans="1:7" x14ac:dyDescent="0.25">
      <c r="A2625" s="41" t="s">
        <v>5830</v>
      </c>
      <c r="B2625" s="41" t="s">
        <v>5829</v>
      </c>
      <c r="C2625" s="41" t="s">
        <v>2928</v>
      </c>
      <c r="D2625" s="41" t="s">
        <v>5828</v>
      </c>
      <c r="E2625" s="41" t="s">
        <v>2929</v>
      </c>
      <c r="F2625" s="41" t="s">
        <v>2933</v>
      </c>
      <c r="G2625" s="41" t="s">
        <v>2934</v>
      </c>
    </row>
    <row r="2626" spans="1:7" x14ac:dyDescent="0.25">
      <c r="A2626" s="41" t="s">
        <v>5831</v>
      </c>
      <c r="B2626" s="41" t="s">
        <v>5829</v>
      </c>
      <c r="C2626" s="41" t="s">
        <v>2928</v>
      </c>
      <c r="D2626" s="41" t="s">
        <v>5828</v>
      </c>
      <c r="E2626" s="41" t="s">
        <v>2929</v>
      </c>
      <c r="F2626" s="41" t="s">
        <v>2933</v>
      </c>
      <c r="G2626" s="41" t="s">
        <v>2934</v>
      </c>
    </row>
    <row r="2627" spans="1:7" x14ac:dyDescent="0.25">
      <c r="A2627" s="41" t="s">
        <v>5832</v>
      </c>
      <c r="B2627" s="41" t="s">
        <v>5829</v>
      </c>
      <c r="C2627" s="41" t="s">
        <v>2928</v>
      </c>
      <c r="D2627" s="41" t="s">
        <v>5828</v>
      </c>
      <c r="E2627" s="41" t="s">
        <v>2929</v>
      </c>
      <c r="F2627" s="41" t="s">
        <v>2933</v>
      </c>
      <c r="G2627" s="41" t="s">
        <v>2934</v>
      </c>
    </row>
    <row r="2628" spans="1:7" x14ac:dyDescent="0.25">
      <c r="A2628" s="41" t="s">
        <v>5833</v>
      </c>
      <c r="B2628" s="41" t="s">
        <v>5829</v>
      </c>
      <c r="C2628" s="41" t="s">
        <v>2928</v>
      </c>
      <c r="D2628" s="41" t="s">
        <v>5828</v>
      </c>
      <c r="E2628" s="41" t="s">
        <v>2929</v>
      </c>
      <c r="F2628" s="41" t="s">
        <v>2933</v>
      </c>
      <c r="G2628" s="41" t="s">
        <v>2934</v>
      </c>
    </row>
    <row r="2629" spans="1:7" x14ac:dyDescent="0.25">
      <c r="A2629" s="41" t="s">
        <v>5834</v>
      </c>
      <c r="B2629" s="41" t="s">
        <v>5829</v>
      </c>
      <c r="C2629" s="41" t="s">
        <v>2928</v>
      </c>
      <c r="D2629" s="41" t="s">
        <v>5828</v>
      </c>
      <c r="E2629" s="41" t="s">
        <v>2929</v>
      </c>
      <c r="F2629" s="41" t="s">
        <v>2933</v>
      </c>
      <c r="G2629" s="41" t="s">
        <v>2934</v>
      </c>
    </row>
    <row r="2630" spans="1:7" x14ac:dyDescent="0.25">
      <c r="A2630" s="41" t="s">
        <v>5835</v>
      </c>
      <c r="B2630" s="41" t="s">
        <v>5829</v>
      </c>
      <c r="C2630" s="41" t="s">
        <v>2928</v>
      </c>
      <c r="D2630" s="41" t="s">
        <v>5828</v>
      </c>
      <c r="E2630" s="41" t="s">
        <v>2929</v>
      </c>
      <c r="F2630" s="41" t="s">
        <v>2933</v>
      </c>
      <c r="G2630" s="41" t="s">
        <v>2934</v>
      </c>
    </row>
    <row r="2631" spans="1:7" x14ac:dyDescent="0.25">
      <c r="A2631" s="41" t="s">
        <v>5836</v>
      </c>
      <c r="B2631" s="41" t="s">
        <v>5829</v>
      </c>
      <c r="C2631" s="41" t="s">
        <v>2928</v>
      </c>
      <c r="D2631" s="41" t="s">
        <v>5828</v>
      </c>
      <c r="E2631" s="41" t="s">
        <v>2929</v>
      </c>
      <c r="F2631" s="41" t="s">
        <v>2933</v>
      </c>
      <c r="G2631" s="41" t="s">
        <v>2934</v>
      </c>
    </row>
    <row r="2632" spans="1:7" x14ac:dyDescent="0.25">
      <c r="A2632" s="41" t="s">
        <v>5837</v>
      </c>
      <c r="B2632" s="41" t="s">
        <v>5829</v>
      </c>
      <c r="C2632" s="41" t="s">
        <v>2928</v>
      </c>
      <c r="D2632" s="41" t="s">
        <v>5828</v>
      </c>
      <c r="E2632" s="41" t="s">
        <v>2929</v>
      </c>
      <c r="F2632" s="41" t="s">
        <v>2930</v>
      </c>
      <c r="G2632" s="41" t="s">
        <v>2931</v>
      </c>
    </row>
    <row r="2633" spans="1:7" x14ac:dyDescent="0.25">
      <c r="A2633" s="41" t="s">
        <v>5838</v>
      </c>
      <c r="B2633" s="41" t="s">
        <v>5829</v>
      </c>
      <c r="C2633" s="41" t="s">
        <v>2928</v>
      </c>
      <c r="D2633" s="41" t="s">
        <v>5828</v>
      </c>
      <c r="E2633" s="41" t="s">
        <v>2929</v>
      </c>
      <c r="F2633" s="41" t="s">
        <v>2930</v>
      </c>
      <c r="G2633" s="41" t="s">
        <v>2931</v>
      </c>
    </row>
    <row r="2634" spans="1:7" x14ac:dyDescent="0.25">
      <c r="A2634" s="41" t="s">
        <v>5839</v>
      </c>
      <c r="B2634" s="41" t="s">
        <v>5829</v>
      </c>
      <c r="C2634" s="41" t="s">
        <v>2928</v>
      </c>
      <c r="D2634" s="41" t="s">
        <v>5828</v>
      </c>
      <c r="E2634" s="41" t="s">
        <v>2929</v>
      </c>
      <c r="F2634" s="41" t="s">
        <v>2930</v>
      </c>
      <c r="G2634" s="41" t="s">
        <v>2931</v>
      </c>
    </row>
    <row r="2635" spans="1:7" x14ac:dyDescent="0.25">
      <c r="A2635" s="41" t="s">
        <v>5840</v>
      </c>
      <c r="B2635" s="41" t="s">
        <v>5829</v>
      </c>
      <c r="C2635" s="41" t="s">
        <v>2928</v>
      </c>
      <c r="D2635" s="41" t="s">
        <v>5828</v>
      </c>
      <c r="E2635" s="41" t="s">
        <v>2929</v>
      </c>
      <c r="F2635" s="41" t="s">
        <v>2930</v>
      </c>
      <c r="G2635" s="41" t="s">
        <v>2931</v>
      </c>
    </row>
    <row r="2636" spans="1:7" x14ac:dyDescent="0.25">
      <c r="A2636" s="41" t="s">
        <v>5841</v>
      </c>
      <c r="B2636" s="41" t="s">
        <v>5829</v>
      </c>
      <c r="C2636" s="41" t="s">
        <v>2928</v>
      </c>
      <c r="D2636" s="41" t="s">
        <v>5828</v>
      </c>
      <c r="E2636" s="41" t="s">
        <v>2929</v>
      </c>
      <c r="F2636" s="41" t="s">
        <v>2930</v>
      </c>
      <c r="G2636" s="41" t="s">
        <v>2931</v>
      </c>
    </row>
    <row r="2637" spans="1:7" x14ac:dyDescent="0.25">
      <c r="A2637" s="41" t="s">
        <v>5842</v>
      </c>
      <c r="B2637" s="41" t="s">
        <v>5829</v>
      </c>
      <c r="C2637" s="41" t="s">
        <v>2928</v>
      </c>
      <c r="D2637" s="41" t="s">
        <v>5828</v>
      </c>
      <c r="E2637" s="41" t="s">
        <v>2929</v>
      </c>
      <c r="F2637" s="41" t="s">
        <v>2930</v>
      </c>
      <c r="G2637" s="41" t="s">
        <v>2931</v>
      </c>
    </row>
    <row r="2638" spans="1:7" x14ac:dyDescent="0.25">
      <c r="A2638" s="41" t="s">
        <v>5843</v>
      </c>
      <c r="B2638" s="41" t="s">
        <v>5829</v>
      </c>
      <c r="C2638" s="41" t="s">
        <v>2928</v>
      </c>
      <c r="D2638" s="41" t="s">
        <v>5828</v>
      </c>
      <c r="E2638" s="41" t="s">
        <v>2929</v>
      </c>
      <c r="F2638" s="41" t="s">
        <v>2930</v>
      </c>
      <c r="G2638" s="41" t="s">
        <v>2931</v>
      </c>
    </row>
    <row r="2639" spans="1:7" x14ac:dyDescent="0.25">
      <c r="A2639" s="41" t="s">
        <v>5844</v>
      </c>
      <c r="B2639" s="41" t="s">
        <v>5829</v>
      </c>
      <c r="C2639" s="41" t="s">
        <v>2928</v>
      </c>
      <c r="D2639" s="41" t="s">
        <v>5828</v>
      </c>
      <c r="E2639" s="41" t="s">
        <v>2929</v>
      </c>
      <c r="F2639" s="41" t="s">
        <v>2949</v>
      </c>
      <c r="G2639" s="41" t="s">
        <v>2950</v>
      </c>
    </row>
    <row r="2640" spans="1:7" x14ac:dyDescent="0.25">
      <c r="A2640" s="41" t="s">
        <v>5845</v>
      </c>
      <c r="B2640" s="41" t="s">
        <v>5829</v>
      </c>
      <c r="C2640" s="41" t="s">
        <v>2928</v>
      </c>
      <c r="D2640" s="41" t="s">
        <v>5828</v>
      </c>
      <c r="E2640" s="41" t="s">
        <v>2929</v>
      </c>
      <c r="F2640" s="41" t="s">
        <v>2949</v>
      </c>
      <c r="G2640" s="41" t="s">
        <v>2950</v>
      </c>
    </row>
    <row r="2641" spans="1:7" x14ac:dyDescent="0.25">
      <c r="A2641" s="41" t="s">
        <v>5846</v>
      </c>
      <c r="B2641" s="41" t="s">
        <v>5829</v>
      </c>
      <c r="C2641" s="41" t="s">
        <v>2928</v>
      </c>
      <c r="D2641" s="41" t="s">
        <v>5828</v>
      </c>
      <c r="E2641" s="41" t="s">
        <v>2929</v>
      </c>
      <c r="F2641" s="41" t="s">
        <v>2949</v>
      </c>
      <c r="G2641" s="41" t="s">
        <v>2950</v>
      </c>
    </row>
    <row r="2642" spans="1:7" x14ac:dyDescent="0.25">
      <c r="A2642" s="41" t="s">
        <v>5847</v>
      </c>
      <c r="B2642" s="41" t="s">
        <v>5829</v>
      </c>
      <c r="C2642" s="41" t="s">
        <v>2928</v>
      </c>
      <c r="D2642" s="41" t="s">
        <v>5828</v>
      </c>
      <c r="E2642" s="41" t="s">
        <v>2929</v>
      </c>
      <c r="F2642" s="41" t="s">
        <v>2949</v>
      </c>
      <c r="G2642" s="41" t="s">
        <v>2950</v>
      </c>
    </row>
    <row r="2643" spans="1:7" x14ac:dyDescent="0.25">
      <c r="A2643" s="41" t="s">
        <v>5848</v>
      </c>
      <c r="B2643" s="41" t="s">
        <v>5829</v>
      </c>
      <c r="C2643" s="41" t="s">
        <v>2928</v>
      </c>
      <c r="D2643" s="41" t="s">
        <v>5828</v>
      </c>
      <c r="E2643" s="41" t="s">
        <v>2929</v>
      </c>
      <c r="F2643" s="41" t="s">
        <v>2949</v>
      </c>
      <c r="G2643" s="41" t="s">
        <v>2950</v>
      </c>
    </row>
    <row r="2644" spans="1:7" x14ac:dyDescent="0.25">
      <c r="A2644" s="41" t="s">
        <v>5849</v>
      </c>
      <c r="B2644" s="41" t="s">
        <v>5829</v>
      </c>
      <c r="C2644" s="41" t="s">
        <v>2928</v>
      </c>
      <c r="D2644" s="41" t="s">
        <v>5828</v>
      </c>
      <c r="E2644" s="41" t="s">
        <v>2929</v>
      </c>
      <c r="F2644" s="41" t="s">
        <v>2949</v>
      </c>
      <c r="G2644" s="41" t="s">
        <v>2950</v>
      </c>
    </row>
    <row r="2645" spans="1:7" x14ac:dyDescent="0.25">
      <c r="A2645" s="41" t="s">
        <v>5850</v>
      </c>
      <c r="B2645" s="41" t="s">
        <v>5829</v>
      </c>
      <c r="C2645" s="41" t="s">
        <v>2928</v>
      </c>
      <c r="D2645" s="41" t="s">
        <v>5828</v>
      </c>
      <c r="E2645" s="41" t="s">
        <v>2929</v>
      </c>
      <c r="F2645" s="41" t="s">
        <v>2949</v>
      </c>
      <c r="G2645" s="41" t="s">
        <v>2950</v>
      </c>
    </row>
    <row r="2646" spans="1:7" x14ac:dyDescent="0.25">
      <c r="A2646" s="41" t="s">
        <v>5851</v>
      </c>
      <c r="B2646" s="41" t="s">
        <v>5852</v>
      </c>
      <c r="C2646" s="41" t="s">
        <v>2928</v>
      </c>
      <c r="D2646" s="41" t="s">
        <v>5851</v>
      </c>
      <c r="E2646" s="41" t="s">
        <v>2929</v>
      </c>
      <c r="F2646" s="41" t="s">
        <v>2930</v>
      </c>
      <c r="G2646" s="41" t="s">
        <v>2931</v>
      </c>
    </row>
    <row r="2647" spans="1:7" x14ac:dyDescent="0.25">
      <c r="A2647" s="41" t="s">
        <v>5853</v>
      </c>
      <c r="B2647" s="41" t="s">
        <v>5852</v>
      </c>
      <c r="C2647" s="41" t="s">
        <v>2928</v>
      </c>
      <c r="D2647" s="41" t="s">
        <v>5851</v>
      </c>
      <c r="E2647" s="41" t="s">
        <v>2929</v>
      </c>
      <c r="F2647" s="41" t="s">
        <v>2933</v>
      </c>
      <c r="G2647" s="41" t="s">
        <v>2934</v>
      </c>
    </row>
    <row r="2648" spans="1:7" x14ac:dyDescent="0.25">
      <c r="A2648" s="41" t="s">
        <v>5854</v>
      </c>
      <c r="B2648" s="41" t="s">
        <v>5852</v>
      </c>
      <c r="C2648" s="41" t="s">
        <v>2928</v>
      </c>
      <c r="D2648" s="41" t="s">
        <v>5851</v>
      </c>
      <c r="E2648" s="41" t="s">
        <v>2929</v>
      </c>
      <c r="F2648" s="41" t="s">
        <v>2933</v>
      </c>
      <c r="G2648" s="41" t="s">
        <v>2934</v>
      </c>
    </row>
    <row r="2649" spans="1:7" x14ac:dyDescent="0.25">
      <c r="A2649" s="41" t="s">
        <v>5855</v>
      </c>
      <c r="B2649" s="41" t="s">
        <v>5852</v>
      </c>
      <c r="C2649" s="41" t="s">
        <v>2928</v>
      </c>
      <c r="D2649" s="41" t="s">
        <v>5851</v>
      </c>
      <c r="E2649" s="41" t="s">
        <v>2929</v>
      </c>
      <c r="F2649" s="41" t="s">
        <v>2933</v>
      </c>
      <c r="G2649" s="41" t="s">
        <v>2934</v>
      </c>
    </row>
    <row r="2650" spans="1:7" x14ac:dyDescent="0.25">
      <c r="A2650" s="41" t="s">
        <v>5856</v>
      </c>
      <c r="B2650" s="41" t="s">
        <v>5852</v>
      </c>
      <c r="C2650" s="41" t="s">
        <v>2928</v>
      </c>
      <c r="D2650" s="41" t="s">
        <v>5851</v>
      </c>
      <c r="E2650" s="41" t="s">
        <v>2929</v>
      </c>
      <c r="F2650" s="41" t="s">
        <v>2933</v>
      </c>
      <c r="G2650" s="41" t="s">
        <v>2934</v>
      </c>
    </row>
    <row r="2651" spans="1:7" x14ac:dyDescent="0.25">
      <c r="A2651" s="41" t="s">
        <v>5857</v>
      </c>
      <c r="B2651" s="41" t="s">
        <v>5852</v>
      </c>
      <c r="C2651" s="41" t="s">
        <v>2928</v>
      </c>
      <c r="D2651" s="41" t="s">
        <v>5851</v>
      </c>
      <c r="E2651" s="41" t="s">
        <v>2929</v>
      </c>
      <c r="F2651" s="41" t="s">
        <v>2933</v>
      </c>
      <c r="G2651" s="41" t="s">
        <v>2934</v>
      </c>
    </row>
    <row r="2652" spans="1:7" x14ac:dyDescent="0.25">
      <c r="A2652" s="41" t="s">
        <v>5858</v>
      </c>
      <c r="B2652" s="41" t="s">
        <v>5852</v>
      </c>
      <c r="C2652" s="41" t="s">
        <v>2928</v>
      </c>
      <c r="D2652" s="41" t="s">
        <v>5851</v>
      </c>
      <c r="E2652" s="41" t="s">
        <v>2929</v>
      </c>
      <c r="F2652" s="41" t="s">
        <v>2933</v>
      </c>
      <c r="G2652" s="41" t="s">
        <v>2934</v>
      </c>
    </row>
    <row r="2653" spans="1:7" x14ac:dyDescent="0.25">
      <c r="A2653" s="41" t="s">
        <v>5859</v>
      </c>
      <c r="B2653" s="41" t="s">
        <v>5852</v>
      </c>
      <c r="C2653" s="41" t="s">
        <v>2928</v>
      </c>
      <c r="D2653" s="41" t="s">
        <v>5851</v>
      </c>
      <c r="E2653" s="41" t="s">
        <v>2929</v>
      </c>
      <c r="F2653" s="41" t="s">
        <v>2933</v>
      </c>
      <c r="G2653" s="41" t="s">
        <v>2934</v>
      </c>
    </row>
    <row r="2654" spans="1:7" x14ac:dyDescent="0.25">
      <c r="A2654" s="41" t="s">
        <v>5860</v>
      </c>
      <c r="B2654" s="41" t="s">
        <v>5852</v>
      </c>
      <c r="C2654" s="41" t="s">
        <v>2928</v>
      </c>
      <c r="D2654" s="41" t="s">
        <v>5851</v>
      </c>
      <c r="E2654" s="41" t="s">
        <v>2929</v>
      </c>
      <c r="F2654" s="41" t="s">
        <v>2930</v>
      </c>
      <c r="G2654" s="41" t="s">
        <v>2931</v>
      </c>
    </row>
    <row r="2655" spans="1:7" x14ac:dyDescent="0.25">
      <c r="A2655" s="41" t="s">
        <v>5861</v>
      </c>
      <c r="B2655" s="41" t="s">
        <v>5852</v>
      </c>
      <c r="C2655" s="41" t="s">
        <v>2928</v>
      </c>
      <c r="D2655" s="41" t="s">
        <v>5851</v>
      </c>
      <c r="E2655" s="41" t="s">
        <v>2929</v>
      </c>
      <c r="F2655" s="41" t="s">
        <v>2930</v>
      </c>
      <c r="G2655" s="41" t="s">
        <v>2931</v>
      </c>
    </row>
    <row r="2656" spans="1:7" x14ac:dyDescent="0.25">
      <c r="A2656" s="41" t="s">
        <v>5862</v>
      </c>
      <c r="B2656" s="41" t="s">
        <v>5852</v>
      </c>
      <c r="C2656" s="41" t="s">
        <v>2928</v>
      </c>
      <c r="D2656" s="41" t="s">
        <v>5851</v>
      </c>
      <c r="E2656" s="41" t="s">
        <v>2929</v>
      </c>
      <c r="F2656" s="41" t="s">
        <v>2930</v>
      </c>
      <c r="G2656" s="41" t="s">
        <v>2931</v>
      </c>
    </row>
    <row r="2657" spans="1:7" x14ac:dyDescent="0.25">
      <c r="A2657" s="41" t="s">
        <v>5863</v>
      </c>
      <c r="B2657" s="41" t="s">
        <v>5852</v>
      </c>
      <c r="C2657" s="41" t="s">
        <v>2928</v>
      </c>
      <c r="D2657" s="41" t="s">
        <v>5851</v>
      </c>
      <c r="E2657" s="41" t="s">
        <v>2929</v>
      </c>
      <c r="F2657" s="41" t="s">
        <v>2930</v>
      </c>
      <c r="G2657" s="41" t="s">
        <v>2931</v>
      </c>
    </row>
    <row r="2658" spans="1:7" x14ac:dyDescent="0.25">
      <c r="A2658" s="41" t="s">
        <v>5864</v>
      </c>
      <c r="B2658" s="41" t="s">
        <v>5852</v>
      </c>
      <c r="C2658" s="41" t="s">
        <v>2928</v>
      </c>
      <c r="D2658" s="41" t="s">
        <v>5851</v>
      </c>
      <c r="E2658" s="41" t="s">
        <v>2929</v>
      </c>
      <c r="F2658" s="41" t="s">
        <v>2930</v>
      </c>
      <c r="G2658" s="41" t="s">
        <v>2931</v>
      </c>
    </row>
    <row r="2659" spans="1:7" x14ac:dyDescent="0.25">
      <c r="A2659" s="41" t="s">
        <v>5865</v>
      </c>
      <c r="B2659" s="41" t="s">
        <v>5852</v>
      </c>
      <c r="C2659" s="41" t="s">
        <v>2928</v>
      </c>
      <c r="D2659" s="41" t="s">
        <v>5851</v>
      </c>
      <c r="E2659" s="41" t="s">
        <v>2929</v>
      </c>
      <c r="F2659" s="41" t="s">
        <v>2930</v>
      </c>
      <c r="G2659" s="41" t="s">
        <v>2931</v>
      </c>
    </row>
    <row r="2660" spans="1:7" x14ac:dyDescent="0.25">
      <c r="A2660" s="41" t="s">
        <v>5866</v>
      </c>
      <c r="B2660" s="41" t="s">
        <v>5852</v>
      </c>
      <c r="C2660" s="41" t="s">
        <v>2928</v>
      </c>
      <c r="D2660" s="41" t="s">
        <v>5851</v>
      </c>
      <c r="E2660" s="41" t="s">
        <v>2929</v>
      </c>
      <c r="F2660" s="41" t="s">
        <v>2930</v>
      </c>
      <c r="G2660" s="41" t="s">
        <v>2931</v>
      </c>
    </row>
    <row r="2661" spans="1:7" x14ac:dyDescent="0.25">
      <c r="A2661" s="41" t="s">
        <v>5867</v>
      </c>
      <c r="B2661" s="41" t="s">
        <v>5852</v>
      </c>
      <c r="C2661" s="41" t="s">
        <v>2928</v>
      </c>
      <c r="D2661" s="41" t="s">
        <v>5851</v>
      </c>
      <c r="E2661" s="41" t="s">
        <v>2929</v>
      </c>
      <c r="F2661" s="41" t="s">
        <v>2949</v>
      </c>
      <c r="G2661" s="41" t="s">
        <v>2950</v>
      </c>
    </row>
    <row r="2662" spans="1:7" x14ac:dyDescent="0.25">
      <c r="A2662" s="41" t="s">
        <v>5868</v>
      </c>
      <c r="B2662" s="41" t="s">
        <v>5852</v>
      </c>
      <c r="C2662" s="41" t="s">
        <v>2928</v>
      </c>
      <c r="D2662" s="41" t="s">
        <v>5851</v>
      </c>
      <c r="E2662" s="41" t="s">
        <v>2929</v>
      </c>
      <c r="F2662" s="41" t="s">
        <v>2949</v>
      </c>
      <c r="G2662" s="41" t="s">
        <v>2950</v>
      </c>
    </row>
    <row r="2663" spans="1:7" x14ac:dyDescent="0.25">
      <c r="A2663" s="41" t="s">
        <v>5869</v>
      </c>
      <c r="B2663" s="41" t="s">
        <v>5852</v>
      </c>
      <c r="C2663" s="41" t="s">
        <v>2928</v>
      </c>
      <c r="D2663" s="41" t="s">
        <v>5851</v>
      </c>
      <c r="E2663" s="41" t="s">
        <v>2929</v>
      </c>
      <c r="F2663" s="41" t="s">
        <v>2949</v>
      </c>
      <c r="G2663" s="41" t="s">
        <v>2950</v>
      </c>
    </row>
    <row r="2664" spans="1:7" x14ac:dyDescent="0.25">
      <c r="A2664" s="41" t="s">
        <v>5870</v>
      </c>
      <c r="B2664" s="41" t="s">
        <v>5852</v>
      </c>
      <c r="C2664" s="41" t="s">
        <v>2928</v>
      </c>
      <c r="D2664" s="41" t="s">
        <v>5851</v>
      </c>
      <c r="E2664" s="41" t="s">
        <v>2929</v>
      </c>
      <c r="F2664" s="41" t="s">
        <v>2949</v>
      </c>
      <c r="G2664" s="41" t="s">
        <v>2950</v>
      </c>
    </row>
    <row r="2665" spans="1:7" x14ac:dyDescent="0.25">
      <c r="A2665" s="41" t="s">
        <v>5871</v>
      </c>
      <c r="B2665" s="41" t="s">
        <v>5852</v>
      </c>
      <c r="C2665" s="41" t="s">
        <v>2928</v>
      </c>
      <c r="D2665" s="41" t="s">
        <v>5851</v>
      </c>
      <c r="E2665" s="41" t="s">
        <v>2929</v>
      </c>
      <c r="F2665" s="41" t="s">
        <v>2949</v>
      </c>
      <c r="G2665" s="41" t="s">
        <v>2950</v>
      </c>
    </row>
    <row r="2666" spans="1:7" x14ac:dyDescent="0.25">
      <c r="A2666" s="41" t="s">
        <v>5872</v>
      </c>
      <c r="B2666" s="41" t="s">
        <v>5852</v>
      </c>
      <c r="C2666" s="41" t="s">
        <v>2928</v>
      </c>
      <c r="D2666" s="41" t="s">
        <v>5851</v>
      </c>
      <c r="E2666" s="41" t="s">
        <v>2929</v>
      </c>
      <c r="F2666" s="41" t="s">
        <v>2949</v>
      </c>
      <c r="G2666" s="41" t="s">
        <v>2950</v>
      </c>
    </row>
    <row r="2667" spans="1:7" x14ac:dyDescent="0.25">
      <c r="A2667" s="41" t="s">
        <v>5873</v>
      </c>
      <c r="B2667" s="41" t="s">
        <v>5852</v>
      </c>
      <c r="C2667" s="41" t="s">
        <v>2928</v>
      </c>
      <c r="D2667" s="41" t="s">
        <v>5851</v>
      </c>
      <c r="E2667" s="41" t="s">
        <v>2929</v>
      </c>
      <c r="F2667" s="41" t="s">
        <v>2949</v>
      </c>
      <c r="G2667" s="41" t="s">
        <v>2950</v>
      </c>
    </row>
    <row r="2668" spans="1:7" x14ac:dyDescent="0.25">
      <c r="A2668" s="41" t="s">
        <v>5874</v>
      </c>
      <c r="B2668" s="41" t="s">
        <v>5875</v>
      </c>
      <c r="C2668" s="41" t="s">
        <v>2928</v>
      </c>
      <c r="D2668" s="41" t="s">
        <v>5874</v>
      </c>
      <c r="E2668" s="41" t="s">
        <v>2929</v>
      </c>
      <c r="F2668" s="41" t="s">
        <v>2930</v>
      </c>
      <c r="G2668" s="41" t="s">
        <v>2931</v>
      </c>
    </row>
    <row r="2669" spans="1:7" x14ac:dyDescent="0.25">
      <c r="A2669" s="41" t="s">
        <v>5876</v>
      </c>
      <c r="B2669" s="41" t="s">
        <v>5875</v>
      </c>
      <c r="C2669" s="41" t="s">
        <v>2928</v>
      </c>
      <c r="D2669" s="41" t="s">
        <v>5874</v>
      </c>
      <c r="E2669" s="41" t="s">
        <v>2929</v>
      </c>
      <c r="F2669" s="41" t="s">
        <v>2933</v>
      </c>
      <c r="G2669" s="41" t="s">
        <v>2934</v>
      </c>
    </row>
    <row r="2670" spans="1:7" x14ac:dyDescent="0.25">
      <c r="A2670" s="41" t="s">
        <v>5877</v>
      </c>
      <c r="B2670" s="41" t="s">
        <v>5875</v>
      </c>
      <c r="C2670" s="41" t="s">
        <v>2928</v>
      </c>
      <c r="D2670" s="41" t="s">
        <v>5874</v>
      </c>
      <c r="E2670" s="41" t="s">
        <v>2929</v>
      </c>
      <c r="F2670" s="41" t="s">
        <v>2933</v>
      </c>
      <c r="G2670" s="41" t="s">
        <v>2934</v>
      </c>
    </row>
    <row r="2671" spans="1:7" x14ac:dyDescent="0.25">
      <c r="A2671" s="41" t="s">
        <v>5878</v>
      </c>
      <c r="B2671" s="41" t="s">
        <v>5875</v>
      </c>
      <c r="C2671" s="41" t="s">
        <v>2928</v>
      </c>
      <c r="D2671" s="41" t="s">
        <v>5874</v>
      </c>
      <c r="E2671" s="41" t="s">
        <v>2929</v>
      </c>
      <c r="F2671" s="41" t="s">
        <v>2933</v>
      </c>
      <c r="G2671" s="41" t="s">
        <v>2934</v>
      </c>
    </row>
    <row r="2672" spans="1:7" x14ac:dyDescent="0.25">
      <c r="A2672" s="41" t="s">
        <v>5879</v>
      </c>
      <c r="B2672" s="41" t="s">
        <v>5875</v>
      </c>
      <c r="C2672" s="41" t="s">
        <v>2928</v>
      </c>
      <c r="D2672" s="41" t="s">
        <v>5874</v>
      </c>
      <c r="E2672" s="41" t="s">
        <v>2929</v>
      </c>
      <c r="F2672" s="41" t="s">
        <v>2933</v>
      </c>
      <c r="G2672" s="41" t="s">
        <v>2934</v>
      </c>
    </row>
    <row r="2673" spans="1:7" x14ac:dyDescent="0.25">
      <c r="A2673" s="41" t="s">
        <v>5880</v>
      </c>
      <c r="B2673" s="41" t="s">
        <v>5875</v>
      </c>
      <c r="C2673" s="41" t="s">
        <v>2928</v>
      </c>
      <c r="D2673" s="41" t="s">
        <v>5874</v>
      </c>
      <c r="E2673" s="41" t="s">
        <v>2929</v>
      </c>
      <c r="F2673" s="41" t="s">
        <v>2933</v>
      </c>
      <c r="G2673" s="41" t="s">
        <v>2934</v>
      </c>
    </row>
    <row r="2674" spans="1:7" x14ac:dyDescent="0.25">
      <c r="A2674" s="41" t="s">
        <v>5881</v>
      </c>
      <c r="B2674" s="41" t="s">
        <v>5875</v>
      </c>
      <c r="C2674" s="41" t="s">
        <v>2928</v>
      </c>
      <c r="D2674" s="41" t="s">
        <v>5874</v>
      </c>
      <c r="E2674" s="41" t="s">
        <v>2929</v>
      </c>
      <c r="F2674" s="41" t="s">
        <v>2933</v>
      </c>
      <c r="G2674" s="41" t="s">
        <v>2934</v>
      </c>
    </row>
    <row r="2675" spans="1:7" x14ac:dyDescent="0.25">
      <c r="A2675" s="41" t="s">
        <v>5882</v>
      </c>
      <c r="B2675" s="41" t="s">
        <v>5875</v>
      </c>
      <c r="C2675" s="41" t="s">
        <v>2928</v>
      </c>
      <c r="D2675" s="41" t="s">
        <v>5874</v>
      </c>
      <c r="E2675" s="41" t="s">
        <v>2929</v>
      </c>
      <c r="F2675" s="41" t="s">
        <v>2933</v>
      </c>
      <c r="G2675" s="41" t="s">
        <v>2934</v>
      </c>
    </row>
    <row r="2676" spans="1:7" x14ac:dyDescent="0.25">
      <c r="A2676" s="41" t="s">
        <v>5883</v>
      </c>
      <c r="B2676" s="41" t="s">
        <v>5875</v>
      </c>
      <c r="C2676" s="41" t="s">
        <v>2928</v>
      </c>
      <c r="D2676" s="41" t="s">
        <v>5874</v>
      </c>
      <c r="E2676" s="41" t="s">
        <v>2929</v>
      </c>
      <c r="F2676" s="41" t="s">
        <v>2930</v>
      </c>
      <c r="G2676" s="41" t="s">
        <v>2931</v>
      </c>
    </row>
    <row r="2677" spans="1:7" x14ac:dyDescent="0.25">
      <c r="A2677" s="41" t="s">
        <v>5884</v>
      </c>
      <c r="B2677" s="41" t="s">
        <v>5875</v>
      </c>
      <c r="C2677" s="41" t="s">
        <v>2928</v>
      </c>
      <c r="D2677" s="41" t="s">
        <v>5874</v>
      </c>
      <c r="E2677" s="41" t="s">
        <v>2929</v>
      </c>
      <c r="F2677" s="41" t="s">
        <v>2930</v>
      </c>
      <c r="G2677" s="41" t="s">
        <v>2931</v>
      </c>
    </row>
    <row r="2678" spans="1:7" x14ac:dyDescent="0.25">
      <c r="A2678" s="41" t="s">
        <v>5885</v>
      </c>
      <c r="B2678" s="41" t="s">
        <v>5875</v>
      </c>
      <c r="C2678" s="41" t="s">
        <v>2928</v>
      </c>
      <c r="D2678" s="41" t="s">
        <v>5874</v>
      </c>
      <c r="E2678" s="41" t="s">
        <v>2929</v>
      </c>
      <c r="F2678" s="41" t="s">
        <v>2930</v>
      </c>
      <c r="G2678" s="41" t="s">
        <v>2931</v>
      </c>
    </row>
    <row r="2679" spans="1:7" x14ac:dyDescent="0.25">
      <c r="A2679" s="41" t="s">
        <v>5886</v>
      </c>
      <c r="B2679" s="41" t="s">
        <v>5875</v>
      </c>
      <c r="C2679" s="41" t="s">
        <v>2928</v>
      </c>
      <c r="D2679" s="41" t="s">
        <v>5874</v>
      </c>
      <c r="E2679" s="41" t="s">
        <v>2929</v>
      </c>
      <c r="F2679" s="41" t="s">
        <v>2930</v>
      </c>
      <c r="G2679" s="41" t="s">
        <v>2931</v>
      </c>
    </row>
    <row r="2680" spans="1:7" x14ac:dyDescent="0.25">
      <c r="A2680" s="41" t="s">
        <v>5887</v>
      </c>
      <c r="B2680" s="41" t="s">
        <v>5875</v>
      </c>
      <c r="C2680" s="41" t="s">
        <v>2928</v>
      </c>
      <c r="D2680" s="41" t="s">
        <v>5874</v>
      </c>
      <c r="E2680" s="41" t="s">
        <v>2929</v>
      </c>
      <c r="F2680" s="41" t="s">
        <v>2930</v>
      </c>
      <c r="G2680" s="41" t="s">
        <v>2931</v>
      </c>
    </row>
    <row r="2681" spans="1:7" x14ac:dyDescent="0.25">
      <c r="A2681" s="41" t="s">
        <v>5888</v>
      </c>
      <c r="B2681" s="41" t="s">
        <v>5875</v>
      </c>
      <c r="C2681" s="41" t="s">
        <v>2928</v>
      </c>
      <c r="D2681" s="41" t="s">
        <v>5874</v>
      </c>
      <c r="E2681" s="41" t="s">
        <v>2929</v>
      </c>
      <c r="F2681" s="41" t="s">
        <v>2930</v>
      </c>
      <c r="G2681" s="41" t="s">
        <v>2931</v>
      </c>
    </row>
    <row r="2682" spans="1:7" x14ac:dyDescent="0.25">
      <c r="A2682" s="41" t="s">
        <v>5889</v>
      </c>
      <c r="B2682" s="41" t="s">
        <v>5875</v>
      </c>
      <c r="C2682" s="41" t="s">
        <v>2928</v>
      </c>
      <c r="D2682" s="41" t="s">
        <v>5874</v>
      </c>
      <c r="E2682" s="41" t="s">
        <v>2929</v>
      </c>
      <c r="F2682" s="41" t="s">
        <v>2930</v>
      </c>
      <c r="G2682" s="41" t="s">
        <v>2931</v>
      </c>
    </row>
    <row r="2683" spans="1:7" x14ac:dyDescent="0.25">
      <c r="A2683" s="41" t="s">
        <v>5890</v>
      </c>
      <c r="B2683" s="41" t="s">
        <v>5875</v>
      </c>
      <c r="C2683" s="41" t="s">
        <v>2928</v>
      </c>
      <c r="D2683" s="41" t="s">
        <v>5874</v>
      </c>
      <c r="E2683" s="41" t="s">
        <v>2929</v>
      </c>
      <c r="F2683" s="41" t="s">
        <v>2949</v>
      </c>
      <c r="G2683" s="41" t="s">
        <v>2950</v>
      </c>
    </row>
    <row r="2684" spans="1:7" x14ac:dyDescent="0.25">
      <c r="A2684" s="41" t="s">
        <v>5891</v>
      </c>
      <c r="B2684" s="41" t="s">
        <v>5875</v>
      </c>
      <c r="C2684" s="41" t="s">
        <v>2928</v>
      </c>
      <c r="D2684" s="41" t="s">
        <v>5874</v>
      </c>
      <c r="E2684" s="41" t="s">
        <v>2929</v>
      </c>
      <c r="F2684" s="41" t="s">
        <v>2949</v>
      </c>
      <c r="G2684" s="41" t="s">
        <v>2950</v>
      </c>
    </row>
    <row r="2685" spans="1:7" x14ac:dyDescent="0.25">
      <c r="A2685" s="41" t="s">
        <v>5892</v>
      </c>
      <c r="B2685" s="41" t="s">
        <v>5875</v>
      </c>
      <c r="C2685" s="41" t="s">
        <v>2928</v>
      </c>
      <c r="D2685" s="41" t="s">
        <v>5874</v>
      </c>
      <c r="E2685" s="41" t="s">
        <v>2929</v>
      </c>
      <c r="F2685" s="41" t="s">
        <v>2949</v>
      </c>
      <c r="G2685" s="41" t="s">
        <v>2950</v>
      </c>
    </row>
    <row r="2686" spans="1:7" x14ac:dyDescent="0.25">
      <c r="A2686" s="41" t="s">
        <v>5893</v>
      </c>
      <c r="B2686" s="41" t="s">
        <v>5875</v>
      </c>
      <c r="C2686" s="41" t="s">
        <v>2928</v>
      </c>
      <c r="D2686" s="41" t="s">
        <v>5874</v>
      </c>
      <c r="E2686" s="41" t="s">
        <v>2929</v>
      </c>
      <c r="F2686" s="41" t="s">
        <v>2949</v>
      </c>
      <c r="G2686" s="41" t="s">
        <v>2950</v>
      </c>
    </row>
    <row r="2687" spans="1:7" x14ac:dyDescent="0.25">
      <c r="A2687" s="41" t="s">
        <v>5894</v>
      </c>
      <c r="B2687" s="41" t="s">
        <v>5875</v>
      </c>
      <c r="C2687" s="41" t="s">
        <v>2928</v>
      </c>
      <c r="D2687" s="41" t="s">
        <v>5874</v>
      </c>
      <c r="E2687" s="41" t="s">
        <v>2929</v>
      </c>
      <c r="F2687" s="41" t="s">
        <v>2949</v>
      </c>
      <c r="G2687" s="41" t="s">
        <v>2950</v>
      </c>
    </row>
    <row r="2688" spans="1:7" x14ac:dyDescent="0.25">
      <c r="A2688" s="41" t="s">
        <v>5895</v>
      </c>
      <c r="B2688" s="41" t="s">
        <v>5875</v>
      </c>
      <c r="C2688" s="41" t="s">
        <v>2928</v>
      </c>
      <c r="D2688" s="41" t="s">
        <v>5874</v>
      </c>
      <c r="E2688" s="41" t="s">
        <v>2929</v>
      </c>
      <c r="F2688" s="41" t="s">
        <v>2949</v>
      </c>
      <c r="G2688" s="41" t="s">
        <v>2950</v>
      </c>
    </row>
    <row r="2689" spans="1:7" x14ac:dyDescent="0.25">
      <c r="A2689" s="41" t="s">
        <v>5896</v>
      </c>
      <c r="B2689" s="41" t="s">
        <v>5875</v>
      </c>
      <c r="C2689" s="41" t="s">
        <v>2928</v>
      </c>
      <c r="D2689" s="41" t="s">
        <v>5874</v>
      </c>
      <c r="E2689" s="41" t="s">
        <v>2929</v>
      </c>
      <c r="F2689" s="41" t="s">
        <v>2949</v>
      </c>
      <c r="G2689" s="41" t="s">
        <v>2950</v>
      </c>
    </row>
    <row r="2690" spans="1:7" x14ac:dyDescent="0.25">
      <c r="A2690" s="41" t="s">
        <v>5897</v>
      </c>
      <c r="B2690" s="41" t="s">
        <v>168</v>
      </c>
      <c r="C2690" s="41" t="s">
        <v>2928</v>
      </c>
      <c r="D2690" s="41" t="s">
        <v>5897</v>
      </c>
      <c r="E2690" s="41" t="s">
        <v>2929</v>
      </c>
      <c r="F2690" s="41" t="s">
        <v>2930</v>
      </c>
      <c r="G2690" s="41" t="s">
        <v>2931</v>
      </c>
    </row>
    <row r="2691" spans="1:7" x14ac:dyDescent="0.25">
      <c r="A2691" s="41" t="s">
        <v>5898</v>
      </c>
      <c r="B2691" s="41" t="s">
        <v>168</v>
      </c>
      <c r="C2691" s="41" t="s">
        <v>2928</v>
      </c>
      <c r="D2691" s="41" t="s">
        <v>5897</v>
      </c>
      <c r="E2691" s="41" t="s">
        <v>2929</v>
      </c>
      <c r="F2691" s="41" t="s">
        <v>2933</v>
      </c>
      <c r="G2691" s="41" t="s">
        <v>2934</v>
      </c>
    </row>
    <row r="2692" spans="1:7" x14ac:dyDescent="0.25">
      <c r="A2692" s="41" t="s">
        <v>5899</v>
      </c>
      <c r="B2692" s="41" t="s">
        <v>168</v>
      </c>
      <c r="C2692" s="41" t="s">
        <v>2928</v>
      </c>
      <c r="D2692" s="41" t="s">
        <v>5897</v>
      </c>
      <c r="E2692" s="41" t="s">
        <v>2929</v>
      </c>
      <c r="F2692" s="41" t="s">
        <v>2933</v>
      </c>
      <c r="G2692" s="41" t="s">
        <v>2934</v>
      </c>
    </row>
    <row r="2693" spans="1:7" x14ac:dyDescent="0.25">
      <c r="A2693" s="41" t="s">
        <v>5900</v>
      </c>
      <c r="B2693" s="41" t="s">
        <v>168</v>
      </c>
      <c r="C2693" s="41" t="s">
        <v>2928</v>
      </c>
      <c r="D2693" s="41" t="s">
        <v>5897</v>
      </c>
      <c r="E2693" s="41" t="s">
        <v>2929</v>
      </c>
      <c r="F2693" s="41" t="s">
        <v>2933</v>
      </c>
      <c r="G2693" s="41" t="s">
        <v>2934</v>
      </c>
    </row>
    <row r="2694" spans="1:7" x14ac:dyDescent="0.25">
      <c r="A2694" s="41" t="s">
        <v>5901</v>
      </c>
      <c r="B2694" s="41" t="s">
        <v>168</v>
      </c>
      <c r="C2694" s="41" t="s">
        <v>2928</v>
      </c>
      <c r="D2694" s="41" t="s">
        <v>5897</v>
      </c>
      <c r="E2694" s="41" t="s">
        <v>2929</v>
      </c>
      <c r="F2694" s="41" t="s">
        <v>2933</v>
      </c>
      <c r="G2694" s="41" t="s">
        <v>2934</v>
      </c>
    </row>
    <row r="2695" spans="1:7" x14ac:dyDescent="0.25">
      <c r="A2695" s="41" t="s">
        <v>5902</v>
      </c>
      <c r="B2695" s="41" t="s">
        <v>168</v>
      </c>
      <c r="C2695" s="41" t="s">
        <v>2928</v>
      </c>
      <c r="D2695" s="41" t="s">
        <v>5897</v>
      </c>
      <c r="E2695" s="41" t="s">
        <v>2929</v>
      </c>
      <c r="F2695" s="41" t="s">
        <v>2933</v>
      </c>
      <c r="G2695" s="41" t="s">
        <v>2934</v>
      </c>
    </row>
    <row r="2696" spans="1:7" x14ac:dyDescent="0.25">
      <c r="A2696" s="41" t="s">
        <v>5903</v>
      </c>
      <c r="B2696" s="41" t="s">
        <v>168</v>
      </c>
      <c r="C2696" s="41" t="s">
        <v>2928</v>
      </c>
      <c r="D2696" s="41" t="s">
        <v>5897</v>
      </c>
      <c r="E2696" s="41" t="s">
        <v>2929</v>
      </c>
      <c r="F2696" s="41" t="s">
        <v>2933</v>
      </c>
      <c r="G2696" s="41" t="s">
        <v>2934</v>
      </c>
    </row>
    <row r="2697" spans="1:7" x14ac:dyDescent="0.25">
      <c r="A2697" s="41" t="s">
        <v>5904</v>
      </c>
      <c r="B2697" s="41" t="s">
        <v>168</v>
      </c>
      <c r="C2697" s="41" t="s">
        <v>2928</v>
      </c>
      <c r="D2697" s="41" t="s">
        <v>5897</v>
      </c>
      <c r="E2697" s="41" t="s">
        <v>2929</v>
      </c>
      <c r="F2697" s="41" t="s">
        <v>2933</v>
      </c>
      <c r="G2697" s="41" t="s">
        <v>2934</v>
      </c>
    </row>
    <row r="2698" spans="1:7" x14ac:dyDescent="0.25">
      <c r="A2698" s="41" t="s">
        <v>5905</v>
      </c>
      <c r="B2698" s="41" t="s">
        <v>168</v>
      </c>
      <c r="C2698" s="41" t="s">
        <v>2928</v>
      </c>
      <c r="D2698" s="41" t="s">
        <v>5897</v>
      </c>
      <c r="E2698" s="41" t="s">
        <v>2929</v>
      </c>
      <c r="F2698" s="41" t="s">
        <v>2930</v>
      </c>
      <c r="G2698" s="41" t="s">
        <v>2931</v>
      </c>
    </row>
    <row r="2699" spans="1:7" x14ac:dyDescent="0.25">
      <c r="A2699" s="41" t="s">
        <v>5906</v>
      </c>
      <c r="B2699" s="41" t="s">
        <v>168</v>
      </c>
      <c r="C2699" s="41" t="s">
        <v>2928</v>
      </c>
      <c r="D2699" s="41" t="s">
        <v>5897</v>
      </c>
      <c r="E2699" s="41" t="s">
        <v>2929</v>
      </c>
      <c r="F2699" s="41" t="s">
        <v>2930</v>
      </c>
      <c r="G2699" s="41" t="s">
        <v>2931</v>
      </c>
    </row>
    <row r="2700" spans="1:7" x14ac:dyDescent="0.25">
      <c r="A2700" s="41" t="s">
        <v>5907</v>
      </c>
      <c r="B2700" s="41" t="s">
        <v>168</v>
      </c>
      <c r="C2700" s="41" t="s">
        <v>2928</v>
      </c>
      <c r="D2700" s="41" t="s">
        <v>5897</v>
      </c>
      <c r="E2700" s="41" t="s">
        <v>2929</v>
      </c>
      <c r="F2700" s="41" t="s">
        <v>2930</v>
      </c>
      <c r="G2700" s="41" t="s">
        <v>2931</v>
      </c>
    </row>
    <row r="2701" spans="1:7" x14ac:dyDescent="0.25">
      <c r="A2701" s="41" t="s">
        <v>5908</v>
      </c>
      <c r="B2701" s="41" t="s">
        <v>168</v>
      </c>
      <c r="C2701" s="41" t="s">
        <v>2928</v>
      </c>
      <c r="D2701" s="41" t="s">
        <v>5897</v>
      </c>
      <c r="E2701" s="41" t="s">
        <v>2929</v>
      </c>
      <c r="F2701" s="41" t="s">
        <v>2930</v>
      </c>
      <c r="G2701" s="41" t="s">
        <v>2931</v>
      </c>
    </row>
    <row r="2702" spans="1:7" x14ac:dyDescent="0.25">
      <c r="A2702" s="41" t="s">
        <v>5909</v>
      </c>
      <c r="B2702" s="41" t="s">
        <v>168</v>
      </c>
      <c r="C2702" s="41" t="s">
        <v>2928</v>
      </c>
      <c r="D2702" s="41" t="s">
        <v>5897</v>
      </c>
      <c r="E2702" s="41" t="s">
        <v>2929</v>
      </c>
      <c r="F2702" s="41" t="s">
        <v>2930</v>
      </c>
      <c r="G2702" s="41" t="s">
        <v>2931</v>
      </c>
    </row>
    <row r="2703" spans="1:7" x14ac:dyDescent="0.25">
      <c r="A2703" s="41" t="s">
        <v>5910</v>
      </c>
      <c r="B2703" s="41" t="s">
        <v>168</v>
      </c>
      <c r="C2703" s="41" t="s">
        <v>2928</v>
      </c>
      <c r="D2703" s="41" t="s">
        <v>5897</v>
      </c>
      <c r="E2703" s="41" t="s">
        <v>2929</v>
      </c>
      <c r="F2703" s="41" t="s">
        <v>2930</v>
      </c>
      <c r="G2703" s="41" t="s">
        <v>2931</v>
      </c>
    </row>
    <row r="2704" spans="1:7" x14ac:dyDescent="0.25">
      <c r="A2704" s="41" t="s">
        <v>5911</v>
      </c>
      <c r="B2704" s="41" t="s">
        <v>168</v>
      </c>
      <c r="C2704" s="41" t="s">
        <v>2928</v>
      </c>
      <c r="D2704" s="41" t="s">
        <v>5897</v>
      </c>
      <c r="E2704" s="41" t="s">
        <v>2929</v>
      </c>
      <c r="F2704" s="41" t="s">
        <v>2930</v>
      </c>
      <c r="G2704" s="41" t="s">
        <v>2931</v>
      </c>
    </row>
    <row r="2705" spans="1:7" x14ac:dyDescent="0.25">
      <c r="A2705" s="41" t="s">
        <v>5912</v>
      </c>
      <c r="B2705" s="41" t="s">
        <v>168</v>
      </c>
      <c r="C2705" s="41" t="s">
        <v>2928</v>
      </c>
      <c r="D2705" s="41" t="s">
        <v>5897</v>
      </c>
      <c r="E2705" s="41" t="s">
        <v>2929</v>
      </c>
      <c r="F2705" s="41" t="s">
        <v>2949</v>
      </c>
      <c r="G2705" s="41" t="s">
        <v>2950</v>
      </c>
    </row>
    <row r="2706" spans="1:7" x14ac:dyDescent="0.25">
      <c r="A2706" s="41" t="s">
        <v>5913</v>
      </c>
      <c r="B2706" s="41" t="s">
        <v>168</v>
      </c>
      <c r="C2706" s="41" t="s">
        <v>2928</v>
      </c>
      <c r="D2706" s="41" t="s">
        <v>5897</v>
      </c>
      <c r="E2706" s="41" t="s">
        <v>2929</v>
      </c>
      <c r="F2706" s="41" t="s">
        <v>2949</v>
      </c>
      <c r="G2706" s="41" t="s">
        <v>2950</v>
      </c>
    </row>
    <row r="2707" spans="1:7" x14ac:dyDescent="0.25">
      <c r="A2707" s="41" t="s">
        <v>5914</v>
      </c>
      <c r="B2707" s="41" t="s">
        <v>168</v>
      </c>
      <c r="C2707" s="41" t="s">
        <v>2928</v>
      </c>
      <c r="D2707" s="41" t="s">
        <v>5897</v>
      </c>
      <c r="E2707" s="41" t="s">
        <v>2929</v>
      </c>
      <c r="F2707" s="41" t="s">
        <v>2949</v>
      </c>
      <c r="G2707" s="41" t="s">
        <v>2950</v>
      </c>
    </row>
    <row r="2708" spans="1:7" x14ac:dyDescent="0.25">
      <c r="A2708" s="41" t="s">
        <v>5915</v>
      </c>
      <c r="B2708" s="41" t="s">
        <v>168</v>
      </c>
      <c r="C2708" s="41" t="s">
        <v>2928</v>
      </c>
      <c r="D2708" s="41" t="s">
        <v>5897</v>
      </c>
      <c r="E2708" s="41" t="s">
        <v>2929</v>
      </c>
      <c r="F2708" s="41" t="s">
        <v>2949</v>
      </c>
      <c r="G2708" s="41" t="s">
        <v>2950</v>
      </c>
    </row>
    <row r="2709" spans="1:7" x14ac:dyDescent="0.25">
      <c r="A2709" s="41" t="s">
        <v>5916</v>
      </c>
      <c r="B2709" s="41" t="s">
        <v>168</v>
      </c>
      <c r="C2709" s="41" t="s">
        <v>2928</v>
      </c>
      <c r="D2709" s="41" t="s">
        <v>5897</v>
      </c>
      <c r="E2709" s="41" t="s">
        <v>2929</v>
      </c>
      <c r="F2709" s="41" t="s">
        <v>2949</v>
      </c>
      <c r="G2709" s="41" t="s">
        <v>2950</v>
      </c>
    </row>
    <row r="2710" spans="1:7" x14ac:dyDescent="0.25">
      <c r="A2710" s="41" t="s">
        <v>5917</v>
      </c>
      <c r="B2710" s="41" t="s">
        <v>168</v>
      </c>
      <c r="C2710" s="41" t="s">
        <v>2928</v>
      </c>
      <c r="D2710" s="41" t="s">
        <v>5897</v>
      </c>
      <c r="E2710" s="41" t="s">
        <v>2929</v>
      </c>
      <c r="F2710" s="41" t="s">
        <v>2949</v>
      </c>
      <c r="G2710" s="41" t="s">
        <v>2950</v>
      </c>
    </row>
    <row r="2711" spans="1:7" x14ac:dyDescent="0.25">
      <c r="A2711" s="41" t="s">
        <v>5918</v>
      </c>
      <c r="B2711" s="41" t="s">
        <v>168</v>
      </c>
      <c r="C2711" s="41" t="s">
        <v>2928</v>
      </c>
      <c r="D2711" s="41" t="s">
        <v>5897</v>
      </c>
      <c r="E2711" s="41" t="s">
        <v>2929</v>
      </c>
      <c r="F2711" s="41" t="s">
        <v>2949</v>
      </c>
      <c r="G2711" s="41" t="s">
        <v>2950</v>
      </c>
    </row>
    <row r="2712" spans="1:7" x14ac:dyDescent="0.25">
      <c r="A2712" s="41" t="s">
        <v>5919</v>
      </c>
      <c r="B2712" s="41" t="s">
        <v>5920</v>
      </c>
      <c r="C2712" s="41" t="s">
        <v>2928</v>
      </c>
      <c r="D2712" s="41" t="s">
        <v>5919</v>
      </c>
      <c r="E2712" s="41" t="s">
        <v>2929</v>
      </c>
      <c r="F2712" s="41" t="s">
        <v>2930</v>
      </c>
      <c r="G2712" s="41" t="s">
        <v>2931</v>
      </c>
    </row>
    <row r="2713" spans="1:7" x14ac:dyDescent="0.25">
      <c r="A2713" s="41" t="s">
        <v>5921</v>
      </c>
      <c r="B2713" s="41" t="s">
        <v>5920</v>
      </c>
      <c r="C2713" s="41" t="s">
        <v>2928</v>
      </c>
      <c r="D2713" s="41" t="s">
        <v>5919</v>
      </c>
      <c r="E2713" s="41" t="s">
        <v>2929</v>
      </c>
      <c r="F2713" s="41" t="s">
        <v>2933</v>
      </c>
      <c r="G2713" s="41" t="s">
        <v>2934</v>
      </c>
    </row>
    <row r="2714" spans="1:7" x14ac:dyDescent="0.25">
      <c r="A2714" s="41" t="s">
        <v>5922</v>
      </c>
      <c r="B2714" s="41" t="s">
        <v>5920</v>
      </c>
      <c r="C2714" s="41" t="s">
        <v>2928</v>
      </c>
      <c r="D2714" s="41" t="s">
        <v>5919</v>
      </c>
      <c r="E2714" s="41" t="s">
        <v>2929</v>
      </c>
      <c r="F2714" s="41" t="s">
        <v>2933</v>
      </c>
      <c r="G2714" s="41" t="s">
        <v>2934</v>
      </c>
    </row>
    <row r="2715" spans="1:7" x14ac:dyDescent="0.25">
      <c r="A2715" s="41" t="s">
        <v>5923</v>
      </c>
      <c r="B2715" s="41" t="s">
        <v>5920</v>
      </c>
      <c r="C2715" s="41" t="s">
        <v>2928</v>
      </c>
      <c r="D2715" s="41" t="s">
        <v>5919</v>
      </c>
      <c r="E2715" s="41" t="s">
        <v>2929</v>
      </c>
      <c r="F2715" s="41" t="s">
        <v>2930</v>
      </c>
      <c r="G2715" s="41" t="s">
        <v>2931</v>
      </c>
    </row>
    <row r="2716" spans="1:7" x14ac:dyDescent="0.25">
      <c r="A2716" s="41" t="s">
        <v>5924</v>
      </c>
      <c r="B2716" s="41" t="s">
        <v>5920</v>
      </c>
      <c r="C2716" s="41" t="s">
        <v>2928</v>
      </c>
      <c r="D2716" s="41" t="s">
        <v>5919</v>
      </c>
      <c r="E2716" s="41" t="s">
        <v>2929</v>
      </c>
      <c r="F2716" s="41" t="s">
        <v>2949</v>
      </c>
      <c r="G2716" s="41" t="s">
        <v>2950</v>
      </c>
    </row>
    <row r="2717" spans="1:7" x14ac:dyDescent="0.25">
      <c r="A2717" s="41" t="s">
        <v>5925</v>
      </c>
      <c r="B2717" s="41" t="s">
        <v>5920</v>
      </c>
      <c r="C2717" s="41" t="s">
        <v>2928</v>
      </c>
      <c r="D2717" s="41" t="s">
        <v>5919</v>
      </c>
      <c r="E2717" s="41" t="s">
        <v>2929</v>
      </c>
      <c r="F2717" s="41" t="s">
        <v>2949</v>
      </c>
      <c r="G2717" s="41" t="s">
        <v>2950</v>
      </c>
    </row>
    <row r="2718" spans="1:7" x14ac:dyDescent="0.25">
      <c r="A2718" s="41" t="s">
        <v>5926</v>
      </c>
      <c r="B2718" s="41" t="s">
        <v>5927</v>
      </c>
      <c r="C2718" s="41" t="s">
        <v>2928</v>
      </c>
      <c r="D2718" s="41" t="s">
        <v>5926</v>
      </c>
      <c r="E2718" s="41" t="s">
        <v>2929</v>
      </c>
      <c r="F2718" s="41" t="s">
        <v>2930</v>
      </c>
      <c r="G2718" s="41" t="s">
        <v>2931</v>
      </c>
    </row>
    <row r="2719" spans="1:7" x14ac:dyDescent="0.25">
      <c r="A2719" s="41" t="s">
        <v>5928</v>
      </c>
      <c r="B2719" s="41" t="s">
        <v>5927</v>
      </c>
      <c r="C2719" s="41" t="s">
        <v>2928</v>
      </c>
      <c r="D2719" s="41" t="s">
        <v>5926</v>
      </c>
      <c r="E2719" s="41" t="s">
        <v>2929</v>
      </c>
      <c r="F2719" s="41" t="s">
        <v>2933</v>
      </c>
      <c r="G2719" s="41" t="s">
        <v>2934</v>
      </c>
    </row>
    <row r="2720" spans="1:7" x14ac:dyDescent="0.25">
      <c r="A2720" s="41" t="s">
        <v>5929</v>
      </c>
      <c r="B2720" s="41" t="s">
        <v>5927</v>
      </c>
      <c r="C2720" s="41" t="s">
        <v>2928</v>
      </c>
      <c r="D2720" s="41" t="s">
        <v>5926</v>
      </c>
      <c r="E2720" s="41" t="s">
        <v>2929</v>
      </c>
      <c r="F2720" s="41" t="s">
        <v>2933</v>
      </c>
      <c r="G2720" s="41" t="s">
        <v>2934</v>
      </c>
    </row>
    <row r="2721" spans="1:7" x14ac:dyDescent="0.25">
      <c r="A2721" s="41" t="s">
        <v>5930</v>
      </c>
      <c r="B2721" s="41" t="s">
        <v>5927</v>
      </c>
      <c r="C2721" s="41" t="s">
        <v>2928</v>
      </c>
      <c r="D2721" s="41" t="s">
        <v>5926</v>
      </c>
      <c r="E2721" s="41" t="s">
        <v>2929</v>
      </c>
      <c r="F2721" s="41" t="s">
        <v>2930</v>
      </c>
      <c r="G2721" s="41" t="s">
        <v>2931</v>
      </c>
    </row>
    <row r="2722" spans="1:7" x14ac:dyDescent="0.25">
      <c r="A2722" s="41" t="s">
        <v>5931</v>
      </c>
      <c r="B2722" s="41" t="s">
        <v>5927</v>
      </c>
      <c r="C2722" s="41" t="s">
        <v>2928</v>
      </c>
      <c r="D2722" s="41" t="s">
        <v>5926</v>
      </c>
      <c r="E2722" s="41" t="s">
        <v>2929</v>
      </c>
      <c r="F2722" s="41" t="s">
        <v>2949</v>
      </c>
      <c r="G2722" s="41" t="s">
        <v>2950</v>
      </c>
    </row>
    <row r="2723" spans="1:7" x14ac:dyDescent="0.25">
      <c r="A2723" s="41" t="s">
        <v>5932</v>
      </c>
      <c r="B2723" s="41" t="s">
        <v>5927</v>
      </c>
      <c r="C2723" s="41" t="s">
        <v>2928</v>
      </c>
      <c r="D2723" s="41" t="s">
        <v>5926</v>
      </c>
      <c r="E2723" s="41" t="s">
        <v>2929</v>
      </c>
      <c r="F2723" s="41" t="s">
        <v>2949</v>
      </c>
      <c r="G2723" s="41" t="s">
        <v>2950</v>
      </c>
    </row>
    <row r="2724" spans="1:7" x14ac:dyDescent="0.25">
      <c r="A2724" s="41" t="s">
        <v>5933</v>
      </c>
      <c r="B2724" s="41" t="s">
        <v>5934</v>
      </c>
      <c r="C2724" s="41" t="s">
        <v>2928</v>
      </c>
      <c r="D2724" s="41" t="s">
        <v>5933</v>
      </c>
      <c r="E2724" s="41" t="s">
        <v>2929</v>
      </c>
      <c r="F2724" s="41" t="s">
        <v>2930</v>
      </c>
      <c r="G2724" s="41" t="s">
        <v>2931</v>
      </c>
    </row>
    <row r="2725" spans="1:7" x14ac:dyDescent="0.25">
      <c r="A2725" s="41" t="s">
        <v>5935</v>
      </c>
      <c r="B2725" s="41" t="s">
        <v>5934</v>
      </c>
      <c r="C2725" s="41" t="s">
        <v>2928</v>
      </c>
      <c r="D2725" s="41" t="s">
        <v>5933</v>
      </c>
      <c r="E2725" s="41" t="s">
        <v>2929</v>
      </c>
      <c r="F2725" s="41" t="s">
        <v>2933</v>
      </c>
      <c r="G2725" s="41" t="s">
        <v>2934</v>
      </c>
    </row>
    <row r="2726" spans="1:7" x14ac:dyDescent="0.25">
      <c r="A2726" s="41" t="s">
        <v>5936</v>
      </c>
      <c r="B2726" s="41" t="s">
        <v>5934</v>
      </c>
      <c r="C2726" s="41" t="s">
        <v>2928</v>
      </c>
      <c r="D2726" s="41" t="s">
        <v>5933</v>
      </c>
      <c r="E2726" s="41" t="s">
        <v>2929</v>
      </c>
      <c r="F2726" s="41" t="s">
        <v>2933</v>
      </c>
      <c r="G2726" s="41" t="s">
        <v>2934</v>
      </c>
    </row>
    <row r="2727" spans="1:7" x14ac:dyDescent="0.25">
      <c r="A2727" s="41" t="s">
        <v>5937</v>
      </c>
      <c r="B2727" s="41" t="s">
        <v>5934</v>
      </c>
      <c r="C2727" s="41" t="s">
        <v>2928</v>
      </c>
      <c r="D2727" s="41" t="s">
        <v>5933</v>
      </c>
      <c r="E2727" s="41" t="s">
        <v>2929</v>
      </c>
      <c r="F2727" s="41" t="s">
        <v>2930</v>
      </c>
      <c r="G2727" s="41" t="s">
        <v>2931</v>
      </c>
    </row>
    <row r="2728" spans="1:7" x14ac:dyDescent="0.25">
      <c r="A2728" s="41" t="s">
        <v>5938</v>
      </c>
      <c r="B2728" s="41" t="s">
        <v>5934</v>
      </c>
      <c r="C2728" s="41" t="s">
        <v>2928</v>
      </c>
      <c r="D2728" s="41" t="s">
        <v>5933</v>
      </c>
      <c r="E2728" s="41" t="s">
        <v>2929</v>
      </c>
      <c r="F2728" s="41" t="s">
        <v>2949</v>
      </c>
      <c r="G2728" s="41" t="s">
        <v>2950</v>
      </c>
    </row>
    <row r="2729" spans="1:7" x14ac:dyDescent="0.25">
      <c r="A2729" s="41" t="s">
        <v>5939</v>
      </c>
      <c r="B2729" s="41" t="s">
        <v>5934</v>
      </c>
      <c r="C2729" s="41" t="s">
        <v>2928</v>
      </c>
      <c r="D2729" s="41" t="s">
        <v>5933</v>
      </c>
      <c r="E2729" s="41" t="s">
        <v>2929</v>
      </c>
      <c r="F2729" s="41" t="s">
        <v>2949</v>
      </c>
      <c r="G2729" s="41" t="s">
        <v>2950</v>
      </c>
    </row>
    <row r="2730" spans="1:7" x14ac:dyDescent="0.25">
      <c r="A2730" s="41" t="s">
        <v>5940</v>
      </c>
      <c r="B2730" s="41" t="s">
        <v>5941</v>
      </c>
      <c r="C2730" s="41" t="s">
        <v>2928</v>
      </c>
      <c r="D2730" s="41" t="s">
        <v>5940</v>
      </c>
      <c r="E2730" s="41" t="s">
        <v>2929</v>
      </c>
      <c r="F2730" s="41" t="s">
        <v>2930</v>
      </c>
      <c r="G2730" s="41" t="s">
        <v>2931</v>
      </c>
    </row>
    <row r="2731" spans="1:7" x14ac:dyDescent="0.25">
      <c r="A2731" s="41" t="s">
        <v>5942</v>
      </c>
      <c r="B2731" s="41" t="s">
        <v>5941</v>
      </c>
      <c r="C2731" s="41" t="s">
        <v>2928</v>
      </c>
      <c r="D2731" s="41" t="s">
        <v>5940</v>
      </c>
      <c r="E2731" s="41" t="s">
        <v>2929</v>
      </c>
      <c r="F2731" s="41" t="s">
        <v>2933</v>
      </c>
      <c r="G2731" s="41" t="s">
        <v>2934</v>
      </c>
    </row>
    <row r="2732" spans="1:7" x14ac:dyDescent="0.25">
      <c r="A2732" s="41" t="s">
        <v>5943</v>
      </c>
      <c r="B2732" s="41" t="s">
        <v>5941</v>
      </c>
      <c r="C2732" s="41" t="s">
        <v>2928</v>
      </c>
      <c r="D2732" s="41" t="s">
        <v>5940</v>
      </c>
      <c r="E2732" s="41" t="s">
        <v>2929</v>
      </c>
      <c r="F2732" s="41" t="s">
        <v>2933</v>
      </c>
      <c r="G2732" s="41" t="s">
        <v>2934</v>
      </c>
    </row>
    <row r="2733" spans="1:7" x14ac:dyDescent="0.25">
      <c r="A2733" s="41" t="s">
        <v>5944</v>
      </c>
      <c r="B2733" s="41" t="s">
        <v>5941</v>
      </c>
      <c r="C2733" s="41" t="s">
        <v>2928</v>
      </c>
      <c r="D2733" s="41" t="s">
        <v>5940</v>
      </c>
      <c r="E2733" s="41" t="s">
        <v>2929</v>
      </c>
      <c r="F2733" s="41" t="s">
        <v>2930</v>
      </c>
      <c r="G2733" s="41" t="s">
        <v>2931</v>
      </c>
    </row>
    <row r="2734" spans="1:7" x14ac:dyDescent="0.25">
      <c r="A2734" s="41" t="s">
        <v>5945</v>
      </c>
      <c r="B2734" s="41" t="s">
        <v>5941</v>
      </c>
      <c r="C2734" s="41" t="s">
        <v>2928</v>
      </c>
      <c r="D2734" s="41" t="s">
        <v>5940</v>
      </c>
      <c r="E2734" s="41" t="s">
        <v>2929</v>
      </c>
      <c r="F2734" s="41" t="s">
        <v>2949</v>
      </c>
      <c r="G2734" s="41" t="s">
        <v>2950</v>
      </c>
    </row>
    <row r="2735" spans="1:7" x14ac:dyDescent="0.25">
      <c r="A2735" s="41" t="s">
        <v>5946</v>
      </c>
      <c r="B2735" s="41" t="s">
        <v>5941</v>
      </c>
      <c r="C2735" s="41" t="s">
        <v>2928</v>
      </c>
      <c r="D2735" s="41" t="s">
        <v>5940</v>
      </c>
      <c r="E2735" s="41" t="s">
        <v>2929</v>
      </c>
      <c r="F2735" s="41" t="s">
        <v>2949</v>
      </c>
      <c r="G2735" s="41" t="s">
        <v>2950</v>
      </c>
    </row>
    <row r="2736" spans="1:7" x14ac:dyDescent="0.25">
      <c r="A2736" s="41" t="s">
        <v>5947</v>
      </c>
      <c r="B2736" s="41" t="s">
        <v>5948</v>
      </c>
      <c r="C2736" s="41" t="s">
        <v>2928</v>
      </c>
      <c r="D2736" s="41" t="s">
        <v>5947</v>
      </c>
      <c r="E2736" s="41" t="s">
        <v>2929</v>
      </c>
      <c r="F2736" s="41" t="s">
        <v>2930</v>
      </c>
      <c r="G2736" s="41" t="s">
        <v>2931</v>
      </c>
    </row>
    <row r="2737" spans="1:7" x14ac:dyDescent="0.25">
      <c r="A2737" s="41" t="s">
        <v>5949</v>
      </c>
      <c r="B2737" s="41" t="s">
        <v>5948</v>
      </c>
      <c r="C2737" s="41" t="s">
        <v>2928</v>
      </c>
      <c r="D2737" s="41" t="s">
        <v>5947</v>
      </c>
      <c r="E2737" s="41" t="s">
        <v>2929</v>
      </c>
      <c r="F2737" s="41" t="s">
        <v>2933</v>
      </c>
      <c r="G2737" s="41" t="s">
        <v>2934</v>
      </c>
    </row>
    <row r="2738" spans="1:7" x14ac:dyDescent="0.25">
      <c r="A2738" s="41" t="s">
        <v>5950</v>
      </c>
      <c r="B2738" s="41" t="s">
        <v>5948</v>
      </c>
      <c r="C2738" s="41" t="s">
        <v>2928</v>
      </c>
      <c r="D2738" s="41" t="s">
        <v>5947</v>
      </c>
      <c r="E2738" s="41" t="s">
        <v>5951</v>
      </c>
      <c r="F2738" s="41" t="s">
        <v>2930</v>
      </c>
      <c r="G2738" s="41" t="s">
        <v>2931</v>
      </c>
    </row>
    <row r="2739" spans="1:7" x14ac:dyDescent="0.25">
      <c r="A2739" s="41" t="s">
        <v>5952</v>
      </c>
      <c r="B2739" s="41" t="s">
        <v>5948</v>
      </c>
      <c r="C2739" s="41" t="s">
        <v>2928</v>
      </c>
      <c r="D2739" s="41" t="s">
        <v>5947</v>
      </c>
      <c r="E2739" s="41" t="s">
        <v>2929</v>
      </c>
      <c r="F2739" s="41" t="s">
        <v>2930</v>
      </c>
      <c r="G2739" s="41" t="s">
        <v>2931</v>
      </c>
    </row>
    <row r="2740" spans="1:7" x14ac:dyDescent="0.25">
      <c r="A2740" s="41" t="s">
        <v>5953</v>
      </c>
      <c r="B2740" s="41" t="s">
        <v>5948</v>
      </c>
      <c r="C2740" s="41" t="s">
        <v>2928</v>
      </c>
      <c r="D2740" s="41" t="s">
        <v>5947</v>
      </c>
      <c r="E2740" s="41" t="s">
        <v>2929</v>
      </c>
      <c r="F2740" s="41" t="s">
        <v>2949</v>
      </c>
      <c r="G2740" s="41" t="s">
        <v>2950</v>
      </c>
    </row>
    <row r="2741" spans="1:7" x14ac:dyDescent="0.25">
      <c r="A2741" s="41" t="s">
        <v>5954</v>
      </c>
      <c r="B2741" s="41" t="s">
        <v>1044</v>
      </c>
      <c r="C2741" s="41" t="s">
        <v>2928</v>
      </c>
      <c r="D2741" s="41" t="s">
        <v>5954</v>
      </c>
      <c r="E2741" s="41" t="s">
        <v>2929</v>
      </c>
      <c r="F2741" s="41" t="s">
        <v>2930</v>
      </c>
      <c r="G2741" s="41" t="s">
        <v>2931</v>
      </c>
    </row>
    <row r="2742" spans="1:7" x14ac:dyDescent="0.25">
      <c r="A2742" s="41" t="s">
        <v>5955</v>
      </c>
      <c r="B2742" s="41" t="s">
        <v>1044</v>
      </c>
      <c r="C2742" s="41" t="s">
        <v>2928</v>
      </c>
      <c r="D2742" s="41" t="s">
        <v>5954</v>
      </c>
      <c r="E2742" s="41" t="s">
        <v>2929</v>
      </c>
      <c r="F2742" s="41" t="s">
        <v>2933</v>
      </c>
      <c r="G2742" s="41" t="s">
        <v>2934</v>
      </c>
    </row>
    <row r="2743" spans="1:7" x14ac:dyDescent="0.25">
      <c r="A2743" s="41" t="s">
        <v>5956</v>
      </c>
      <c r="B2743" s="41" t="s">
        <v>1044</v>
      </c>
      <c r="C2743" s="41" t="s">
        <v>2928</v>
      </c>
      <c r="D2743" s="41" t="s">
        <v>5954</v>
      </c>
      <c r="E2743" s="41" t="s">
        <v>2929</v>
      </c>
      <c r="F2743" s="41" t="s">
        <v>2930</v>
      </c>
      <c r="G2743" s="41" t="s">
        <v>2931</v>
      </c>
    </row>
    <row r="2744" spans="1:7" x14ac:dyDescent="0.25">
      <c r="A2744" s="41" t="s">
        <v>5957</v>
      </c>
      <c r="B2744" s="41" t="s">
        <v>1044</v>
      </c>
      <c r="C2744" s="41" t="s">
        <v>2928</v>
      </c>
      <c r="D2744" s="41" t="s">
        <v>5954</v>
      </c>
      <c r="E2744" s="41" t="s">
        <v>2929</v>
      </c>
      <c r="F2744" s="41" t="s">
        <v>2949</v>
      </c>
      <c r="G2744" s="41" t="s">
        <v>2950</v>
      </c>
    </row>
    <row r="2745" spans="1:7" x14ac:dyDescent="0.25">
      <c r="A2745" s="41" t="s">
        <v>5958</v>
      </c>
      <c r="B2745" s="41" t="s">
        <v>1050</v>
      </c>
      <c r="C2745" s="41" t="s">
        <v>2928</v>
      </c>
      <c r="D2745" s="41" t="s">
        <v>5958</v>
      </c>
      <c r="E2745" s="41" t="s">
        <v>2929</v>
      </c>
      <c r="F2745" s="41" t="s">
        <v>2930</v>
      </c>
      <c r="G2745" s="41" t="s">
        <v>2931</v>
      </c>
    </row>
    <row r="2746" spans="1:7" x14ac:dyDescent="0.25">
      <c r="A2746" s="41" t="s">
        <v>5959</v>
      </c>
      <c r="B2746" s="41" t="s">
        <v>1050</v>
      </c>
      <c r="C2746" s="41" t="s">
        <v>2928</v>
      </c>
      <c r="D2746" s="41" t="s">
        <v>5958</v>
      </c>
      <c r="E2746" s="41" t="s">
        <v>2929</v>
      </c>
      <c r="F2746" s="41" t="s">
        <v>2933</v>
      </c>
      <c r="G2746" s="41" t="s">
        <v>2934</v>
      </c>
    </row>
    <row r="2747" spans="1:7" x14ac:dyDescent="0.25">
      <c r="A2747" s="41" t="s">
        <v>5960</v>
      </c>
      <c r="B2747" s="41" t="s">
        <v>1050</v>
      </c>
      <c r="C2747" s="41" t="s">
        <v>2928</v>
      </c>
      <c r="D2747" s="41" t="s">
        <v>5958</v>
      </c>
      <c r="E2747" s="41" t="s">
        <v>2929</v>
      </c>
      <c r="F2747" s="41" t="s">
        <v>2930</v>
      </c>
      <c r="G2747" s="41" t="s">
        <v>2931</v>
      </c>
    </row>
    <row r="2748" spans="1:7" x14ac:dyDescent="0.25">
      <c r="A2748" s="41" t="s">
        <v>5961</v>
      </c>
      <c r="B2748" s="41" t="s">
        <v>1050</v>
      </c>
      <c r="C2748" s="41" t="s">
        <v>2928</v>
      </c>
      <c r="D2748" s="41" t="s">
        <v>5958</v>
      </c>
      <c r="E2748" s="41" t="s">
        <v>2929</v>
      </c>
      <c r="F2748" s="41" t="s">
        <v>2949</v>
      </c>
      <c r="G2748" s="41" t="s">
        <v>2950</v>
      </c>
    </row>
    <row r="2749" spans="1:7" x14ac:dyDescent="0.25">
      <c r="A2749" s="41" t="s">
        <v>5962</v>
      </c>
      <c r="B2749" s="41" t="s">
        <v>5963</v>
      </c>
      <c r="C2749" s="41" t="s">
        <v>2928</v>
      </c>
      <c r="D2749" s="41" t="s">
        <v>5962</v>
      </c>
      <c r="E2749" s="41" t="s">
        <v>2929</v>
      </c>
      <c r="F2749" s="41" t="s">
        <v>2930</v>
      </c>
      <c r="G2749" s="41" t="s">
        <v>2931</v>
      </c>
    </row>
    <row r="2750" spans="1:7" x14ac:dyDescent="0.25">
      <c r="A2750" s="41" t="s">
        <v>5964</v>
      </c>
      <c r="B2750" s="41" t="s">
        <v>5963</v>
      </c>
      <c r="C2750" s="41" t="s">
        <v>2928</v>
      </c>
      <c r="D2750" s="41" t="s">
        <v>5962</v>
      </c>
      <c r="E2750" s="41" t="s">
        <v>2929</v>
      </c>
      <c r="F2750" s="41" t="s">
        <v>2933</v>
      </c>
      <c r="G2750" s="41" t="s">
        <v>2934</v>
      </c>
    </row>
    <row r="2751" spans="1:7" x14ac:dyDescent="0.25">
      <c r="A2751" s="41" t="s">
        <v>5965</v>
      </c>
      <c r="B2751" s="41" t="s">
        <v>5963</v>
      </c>
      <c r="C2751" s="41" t="s">
        <v>2928</v>
      </c>
      <c r="D2751" s="41" t="s">
        <v>5962</v>
      </c>
      <c r="E2751" s="41" t="s">
        <v>2929</v>
      </c>
      <c r="F2751" s="41" t="s">
        <v>2930</v>
      </c>
      <c r="G2751" s="41" t="s">
        <v>2931</v>
      </c>
    </row>
    <row r="2752" spans="1:7" x14ac:dyDescent="0.25">
      <c r="A2752" s="41" t="s">
        <v>5966</v>
      </c>
      <c r="B2752" s="41" t="s">
        <v>5963</v>
      </c>
      <c r="C2752" s="41" t="s">
        <v>2928</v>
      </c>
      <c r="D2752" s="41" t="s">
        <v>5962</v>
      </c>
      <c r="E2752" s="41" t="s">
        <v>2929</v>
      </c>
      <c r="F2752" s="41" t="s">
        <v>2949</v>
      </c>
      <c r="G2752" s="41" t="s">
        <v>2950</v>
      </c>
    </row>
    <row r="2753" spans="1:7" x14ac:dyDescent="0.25">
      <c r="A2753" s="41" t="s">
        <v>5967</v>
      </c>
      <c r="B2753" s="41" t="s">
        <v>5968</v>
      </c>
      <c r="C2753" s="41" t="s">
        <v>2928</v>
      </c>
      <c r="D2753" s="41" t="s">
        <v>5967</v>
      </c>
      <c r="E2753" s="41" t="s">
        <v>2929</v>
      </c>
      <c r="F2753" s="41" t="s">
        <v>2930</v>
      </c>
      <c r="G2753" s="41" t="s">
        <v>2931</v>
      </c>
    </row>
    <row r="2754" spans="1:7" x14ac:dyDescent="0.25">
      <c r="A2754" s="41" t="s">
        <v>5969</v>
      </c>
      <c r="B2754" s="41" t="s">
        <v>5968</v>
      </c>
      <c r="C2754" s="41" t="s">
        <v>2928</v>
      </c>
      <c r="D2754" s="41" t="s">
        <v>5967</v>
      </c>
      <c r="E2754" s="41" t="s">
        <v>2929</v>
      </c>
      <c r="F2754" s="41" t="s">
        <v>2933</v>
      </c>
      <c r="G2754" s="41" t="s">
        <v>2934</v>
      </c>
    </row>
    <row r="2755" spans="1:7" x14ac:dyDescent="0.25">
      <c r="A2755" s="41" t="s">
        <v>5970</v>
      </c>
      <c r="B2755" s="41" t="s">
        <v>5968</v>
      </c>
      <c r="C2755" s="41" t="s">
        <v>2928</v>
      </c>
      <c r="D2755" s="41" t="s">
        <v>5967</v>
      </c>
      <c r="E2755" s="41" t="s">
        <v>2929</v>
      </c>
      <c r="F2755" s="41" t="s">
        <v>2930</v>
      </c>
      <c r="G2755" s="41" t="s">
        <v>2931</v>
      </c>
    </row>
    <row r="2756" spans="1:7" x14ac:dyDescent="0.25">
      <c r="A2756" s="41" t="s">
        <v>5971</v>
      </c>
      <c r="B2756" s="41" t="s">
        <v>5968</v>
      </c>
      <c r="C2756" s="41" t="s">
        <v>2928</v>
      </c>
      <c r="D2756" s="41" t="s">
        <v>5967</v>
      </c>
      <c r="E2756" s="41" t="s">
        <v>2929</v>
      </c>
      <c r="F2756" s="41" t="s">
        <v>2949</v>
      </c>
      <c r="G2756" s="41" t="s">
        <v>2950</v>
      </c>
    </row>
    <row r="2757" spans="1:7" x14ac:dyDescent="0.25">
      <c r="A2757" s="41" t="s">
        <v>5972</v>
      </c>
      <c r="B2757" s="41" t="s">
        <v>5973</v>
      </c>
      <c r="C2757" s="41" t="s">
        <v>2928</v>
      </c>
      <c r="D2757" s="41" t="s">
        <v>5972</v>
      </c>
      <c r="E2757" s="41" t="s">
        <v>2929</v>
      </c>
      <c r="F2757" s="41" t="s">
        <v>2930</v>
      </c>
      <c r="G2757" s="41" t="s">
        <v>2931</v>
      </c>
    </row>
    <row r="2758" spans="1:7" x14ac:dyDescent="0.25">
      <c r="A2758" s="41" t="s">
        <v>5974</v>
      </c>
      <c r="B2758" s="41" t="s">
        <v>5973</v>
      </c>
      <c r="C2758" s="41" t="s">
        <v>2928</v>
      </c>
      <c r="D2758" s="41" t="s">
        <v>5972</v>
      </c>
      <c r="E2758" s="41" t="s">
        <v>2929</v>
      </c>
      <c r="F2758" s="41" t="s">
        <v>2933</v>
      </c>
      <c r="G2758" s="41" t="s">
        <v>2934</v>
      </c>
    </row>
    <row r="2759" spans="1:7" x14ac:dyDescent="0.25">
      <c r="A2759" s="41" t="s">
        <v>5975</v>
      </c>
      <c r="B2759" s="41" t="s">
        <v>5973</v>
      </c>
      <c r="C2759" s="41" t="s">
        <v>2928</v>
      </c>
      <c r="D2759" s="41" t="s">
        <v>5972</v>
      </c>
      <c r="E2759" s="41" t="s">
        <v>2929</v>
      </c>
      <c r="F2759" s="41" t="s">
        <v>2930</v>
      </c>
      <c r="G2759" s="41" t="s">
        <v>2931</v>
      </c>
    </row>
    <row r="2760" spans="1:7" x14ac:dyDescent="0.25">
      <c r="A2760" s="41" t="s">
        <v>5976</v>
      </c>
      <c r="B2760" s="41" t="s">
        <v>5973</v>
      </c>
      <c r="C2760" s="41" t="s">
        <v>2928</v>
      </c>
      <c r="D2760" s="41" t="s">
        <v>5972</v>
      </c>
      <c r="E2760" s="41" t="s">
        <v>2929</v>
      </c>
      <c r="F2760" s="41" t="s">
        <v>2949</v>
      </c>
      <c r="G2760" s="41" t="s">
        <v>2950</v>
      </c>
    </row>
    <row r="2761" spans="1:7" x14ac:dyDescent="0.25">
      <c r="A2761" s="41" t="s">
        <v>5977</v>
      </c>
      <c r="B2761" s="41" t="s">
        <v>5978</v>
      </c>
      <c r="C2761" s="41" t="s">
        <v>2928</v>
      </c>
      <c r="D2761" s="41" t="s">
        <v>5977</v>
      </c>
      <c r="E2761" s="41" t="s">
        <v>2929</v>
      </c>
      <c r="F2761" s="41" t="s">
        <v>2930</v>
      </c>
      <c r="G2761" s="41" t="s">
        <v>2931</v>
      </c>
    </row>
    <row r="2762" spans="1:7" x14ac:dyDescent="0.25">
      <c r="A2762" s="41" t="s">
        <v>5979</v>
      </c>
      <c r="B2762" s="41" t="s">
        <v>5978</v>
      </c>
      <c r="C2762" s="41" t="s">
        <v>2928</v>
      </c>
      <c r="D2762" s="41" t="s">
        <v>5977</v>
      </c>
      <c r="E2762" s="41" t="s">
        <v>2929</v>
      </c>
      <c r="F2762" s="41" t="s">
        <v>2933</v>
      </c>
      <c r="G2762" s="41" t="s">
        <v>2934</v>
      </c>
    </row>
    <row r="2763" spans="1:7" x14ac:dyDescent="0.25">
      <c r="A2763" s="41" t="s">
        <v>5980</v>
      </c>
      <c r="B2763" s="41" t="s">
        <v>5978</v>
      </c>
      <c r="C2763" s="41" t="s">
        <v>2928</v>
      </c>
      <c r="D2763" s="41" t="s">
        <v>5977</v>
      </c>
      <c r="E2763" s="41" t="s">
        <v>2929</v>
      </c>
      <c r="F2763" s="41" t="s">
        <v>2930</v>
      </c>
      <c r="G2763" s="41" t="s">
        <v>2931</v>
      </c>
    </row>
    <row r="2764" spans="1:7" x14ac:dyDescent="0.25">
      <c r="A2764" s="41" t="s">
        <v>5981</v>
      </c>
      <c r="B2764" s="41" t="s">
        <v>5978</v>
      </c>
      <c r="C2764" s="41" t="s">
        <v>2928</v>
      </c>
      <c r="D2764" s="41" t="s">
        <v>5977</v>
      </c>
      <c r="E2764" s="41" t="s">
        <v>2929</v>
      </c>
      <c r="F2764" s="41" t="s">
        <v>2949</v>
      </c>
      <c r="G2764" s="41" t="s">
        <v>2950</v>
      </c>
    </row>
    <row r="2765" spans="1:7" x14ac:dyDescent="0.25">
      <c r="A2765" s="41" t="s">
        <v>5982</v>
      </c>
      <c r="B2765" s="41" t="s">
        <v>5983</v>
      </c>
      <c r="C2765" s="41" t="s">
        <v>2928</v>
      </c>
      <c r="D2765" s="41" t="s">
        <v>5982</v>
      </c>
      <c r="E2765" s="41" t="s">
        <v>2929</v>
      </c>
      <c r="F2765" s="41" t="s">
        <v>2930</v>
      </c>
      <c r="G2765" s="41" t="s">
        <v>2931</v>
      </c>
    </row>
    <row r="2766" spans="1:7" x14ac:dyDescent="0.25">
      <c r="A2766" s="41" t="s">
        <v>5984</v>
      </c>
      <c r="B2766" s="41" t="s">
        <v>5983</v>
      </c>
      <c r="C2766" s="41" t="s">
        <v>2928</v>
      </c>
      <c r="D2766" s="41" t="s">
        <v>5982</v>
      </c>
      <c r="E2766" s="41" t="s">
        <v>2929</v>
      </c>
      <c r="F2766" s="41" t="s">
        <v>2933</v>
      </c>
      <c r="G2766" s="41" t="s">
        <v>2934</v>
      </c>
    </row>
    <row r="2767" spans="1:7" x14ac:dyDescent="0.25">
      <c r="A2767" s="41" t="s">
        <v>5985</v>
      </c>
      <c r="B2767" s="41" t="s">
        <v>5983</v>
      </c>
      <c r="C2767" s="41" t="s">
        <v>2928</v>
      </c>
      <c r="D2767" s="41" t="s">
        <v>5982</v>
      </c>
      <c r="E2767" s="41" t="s">
        <v>2929</v>
      </c>
      <c r="F2767" s="41" t="s">
        <v>2930</v>
      </c>
      <c r="G2767" s="41" t="s">
        <v>2931</v>
      </c>
    </row>
    <row r="2768" spans="1:7" x14ac:dyDescent="0.25">
      <c r="A2768" s="41" t="s">
        <v>5986</v>
      </c>
      <c r="B2768" s="41" t="s">
        <v>5983</v>
      </c>
      <c r="C2768" s="41" t="s">
        <v>2928</v>
      </c>
      <c r="D2768" s="41" t="s">
        <v>5982</v>
      </c>
      <c r="E2768" s="41" t="s">
        <v>2929</v>
      </c>
      <c r="F2768" s="41" t="s">
        <v>2949</v>
      </c>
      <c r="G2768" s="41" t="s">
        <v>2950</v>
      </c>
    </row>
    <row r="2769" spans="1:7" x14ac:dyDescent="0.25">
      <c r="A2769" s="41" t="s">
        <v>5987</v>
      </c>
      <c r="B2769" s="41" t="s">
        <v>5988</v>
      </c>
      <c r="C2769" s="41" t="s">
        <v>2928</v>
      </c>
      <c r="D2769" s="41" t="s">
        <v>5987</v>
      </c>
      <c r="E2769" s="41" t="s">
        <v>2929</v>
      </c>
      <c r="F2769" s="41" t="s">
        <v>2930</v>
      </c>
      <c r="G2769" s="41" t="s">
        <v>2931</v>
      </c>
    </row>
    <row r="2770" spans="1:7" x14ac:dyDescent="0.25">
      <c r="A2770" s="41" t="s">
        <v>5989</v>
      </c>
      <c r="B2770" s="41" t="s">
        <v>5988</v>
      </c>
      <c r="C2770" s="41" t="s">
        <v>2928</v>
      </c>
      <c r="D2770" s="41" t="s">
        <v>5987</v>
      </c>
      <c r="E2770" s="41" t="s">
        <v>2929</v>
      </c>
      <c r="F2770" s="41" t="s">
        <v>2933</v>
      </c>
      <c r="G2770" s="41" t="s">
        <v>2934</v>
      </c>
    </row>
    <row r="2771" spans="1:7" x14ac:dyDescent="0.25">
      <c r="A2771" s="41" t="s">
        <v>5990</v>
      </c>
      <c r="B2771" s="41" t="s">
        <v>5988</v>
      </c>
      <c r="C2771" s="41" t="s">
        <v>2928</v>
      </c>
      <c r="D2771" s="41" t="s">
        <v>5987</v>
      </c>
      <c r="E2771" s="41" t="s">
        <v>2929</v>
      </c>
      <c r="F2771" s="41" t="s">
        <v>2930</v>
      </c>
      <c r="G2771" s="41" t="s">
        <v>2931</v>
      </c>
    </row>
    <row r="2772" spans="1:7" x14ac:dyDescent="0.25">
      <c r="A2772" s="41" t="s">
        <v>5991</v>
      </c>
      <c r="B2772" s="41" t="s">
        <v>5988</v>
      </c>
      <c r="C2772" s="41" t="s">
        <v>2928</v>
      </c>
      <c r="D2772" s="41" t="s">
        <v>5987</v>
      </c>
      <c r="E2772" s="41" t="s">
        <v>2929</v>
      </c>
      <c r="F2772" s="41" t="s">
        <v>2949</v>
      </c>
      <c r="G2772" s="41" t="s">
        <v>2950</v>
      </c>
    </row>
    <row r="2773" spans="1:7" x14ac:dyDescent="0.25">
      <c r="A2773" s="41" t="s">
        <v>5992</v>
      </c>
      <c r="B2773" s="41" t="s">
        <v>5993</v>
      </c>
      <c r="C2773" s="41" t="s">
        <v>2928</v>
      </c>
      <c r="D2773" s="41" t="s">
        <v>5992</v>
      </c>
      <c r="E2773" s="41" t="s">
        <v>2929</v>
      </c>
      <c r="F2773" s="41" t="s">
        <v>2930</v>
      </c>
      <c r="G2773" s="41" t="s">
        <v>2931</v>
      </c>
    </row>
    <row r="2774" spans="1:7" x14ac:dyDescent="0.25">
      <c r="A2774" s="41" t="s">
        <v>5994</v>
      </c>
      <c r="B2774" s="41" t="s">
        <v>5993</v>
      </c>
      <c r="C2774" s="41" t="s">
        <v>2928</v>
      </c>
      <c r="D2774" s="41" t="s">
        <v>5992</v>
      </c>
      <c r="E2774" s="41" t="s">
        <v>2929</v>
      </c>
      <c r="F2774" s="41" t="s">
        <v>2933</v>
      </c>
      <c r="G2774" s="41" t="s">
        <v>2934</v>
      </c>
    </row>
    <row r="2775" spans="1:7" x14ac:dyDescent="0.25">
      <c r="A2775" s="41" t="s">
        <v>5995</v>
      </c>
      <c r="B2775" s="41" t="s">
        <v>5993</v>
      </c>
      <c r="C2775" s="41" t="s">
        <v>2928</v>
      </c>
      <c r="D2775" s="41" t="s">
        <v>5992</v>
      </c>
      <c r="E2775" s="41" t="s">
        <v>2929</v>
      </c>
      <c r="F2775" s="41" t="s">
        <v>2933</v>
      </c>
      <c r="G2775" s="41" t="s">
        <v>2934</v>
      </c>
    </row>
    <row r="2776" spans="1:7" x14ac:dyDescent="0.25">
      <c r="A2776" s="41" t="s">
        <v>5996</v>
      </c>
      <c r="B2776" s="41" t="s">
        <v>5993</v>
      </c>
      <c r="C2776" s="41" t="s">
        <v>2928</v>
      </c>
      <c r="D2776" s="41" t="s">
        <v>5992</v>
      </c>
      <c r="E2776" s="41" t="s">
        <v>2929</v>
      </c>
      <c r="F2776" s="41" t="s">
        <v>2933</v>
      </c>
      <c r="G2776" s="41" t="s">
        <v>2934</v>
      </c>
    </row>
    <row r="2777" spans="1:7" x14ac:dyDescent="0.25">
      <c r="A2777" s="41" t="s">
        <v>5997</v>
      </c>
      <c r="B2777" s="41" t="s">
        <v>5993</v>
      </c>
      <c r="C2777" s="41" t="s">
        <v>2928</v>
      </c>
      <c r="D2777" s="41" t="s">
        <v>5992</v>
      </c>
      <c r="E2777" s="41" t="s">
        <v>2929</v>
      </c>
      <c r="F2777" s="41" t="s">
        <v>2933</v>
      </c>
      <c r="G2777" s="41" t="s">
        <v>2934</v>
      </c>
    </row>
    <row r="2778" spans="1:7" x14ac:dyDescent="0.25">
      <c r="A2778" s="41" t="s">
        <v>5998</v>
      </c>
      <c r="B2778" s="41" t="s">
        <v>5993</v>
      </c>
      <c r="C2778" s="41" t="s">
        <v>2928</v>
      </c>
      <c r="D2778" s="41" t="s">
        <v>5992</v>
      </c>
      <c r="E2778" s="41" t="s">
        <v>2929</v>
      </c>
      <c r="F2778" s="41" t="s">
        <v>2933</v>
      </c>
      <c r="G2778" s="41" t="s">
        <v>2934</v>
      </c>
    </row>
    <row r="2779" spans="1:7" x14ac:dyDescent="0.25">
      <c r="A2779" s="41" t="s">
        <v>5999</v>
      </c>
      <c r="B2779" s="41" t="s">
        <v>5993</v>
      </c>
      <c r="C2779" s="41" t="s">
        <v>2928</v>
      </c>
      <c r="D2779" s="41" t="s">
        <v>5992</v>
      </c>
      <c r="E2779" s="41" t="s">
        <v>2929</v>
      </c>
      <c r="F2779" s="41" t="s">
        <v>2933</v>
      </c>
      <c r="G2779" s="41" t="s">
        <v>2934</v>
      </c>
    </row>
    <row r="2780" spans="1:7" x14ac:dyDescent="0.25">
      <c r="A2780" s="41" t="s">
        <v>6000</v>
      </c>
      <c r="B2780" s="41" t="s">
        <v>5993</v>
      </c>
      <c r="C2780" s="41" t="s">
        <v>2928</v>
      </c>
      <c r="D2780" s="41" t="s">
        <v>5992</v>
      </c>
      <c r="E2780" s="41" t="s">
        <v>2929</v>
      </c>
      <c r="F2780" s="41" t="s">
        <v>2933</v>
      </c>
      <c r="G2780" s="41" t="s">
        <v>2934</v>
      </c>
    </row>
    <row r="2781" spans="1:7" x14ac:dyDescent="0.25">
      <c r="A2781" s="41" t="s">
        <v>6001</v>
      </c>
      <c r="B2781" s="41" t="s">
        <v>5993</v>
      </c>
      <c r="C2781" s="41" t="s">
        <v>2928</v>
      </c>
      <c r="D2781" s="41" t="s">
        <v>5992</v>
      </c>
      <c r="E2781" s="41" t="s">
        <v>2929</v>
      </c>
      <c r="F2781" s="41" t="s">
        <v>2930</v>
      </c>
      <c r="G2781" s="41" t="s">
        <v>2931</v>
      </c>
    </row>
    <row r="2782" spans="1:7" x14ac:dyDescent="0.25">
      <c r="A2782" s="41" t="s">
        <v>6002</v>
      </c>
      <c r="B2782" s="41" t="s">
        <v>5993</v>
      </c>
      <c r="C2782" s="41" t="s">
        <v>2928</v>
      </c>
      <c r="D2782" s="41" t="s">
        <v>5992</v>
      </c>
      <c r="E2782" s="41" t="s">
        <v>2929</v>
      </c>
      <c r="F2782" s="41" t="s">
        <v>2930</v>
      </c>
      <c r="G2782" s="41" t="s">
        <v>2931</v>
      </c>
    </row>
    <row r="2783" spans="1:7" x14ac:dyDescent="0.25">
      <c r="A2783" s="41" t="s">
        <v>6003</v>
      </c>
      <c r="B2783" s="41" t="s">
        <v>5993</v>
      </c>
      <c r="C2783" s="41" t="s">
        <v>2928</v>
      </c>
      <c r="D2783" s="41" t="s">
        <v>5992</v>
      </c>
      <c r="E2783" s="41" t="s">
        <v>2929</v>
      </c>
      <c r="F2783" s="41" t="s">
        <v>2930</v>
      </c>
      <c r="G2783" s="41" t="s">
        <v>2931</v>
      </c>
    </row>
    <row r="2784" spans="1:7" x14ac:dyDescent="0.25">
      <c r="A2784" s="41" t="s">
        <v>6004</v>
      </c>
      <c r="B2784" s="41" t="s">
        <v>5993</v>
      </c>
      <c r="C2784" s="41" t="s">
        <v>2928</v>
      </c>
      <c r="D2784" s="41" t="s">
        <v>5992</v>
      </c>
      <c r="E2784" s="41" t="s">
        <v>2929</v>
      </c>
      <c r="F2784" s="41" t="s">
        <v>2930</v>
      </c>
      <c r="G2784" s="41" t="s">
        <v>2931</v>
      </c>
    </row>
    <row r="2785" spans="1:7" x14ac:dyDescent="0.25">
      <c r="A2785" s="41" t="s">
        <v>6005</v>
      </c>
      <c r="B2785" s="41" t="s">
        <v>5993</v>
      </c>
      <c r="C2785" s="41" t="s">
        <v>2928</v>
      </c>
      <c r="D2785" s="41" t="s">
        <v>5992</v>
      </c>
      <c r="E2785" s="41" t="s">
        <v>2929</v>
      </c>
      <c r="F2785" s="41" t="s">
        <v>2930</v>
      </c>
      <c r="G2785" s="41" t="s">
        <v>2931</v>
      </c>
    </row>
    <row r="2786" spans="1:7" x14ac:dyDescent="0.25">
      <c r="A2786" s="41" t="s">
        <v>6006</v>
      </c>
      <c r="B2786" s="41" t="s">
        <v>5993</v>
      </c>
      <c r="C2786" s="41" t="s">
        <v>2928</v>
      </c>
      <c r="D2786" s="41" t="s">
        <v>5992</v>
      </c>
      <c r="E2786" s="41" t="s">
        <v>2929</v>
      </c>
      <c r="F2786" s="41" t="s">
        <v>2930</v>
      </c>
      <c r="G2786" s="41" t="s">
        <v>2931</v>
      </c>
    </row>
    <row r="2787" spans="1:7" x14ac:dyDescent="0.25">
      <c r="A2787" s="41" t="s">
        <v>6007</v>
      </c>
      <c r="B2787" s="41" t="s">
        <v>5993</v>
      </c>
      <c r="C2787" s="41" t="s">
        <v>2928</v>
      </c>
      <c r="D2787" s="41" t="s">
        <v>5992</v>
      </c>
      <c r="E2787" s="41" t="s">
        <v>2929</v>
      </c>
      <c r="F2787" s="41" t="s">
        <v>2930</v>
      </c>
      <c r="G2787" s="41" t="s">
        <v>2931</v>
      </c>
    </row>
    <row r="2788" spans="1:7" x14ac:dyDescent="0.25">
      <c r="A2788" s="41" t="s">
        <v>6008</v>
      </c>
      <c r="B2788" s="41" t="s">
        <v>5993</v>
      </c>
      <c r="C2788" s="41" t="s">
        <v>2928</v>
      </c>
      <c r="D2788" s="41" t="s">
        <v>5992</v>
      </c>
      <c r="E2788" s="41" t="s">
        <v>2929</v>
      </c>
      <c r="F2788" s="41" t="s">
        <v>2949</v>
      </c>
      <c r="G2788" s="41" t="s">
        <v>2950</v>
      </c>
    </row>
    <row r="2789" spans="1:7" x14ac:dyDescent="0.25">
      <c r="A2789" s="41" t="s">
        <v>6009</v>
      </c>
      <c r="B2789" s="41" t="s">
        <v>5993</v>
      </c>
      <c r="C2789" s="41" t="s">
        <v>2928</v>
      </c>
      <c r="D2789" s="41" t="s">
        <v>5992</v>
      </c>
      <c r="E2789" s="41" t="s">
        <v>2929</v>
      </c>
      <c r="F2789" s="41" t="s">
        <v>2949</v>
      </c>
      <c r="G2789" s="41" t="s">
        <v>2950</v>
      </c>
    </row>
    <row r="2790" spans="1:7" x14ac:dyDescent="0.25">
      <c r="A2790" s="41" t="s">
        <v>6010</v>
      </c>
      <c r="B2790" s="41" t="s">
        <v>5993</v>
      </c>
      <c r="C2790" s="41" t="s">
        <v>2928</v>
      </c>
      <c r="D2790" s="41" t="s">
        <v>5992</v>
      </c>
      <c r="E2790" s="41" t="s">
        <v>2929</v>
      </c>
      <c r="F2790" s="41" t="s">
        <v>2949</v>
      </c>
      <c r="G2790" s="41" t="s">
        <v>2950</v>
      </c>
    </row>
    <row r="2791" spans="1:7" x14ac:dyDescent="0.25">
      <c r="A2791" s="41" t="s">
        <v>6011</v>
      </c>
      <c r="B2791" s="41" t="s">
        <v>5993</v>
      </c>
      <c r="C2791" s="41" t="s">
        <v>2928</v>
      </c>
      <c r="D2791" s="41" t="s">
        <v>5992</v>
      </c>
      <c r="E2791" s="41" t="s">
        <v>2929</v>
      </c>
      <c r="F2791" s="41" t="s">
        <v>2949</v>
      </c>
      <c r="G2791" s="41" t="s">
        <v>2950</v>
      </c>
    </row>
    <row r="2792" spans="1:7" x14ac:dyDescent="0.25">
      <c r="A2792" s="41" t="s">
        <v>6012</v>
      </c>
      <c r="B2792" s="41" t="s">
        <v>5993</v>
      </c>
      <c r="C2792" s="41" t="s">
        <v>2928</v>
      </c>
      <c r="D2792" s="41" t="s">
        <v>5992</v>
      </c>
      <c r="E2792" s="41" t="s">
        <v>2929</v>
      </c>
      <c r="F2792" s="41" t="s">
        <v>2949</v>
      </c>
      <c r="G2792" s="41" t="s">
        <v>2950</v>
      </c>
    </row>
    <row r="2793" spans="1:7" x14ac:dyDescent="0.25">
      <c r="A2793" s="41" t="s">
        <v>6013</v>
      </c>
      <c r="B2793" s="41" t="s">
        <v>5993</v>
      </c>
      <c r="C2793" s="41" t="s">
        <v>2928</v>
      </c>
      <c r="D2793" s="41" t="s">
        <v>5992</v>
      </c>
      <c r="E2793" s="41" t="s">
        <v>2929</v>
      </c>
      <c r="F2793" s="41" t="s">
        <v>2949</v>
      </c>
      <c r="G2793" s="41" t="s">
        <v>2950</v>
      </c>
    </row>
    <row r="2794" spans="1:7" x14ac:dyDescent="0.25">
      <c r="A2794" s="41" t="s">
        <v>6014</v>
      </c>
      <c r="B2794" s="41" t="s">
        <v>5993</v>
      </c>
      <c r="C2794" s="41" t="s">
        <v>2928</v>
      </c>
      <c r="D2794" s="41" t="s">
        <v>5992</v>
      </c>
      <c r="E2794" s="41" t="s">
        <v>2929</v>
      </c>
      <c r="F2794" s="41" t="s">
        <v>2949</v>
      </c>
      <c r="G2794" s="41" t="s">
        <v>2950</v>
      </c>
    </row>
    <row r="2795" spans="1:7" x14ac:dyDescent="0.25">
      <c r="A2795" s="41" t="s">
        <v>6015</v>
      </c>
      <c r="B2795" s="41" t="s">
        <v>193</v>
      </c>
      <c r="C2795" s="41" t="s">
        <v>2928</v>
      </c>
      <c r="D2795" s="41" t="s">
        <v>6015</v>
      </c>
      <c r="E2795" s="41" t="s">
        <v>2929</v>
      </c>
      <c r="F2795" s="41" t="s">
        <v>2930</v>
      </c>
      <c r="G2795" s="41" t="s">
        <v>2931</v>
      </c>
    </row>
    <row r="2796" spans="1:7" x14ac:dyDescent="0.25">
      <c r="A2796" s="41" t="s">
        <v>6016</v>
      </c>
      <c r="B2796" s="41" t="s">
        <v>193</v>
      </c>
      <c r="C2796" s="41" t="s">
        <v>2928</v>
      </c>
      <c r="D2796" s="41" t="s">
        <v>6015</v>
      </c>
      <c r="E2796" s="41" t="s">
        <v>2929</v>
      </c>
      <c r="F2796" s="41" t="s">
        <v>2933</v>
      </c>
      <c r="G2796" s="41" t="s">
        <v>2934</v>
      </c>
    </row>
    <row r="2797" spans="1:7" x14ac:dyDescent="0.25">
      <c r="A2797" s="41" t="s">
        <v>6017</v>
      </c>
      <c r="B2797" s="41" t="s">
        <v>193</v>
      </c>
      <c r="C2797" s="41" t="s">
        <v>2928</v>
      </c>
      <c r="D2797" s="41" t="s">
        <v>6015</v>
      </c>
      <c r="E2797" s="41" t="s">
        <v>2929</v>
      </c>
      <c r="F2797" s="41" t="s">
        <v>2933</v>
      </c>
      <c r="G2797" s="41" t="s">
        <v>2934</v>
      </c>
    </row>
    <row r="2798" spans="1:7" x14ac:dyDescent="0.25">
      <c r="A2798" s="41" t="s">
        <v>6018</v>
      </c>
      <c r="B2798" s="41" t="s">
        <v>193</v>
      </c>
      <c r="C2798" s="41" t="s">
        <v>2928</v>
      </c>
      <c r="D2798" s="41" t="s">
        <v>6015</v>
      </c>
      <c r="E2798" s="41" t="s">
        <v>2929</v>
      </c>
      <c r="F2798" s="41" t="s">
        <v>2933</v>
      </c>
      <c r="G2798" s="41" t="s">
        <v>2934</v>
      </c>
    </row>
    <row r="2799" spans="1:7" x14ac:dyDescent="0.25">
      <c r="A2799" s="41" t="s">
        <v>6019</v>
      </c>
      <c r="B2799" s="41" t="s">
        <v>193</v>
      </c>
      <c r="C2799" s="41" t="s">
        <v>2928</v>
      </c>
      <c r="D2799" s="41" t="s">
        <v>6015</v>
      </c>
      <c r="E2799" s="41" t="s">
        <v>2929</v>
      </c>
      <c r="F2799" s="41" t="s">
        <v>2933</v>
      </c>
      <c r="G2799" s="41" t="s">
        <v>2934</v>
      </c>
    </row>
    <row r="2800" spans="1:7" x14ac:dyDescent="0.25">
      <c r="A2800" s="41" t="s">
        <v>6020</v>
      </c>
      <c r="B2800" s="41" t="s">
        <v>193</v>
      </c>
      <c r="C2800" s="41" t="s">
        <v>2928</v>
      </c>
      <c r="D2800" s="41" t="s">
        <v>6015</v>
      </c>
      <c r="E2800" s="41" t="s">
        <v>2929</v>
      </c>
      <c r="F2800" s="41" t="s">
        <v>2933</v>
      </c>
      <c r="G2800" s="41" t="s">
        <v>2934</v>
      </c>
    </row>
    <row r="2801" spans="1:7" x14ac:dyDescent="0.25">
      <c r="A2801" s="41" t="s">
        <v>6021</v>
      </c>
      <c r="B2801" s="41" t="s">
        <v>193</v>
      </c>
      <c r="C2801" s="41" t="s">
        <v>2928</v>
      </c>
      <c r="D2801" s="41" t="s">
        <v>6015</v>
      </c>
      <c r="E2801" s="41" t="s">
        <v>2929</v>
      </c>
      <c r="F2801" s="41" t="s">
        <v>2933</v>
      </c>
      <c r="G2801" s="41" t="s">
        <v>2934</v>
      </c>
    </row>
    <row r="2802" spans="1:7" x14ac:dyDescent="0.25">
      <c r="A2802" s="41" t="s">
        <v>6022</v>
      </c>
      <c r="B2802" s="41" t="s">
        <v>193</v>
      </c>
      <c r="C2802" s="41" t="s">
        <v>2928</v>
      </c>
      <c r="D2802" s="41" t="s">
        <v>6015</v>
      </c>
      <c r="E2802" s="41" t="s">
        <v>2929</v>
      </c>
      <c r="F2802" s="41" t="s">
        <v>2933</v>
      </c>
      <c r="G2802" s="41" t="s">
        <v>2934</v>
      </c>
    </row>
    <row r="2803" spans="1:7" x14ac:dyDescent="0.25">
      <c r="A2803" s="41" t="s">
        <v>6023</v>
      </c>
      <c r="B2803" s="41" t="s">
        <v>193</v>
      </c>
      <c r="C2803" s="41" t="s">
        <v>2928</v>
      </c>
      <c r="D2803" s="41" t="s">
        <v>6015</v>
      </c>
      <c r="E2803" s="41" t="s">
        <v>2929</v>
      </c>
      <c r="F2803" s="41" t="s">
        <v>2930</v>
      </c>
      <c r="G2803" s="41" t="s">
        <v>2931</v>
      </c>
    </row>
    <row r="2804" spans="1:7" x14ac:dyDescent="0.25">
      <c r="A2804" s="41" t="s">
        <v>6024</v>
      </c>
      <c r="B2804" s="41" t="s">
        <v>193</v>
      </c>
      <c r="C2804" s="41" t="s">
        <v>2928</v>
      </c>
      <c r="D2804" s="41" t="s">
        <v>6015</v>
      </c>
      <c r="E2804" s="41" t="s">
        <v>2929</v>
      </c>
      <c r="F2804" s="41" t="s">
        <v>2930</v>
      </c>
      <c r="G2804" s="41" t="s">
        <v>2931</v>
      </c>
    </row>
    <row r="2805" spans="1:7" x14ac:dyDescent="0.25">
      <c r="A2805" s="41" t="s">
        <v>6025</v>
      </c>
      <c r="B2805" s="41" t="s">
        <v>193</v>
      </c>
      <c r="C2805" s="41" t="s">
        <v>2928</v>
      </c>
      <c r="D2805" s="41" t="s">
        <v>6015</v>
      </c>
      <c r="E2805" s="41" t="s">
        <v>2929</v>
      </c>
      <c r="F2805" s="41" t="s">
        <v>2930</v>
      </c>
      <c r="G2805" s="41" t="s">
        <v>2931</v>
      </c>
    </row>
    <row r="2806" spans="1:7" x14ac:dyDescent="0.25">
      <c r="A2806" s="41" t="s">
        <v>6026</v>
      </c>
      <c r="B2806" s="41" t="s">
        <v>193</v>
      </c>
      <c r="C2806" s="41" t="s">
        <v>2928</v>
      </c>
      <c r="D2806" s="41" t="s">
        <v>6015</v>
      </c>
      <c r="E2806" s="41" t="s">
        <v>2929</v>
      </c>
      <c r="F2806" s="41" t="s">
        <v>2930</v>
      </c>
      <c r="G2806" s="41" t="s">
        <v>2931</v>
      </c>
    </row>
    <row r="2807" spans="1:7" x14ac:dyDescent="0.25">
      <c r="A2807" s="41" t="s">
        <v>6027</v>
      </c>
      <c r="B2807" s="41" t="s">
        <v>193</v>
      </c>
      <c r="C2807" s="41" t="s">
        <v>2928</v>
      </c>
      <c r="D2807" s="41" t="s">
        <v>6015</v>
      </c>
      <c r="E2807" s="41" t="s">
        <v>2929</v>
      </c>
      <c r="F2807" s="41" t="s">
        <v>2930</v>
      </c>
      <c r="G2807" s="41" t="s">
        <v>2931</v>
      </c>
    </row>
    <row r="2808" spans="1:7" x14ac:dyDescent="0.25">
      <c r="A2808" s="41" t="s">
        <v>6028</v>
      </c>
      <c r="B2808" s="41" t="s">
        <v>193</v>
      </c>
      <c r="C2808" s="41" t="s">
        <v>2928</v>
      </c>
      <c r="D2808" s="41" t="s">
        <v>6015</v>
      </c>
      <c r="E2808" s="41" t="s">
        <v>2929</v>
      </c>
      <c r="F2808" s="41" t="s">
        <v>2930</v>
      </c>
      <c r="G2808" s="41" t="s">
        <v>2931</v>
      </c>
    </row>
    <row r="2809" spans="1:7" x14ac:dyDescent="0.25">
      <c r="A2809" s="41" t="s">
        <v>6029</v>
      </c>
      <c r="B2809" s="41" t="s">
        <v>193</v>
      </c>
      <c r="C2809" s="41" t="s">
        <v>2928</v>
      </c>
      <c r="D2809" s="41" t="s">
        <v>6015</v>
      </c>
      <c r="E2809" s="41" t="s">
        <v>2929</v>
      </c>
      <c r="F2809" s="41" t="s">
        <v>2930</v>
      </c>
      <c r="G2809" s="41" t="s">
        <v>2931</v>
      </c>
    </row>
    <row r="2810" spans="1:7" x14ac:dyDescent="0.25">
      <c r="A2810" s="41" t="s">
        <v>6030</v>
      </c>
      <c r="B2810" s="41" t="s">
        <v>193</v>
      </c>
      <c r="C2810" s="41" t="s">
        <v>2928</v>
      </c>
      <c r="D2810" s="41" t="s">
        <v>6015</v>
      </c>
      <c r="E2810" s="41" t="s">
        <v>2929</v>
      </c>
      <c r="F2810" s="41" t="s">
        <v>2949</v>
      </c>
      <c r="G2810" s="41" t="s">
        <v>2950</v>
      </c>
    </row>
    <row r="2811" spans="1:7" x14ac:dyDescent="0.25">
      <c r="A2811" s="41" t="s">
        <v>6031</v>
      </c>
      <c r="B2811" s="41" t="s">
        <v>193</v>
      </c>
      <c r="C2811" s="41" t="s">
        <v>2928</v>
      </c>
      <c r="D2811" s="41" t="s">
        <v>6015</v>
      </c>
      <c r="E2811" s="41" t="s">
        <v>2929</v>
      </c>
      <c r="F2811" s="41" t="s">
        <v>2949</v>
      </c>
      <c r="G2811" s="41" t="s">
        <v>2950</v>
      </c>
    </row>
    <row r="2812" spans="1:7" x14ac:dyDescent="0.25">
      <c r="A2812" s="41" t="s">
        <v>6032</v>
      </c>
      <c r="B2812" s="41" t="s">
        <v>193</v>
      </c>
      <c r="C2812" s="41" t="s">
        <v>2928</v>
      </c>
      <c r="D2812" s="41" t="s">
        <v>6015</v>
      </c>
      <c r="E2812" s="41" t="s">
        <v>2929</v>
      </c>
      <c r="F2812" s="41" t="s">
        <v>2949</v>
      </c>
      <c r="G2812" s="41" t="s">
        <v>2950</v>
      </c>
    </row>
    <row r="2813" spans="1:7" x14ac:dyDescent="0.25">
      <c r="A2813" s="41" t="s">
        <v>6033</v>
      </c>
      <c r="B2813" s="41" t="s">
        <v>193</v>
      </c>
      <c r="C2813" s="41" t="s">
        <v>2928</v>
      </c>
      <c r="D2813" s="41" t="s">
        <v>6015</v>
      </c>
      <c r="E2813" s="41" t="s">
        <v>2929</v>
      </c>
      <c r="F2813" s="41" t="s">
        <v>2949</v>
      </c>
      <c r="G2813" s="41" t="s">
        <v>2950</v>
      </c>
    </row>
    <row r="2814" spans="1:7" x14ac:dyDescent="0.25">
      <c r="A2814" s="41" t="s">
        <v>6034</v>
      </c>
      <c r="B2814" s="41" t="s">
        <v>193</v>
      </c>
      <c r="C2814" s="41" t="s">
        <v>2928</v>
      </c>
      <c r="D2814" s="41" t="s">
        <v>6015</v>
      </c>
      <c r="E2814" s="41" t="s">
        <v>2929</v>
      </c>
      <c r="F2814" s="41" t="s">
        <v>2949</v>
      </c>
      <c r="G2814" s="41" t="s">
        <v>2950</v>
      </c>
    </row>
    <row r="2815" spans="1:7" x14ac:dyDescent="0.25">
      <c r="A2815" s="41" t="s">
        <v>6035</v>
      </c>
      <c r="B2815" s="41" t="s">
        <v>193</v>
      </c>
      <c r="C2815" s="41" t="s">
        <v>2928</v>
      </c>
      <c r="D2815" s="41" t="s">
        <v>6015</v>
      </c>
      <c r="E2815" s="41" t="s">
        <v>2929</v>
      </c>
      <c r="F2815" s="41" t="s">
        <v>2949</v>
      </c>
      <c r="G2815" s="41" t="s">
        <v>2950</v>
      </c>
    </row>
    <row r="2816" spans="1:7" x14ac:dyDescent="0.25">
      <c r="A2816" s="41" t="s">
        <v>6036</v>
      </c>
      <c r="B2816" s="41" t="s">
        <v>193</v>
      </c>
      <c r="C2816" s="41" t="s">
        <v>2928</v>
      </c>
      <c r="D2816" s="41" t="s">
        <v>6015</v>
      </c>
      <c r="E2816" s="41" t="s">
        <v>2929</v>
      </c>
      <c r="F2816" s="41" t="s">
        <v>2949</v>
      </c>
      <c r="G2816" s="41" t="s">
        <v>2950</v>
      </c>
    </row>
    <row r="2817" spans="1:7" x14ac:dyDescent="0.25">
      <c r="A2817" s="41" t="s">
        <v>6037</v>
      </c>
      <c r="B2817" s="41" t="s">
        <v>6038</v>
      </c>
      <c r="C2817" s="41" t="s">
        <v>2928</v>
      </c>
      <c r="D2817" s="41" t="s">
        <v>6037</v>
      </c>
      <c r="E2817" s="41" t="s">
        <v>2929</v>
      </c>
      <c r="F2817" s="41" t="s">
        <v>2930</v>
      </c>
      <c r="G2817" s="41" t="s">
        <v>2931</v>
      </c>
    </row>
    <row r="2818" spans="1:7" x14ac:dyDescent="0.25">
      <c r="A2818" s="41" t="s">
        <v>6039</v>
      </c>
      <c r="B2818" s="41" t="s">
        <v>6038</v>
      </c>
      <c r="C2818" s="41" t="s">
        <v>2928</v>
      </c>
      <c r="D2818" s="41" t="s">
        <v>6037</v>
      </c>
      <c r="E2818" s="41" t="s">
        <v>2929</v>
      </c>
      <c r="F2818" s="41" t="s">
        <v>2933</v>
      </c>
      <c r="G2818" s="41" t="s">
        <v>2934</v>
      </c>
    </row>
    <row r="2819" spans="1:7" x14ac:dyDescent="0.25">
      <c r="A2819" s="41" t="s">
        <v>6040</v>
      </c>
      <c r="B2819" s="41" t="s">
        <v>6038</v>
      </c>
      <c r="C2819" s="41" t="s">
        <v>2928</v>
      </c>
      <c r="D2819" s="41" t="s">
        <v>6037</v>
      </c>
      <c r="E2819" s="41" t="s">
        <v>2929</v>
      </c>
      <c r="F2819" s="41" t="s">
        <v>2933</v>
      </c>
      <c r="G2819" s="41" t="s">
        <v>2934</v>
      </c>
    </row>
    <row r="2820" spans="1:7" x14ac:dyDescent="0.25">
      <c r="A2820" s="41" t="s">
        <v>6041</v>
      </c>
      <c r="B2820" s="41" t="s">
        <v>6038</v>
      </c>
      <c r="C2820" s="41" t="s">
        <v>2928</v>
      </c>
      <c r="D2820" s="41" t="s">
        <v>6037</v>
      </c>
      <c r="E2820" s="41" t="s">
        <v>2929</v>
      </c>
      <c r="F2820" s="41" t="s">
        <v>2933</v>
      </c>
      <c r="G2820" s="41" t="s">
        <v>2934</v>
      </c>
    </row>
    <row r="2821" spans="1:7" x14ac:dyDescent="0.25">
      <c r="A2821" s="41" t="s">
        <v>6042</v>
      </c>
      <c r="B2821" s="41" t="s">
        <v>6038</v>
      </c>
      <c r="C2821" s="41" t="s">
        <v>2928</v>
      </c>
      <c r="D2821" s="41" t="s">
        <v>6037</v>
      </c>
      <c r="E2821" s="41" t="s">
        <v>2929</v>
      </c>
      <c r="F2821" s="41" t="s">
        <v>2933</v>
      </c>
      <c r="G2821" s="41" t="s">
        <v>2934</v>
      </c>
    </row>
    <row r="2822" spans="1:7" x14ac:dyDescent="0.25">
      <c r="A2822" s="41" t="s">
        <v>6043</v>
      </c>
      <c r="B2822" s="41" t="s">
        <v>6038</v>
      </c>
      <c r="C2822" s="41" t="s">
        <v>2928</v>
      </c>
      <c r="D2822" s="41" t="s">
        <v>6037</v>
      </c>
      <c r="E2822" s="41" t="s">
        <v>2929</v>
      </c>
      <c r="F2822" s="41" t="s">
        <v>2933</v>
      </c>
      <c r="G2822" s="41" t="s">
        <v>2934</v>
      </c>
    </row>
    <row r="2823" spans="1:7" x14ac:dyDescent="0.25">
      <c r="A2823" s="41" t="s">
        <v>6044</v>
      </c>
      <c r="B2823" s="41" t="s">
        <v>6038</v>
      </c>
      <c r="C2823" s="41" t="s">
        <v>2928</v>
      </c>
      <c r="D2823" s="41" t="s">
        <v>6037</v>
      </c>
      <c r="E2823" s="41" t="s">
        <v>2929</v>
      </c>
      <c r="F2823" s="41" t="s">
        <v>2933</v>
      </c>
      <c r="G2823" s="41" t="s">
        <v>2934</v>
      </c>
    </row>
    <row r="2824" spans="1:7" x14ac:dyDescent="0.25">
      <c r="A2824" s="41" t="s">
        <v>6045</v>
      </c>
      <c r="B2824" s="41" t="s">
        <v>6038</v>
      </c>
      <c r="C2824" s="41" t="s">
        <v>2928</v>
      </c>
      <c r="D2824" s="41" t="s">
        <v>6037</v>
      </c>
      <c r="E2824" s="41" t="s">
        <v>2929</v>
      </c>
      <c r="F2824" s="41" t="s">
        <v>2933</v>
      </c>
      <c r="G2824" s="41" t="s">
        <v>2934</v>
      </c>
    </row>
    <row r="2825" spans="1:7" x14ac:dyDescent="0.25">
      <c r="A2825" s="41" t="s">
        <v>6046</v>
      </c>
      <c r="B2825" s="41" t="s">
        <v>6038</v>
      </c>
      <c r="C2825" s="41" t="s">
        <v>2928</v>
      </c>
      <c r="D2825" s="41" t="s">
        <v>6037</v>
      </c>
      <c r="E2825" s="41" t="s">
        <v>2929</v>
      </c>
      <c r="F2825" s="41" t="s">
        <v>2930</v>
      </c>
      <c r="G2825" s="41" t="s">
        <v>2931</v>
      </c>
    </row>
    <row r="2826" spans="1:7" x14ac:dyDescent="0.25">
      <c r="A2826" s="41" t="s">
        <v>6047</v>
      </c>
      <c r="B2826" s="41" t="s">
        <v>6038</v>
      </c>
      <c r="C2826" s="41" t="s">
        <v>2928</v>
      </c>
      <c r="D2826" s="41" t="s">
        <v>6037</v>
      </c>
      <c r="E2826" s="41" t="s">
        <v>2929</v>
      </c>
      <c r="F2826" s="41" t="s">
        <v>2930</v>
      </c>
      <c r="G2826" s="41" t="s">
        <v>2931</v>
      </c>
    </row>
    <row r="2827" spans="1:7" x14ac:dyDescent="0.25">
      <c r="A2827" s="41" t="s">
        <v>6048</v>
      </c>
      <c r="B2827" s="41" t="s">
        <v>6038</v>
      </c>
      <c r="C2827" s="41" t="s">
        <v>2928</v>
      </c>
      <c r="D2827" s="41" t="s">
        <v>6037</v>
      </c>
      <c r="E2827" s="41" t="s">
        <v>2929</v>
      </c>
      <c r="F2827" s="41" t="s">
        <v>2930</v>
      </c>
      <c r="G2827" s="41" t="s">
        <v>2931</v>
      </c>
    </row>
    <row r="2828" spans="1:7" x14ac:dyDescent="0.25">
      <c r="A2828" s="41" t="s">
        <v>6049</v>
      </c>
      <c r="B2828" s="41" t="s">
        <v>6038</v>
      </c>
      <c r="C2828" s="41" t="s">
        <v>2928</v>
      </c>
      <c r="D2828" s="41" t="s">
        <v>6037</v>
      </c>
      <c r="E2828" s="41" t="s">
        <v>2929</v>
      </c>
      <c r="F2828" s="41" t="s">
        <v>2930</v>
      </c>
      <c r="G2828" s="41" t="s">
        <v>2931</v>
      </c>
    </row>
    <row r="2829" spans="1:7" x14ac:dyDescent="0.25">
      <c r="A2829" s="41" t="s">
        <v>6050</v>
      </c>
      <c r="B2829" s="41" t="s">
        <v>6038</v>
      </c>
      <c r="C2829" s="41" t="s">
        <v>2928</v>
      </c>
      <c r="D2829" s="41" t="s">
        <v>6037</v>
      </c>
      <c r="E2829" s="41" t="s">
        <v>2929</v>
      </c>
      <c r="F2829" s="41" t="s">
        <v>2930</v>
      </c>
      <c r="G2829" s="41" t="s">
        <v>2931</v>
      </c>
    </row>
    <row r="2830" spans="1:7" x14ac:dyDescent="0.25">
      <c r="A2830" s="41" t="s">
        <v>6051</v>
      </c>
      <c r="B2830" s="41" t="s">
        <v>6038</v>
      </c>
      <c r="C2830" s="41" t="s">
        <v>2928</v>
      </c>
      <c r="D2830" s="41" t="s">
        <v>6037</v>
      </c>
      <c r="E2830" s="41" t="s">
        <v>2929</v>
      </c>
      <c r="F2830" s="41" t="s">
        <v>2930</v>
      </c>
      <c r="G2830" s="41" t="s">
        <v>2931</v>
      </c>
    </row>
    <row r="2831" spans="1:7" x14ac:dyDescent="0.25">
      <c r="A2831" s="41" t="s">
        <v>6052</v>
      </c>
      <c r="B2831" s="41" t="s">
        <v>6038</v>
      </c>
      <c r="C2831" s="41" t="s">
        <v>2928</v>
      </c>
      <c r="D2831" s="41" t="s">
        <v>6037</v>
      </c>
      <c r="E2831" s="41" t="s">
        <v>2929</v>
      </c>
      <c r="F2831" s="41" t="s">
        <v>2930</v>
      </c>
      <c r="G2831" s="41" t="s">
        <v>2931</v>
      </c>
    </row>
    <row r="2832" spans="1:7" x14ac:dyDescent="0.25">
      <c r="A2832" s="41" t="s">
        <v>6053</v>
      </c>
      <c r="B2832" s="41" t="s">
        <v>6038</v>
      </c>
      <c r="C2832" s="41" t="s">
        <v>2928</v>
      </c>
      <c r="D2832" s="41" t="s">
        <v>6037</v>
      </c>
      <c r="E2832" s="41" t="s">
        <v>2929</v>
      </c>
      <c r="F2832" s="41" t="s">
        <v>2949</v>
      </c>
      <c r="G2832" s="41" t="s">
        <v>2950</v>
      </c>
    </row>
    <row r="2833" spans="1:7" x14ac:dyDescent="0.25">
      <c r="A2833" s="41" t="s">
        <v>6054</v>
      </c>
      <c r="B2833" s="41" t="s">
        <v>6038</v>
      </c>
      <c r="C2833" s="41" t="s">
        <v>2928</v>
      </c>
      <c r="D2833" s="41" t="s">
        <v>6037</v>
      </c>
      <c r="E2833" s="41" t="s">
        <v>2929</v>
      </c>
      <c r="F2833" s="41" t="s">
        <v>2949</v>
      </c>
      <c r="G2833" s="41" t="s">
        <v>2950</v>
      </c>
    </row>
    <row r="2834" spans="1:7" x14ac:dyDescent="0.25">
      <c r="A2834" s="41" t="s">
        <v>6055</v>
      </c>
      <c r="B2834" s="41" t="s">
        <v>6038</v>
      </c>
      <c r="C2834" s="41" t="s">
        <v>2928</v>
      </c>
      <c r="D2834" s="41" t="s">
        <v>6037</v>
      </c>
      <c r="E2834" s="41" t="s">
        <v>2929</v>
      </c>
      <c r="F2834" s="41" t="s">
        <v>2949</v>
      </c>
      <c r="G2834" s="41" t="s">
        <v>2950</v>
      </c>
    </row>
    <row r="2835" spans="1:7" x14ac:dyDescent="0.25">
      <c r="A2835" s="41" t="s">
        <v>6056</v>
      </c>
      <c r="B2835" s="41" t="s">
        <v>6038</v>
      </c>
      <c r="C2835" s="41" t="s">
        <v>2928</v>
      </c>
      <c r="D2835" s="41" t="s">
        <v>6037</v>
      </c>
      <c r="E2835" s="41" t="s">
        <v>2929</v>
      </c>
      <c r="F2835" s="41" t="s">
        <v>2949</v>
      </c>
      <c r="G2835" s="41" t="s">
        <v>2950</v>
      </c>
    </row>
    <row r="2836" spans="1:7" x14ac:dyDescent="0.25">
      <c r="A2836" s="41" t="s">
        <v>6057</v>
      </c>
      <c r="B2836" s="41" t="s">
        <v>6038</v>
      </c>
      <c r="C2836" s="41" t="s">
        <v>2928</v>
      </c>
      <c r="D2836" s="41" t="s">
        <v>6037</v>
      </c>
      <c r="E2836" s="41" t="s">
        <v>2929</v>
      </c>
      <c r="F2836" s="41" t="s">
        <v>2949</v>
      </c>
      <c r="G2836" s="41" t="s">
        <v>2950</v>
      </c>
    </row>
    <row r="2837" spans="1:7" x14ac:dyDescent="0.25">
      <c r="A2837" s="41" t="s">
        <v>6058</v>
      </c>
      <c r="B2837" s="41" t="s">
        <v>6038</v>
      </c>
      <c r="C2837" s="41" t="s">
        <v>2928</v>
      </c>
      <c r="D2837" s="41" t="s">
        <v>6037</v>
      </c>
      <c r="E2837" s="41" t="s">
        <v>2929</v>
      </c>
      <c r="F2837" s="41" t="s">
        <v>2949</v>
      </c>
      <c r="G2837" s="41" t="s">
        <v>2950</v>
      </c>
    </row>
    <row r="2838" spans="1:7" x14ac:dyDescent="0.25">
      <c r="A2838" s="41" t="s">
        <v>6059</v>
      </c>
      <c r="B2838" s="41" t="s">
        <v>6038</v>
      </c>
      <c r="C2838" s="41" t="s">
        <v>2928</v>
      </c>
      <c r="D2838" s="41" t="s">
        <v>6037</v>
      </c>
      <c r="E2838" s="41" t="s">
        <v>2929</v>
      </c>
      <c r="F2838" s="41" t="s">
        <v>2949</v>
      </c>
      <c r="G2838" s="41" t="s">
        <v>2950</v>
      </c>
    </row>
    <row r="2839" spans="1:7" x14ac:dyDescent="0.25">
      <c r="A2839" s="41" t="s">
        <v>6060</v>
      </c>
      <c r="B2839" s="41" t="s">
        <v>899</v>
      </c>
      <c r="C2839" s="41" t="s">
        <v>2928</v>
      </c>
      <c r="D2839" s="41" t="s">
        <v>6060</v>
      </c>
      <c r="E2839" s="41" t="s">
        <v>2929</v>
      </c>
      <c r="F2839" s="41" t="s">
        <v>2930</v>
      </c>
      <c r="G2839" s="41" t="s">
        <v>2931</v>
      </c>
    </row>
    <row r="2840" spans="1:7" x14ac:dyDescent="0.25">
      <c r="A2840" s="41" t="s">
        <v>6061</v>
      </c>
      <c r="B2840" s="41" t="s">
        <v>899</v>
      </c>
      <c r="C2840" s="41" t="s">
        <v>2928</v>
      </c>
      <c r="D2840" s="41" t="s">
        <v>6060</v>
      </c>
      <c r="E2840" s="41" t="s">
        <v>2929</v>
      </c>
      <c r="F2840" s="41" t="s">
        <v>2933</v>
      </c>
      <c r="G2840" s="41" t="s">
        <v>2934</v>
      </c>
    </row>
    <row r="2841" spans="1:7" x14ac:dyDescent="0.25">
      <c r="A2841" s="41" t="s">
        <v>6062</v>
      </c>
      <c r="B2841" s="41" t="s">
        <v>899</v>
      </c>
      <c r="C2841" s="41" t="s">
        <v>2928</v>
      </c>
      <c r="D2841" s="41" t="s">
        <v>6060</v>
      </c>
      <c r="E2841" s="41" t="s">
        <v>2929</v>
      </c>
      <c r="F2841" s="41" t="s">
        <v>2933</v>
      </c>
      <c r="G2841" s="41" t="s">
        <v>2934</v>
      </c>
    </row>
    <row r="2842" spans="1:7" x14ac:dyDescent="0.25">
      <c r="A2842" s="41" t="s">
        <v>6063</v>
      </c>
      <c r="B2842" s="41" t="s">
        <v>899</v>
      </c>
      <c r="C2842" s="41" t="s">
        <v>2928</v>
      </c>
      <c r="D2842" s="41" t="s">
        <v>6060</v>
      </c>
      <c r="E2842" s="41" t="s">
        <v>2929</v>
      </c>
      <c r="F2842" s="41" t="s">
        <v>2949</v>
      </c>
      <c r="G2842" s="41" t="s">
        <v>2950</v>
      </c>
    </row>
    <row r="2843" spans="1:7" x14ac:dyDescent="0.25">
      <c r="A2843" s="41" t="s">
        <v>6064</v>
      </c>
      <c r="B2843" s="41" t="s">
        <v>6065</v>
      </c>
      <c r="C2843" s="41" t="s">
        <v>2928</v>
      </c>
      <c r="D2843" s="41" t="s">
        <v>6064</v>
      </c>
      <c r="E2843" s="41" t="s">
        <v>2929</v>
      </c>
      <c r="F2843" s="41" t="s">
        <v>2930</v>
      </c>
      <c r="G2843" s="41" t="s">
        <v>2931</v>
      </c>
    </row>
    <row r="2844" spans="1:7" x14ac:dyDescent="0.25">
      <c r="A2844" s="41" t="s">
        <v>6066</v>
      </c>
      <c r="B2844" s="41" t="s">
        <v>6067</v>
      </c>
      <c r="C2844" s="41" t="s">
        <v>2928</v>
      </c>
      <c r="D2844" s="41" t="s">
        <v>6066</v>
      </c>
      <c r="E2844" s="41" t="s">
        <v>2929</v>
      </c>
      <c r="F2844" s="41" t="s">
        <v>2930</v>
      </c>
      <c r="G2844" s="41" t="s">
        <v>2931</v>
      </c>
    </row>
    <row r="2845" spans="1:7" x14ac:dyDescent="0.25">
      <c r="A2845" s="41" t="s">
        <v>6068</v>
      </c>
      <c r="B2845" s="41" t="s">
        <v>6069</v>
      </c>
      <c r="C2845" s="41" t="s">
        <v>2928</v>
      </c>
      <c r="D2845" s="41" t="s">
        <v>6068</v>
      </c>
      <c r="E2845" s="41" t="s">
        <v>2929</v>
      </c>
      <c r="F2845" s="41" t="s">
        <v>2930</v>
      </c>
      <c r="G2845" s="41" t="s">
        <v>2931</v>
      </c>
    </row>
    <row r="2846" spans="1:7" x14ac:dyDescent="0.25">
      <c r="A2846" s="41" t="s">
        <v>6070</v>
      </c>
      <c r="B2846" s="41" t="s">
        <v>6069</v>
      </c>
      <c r="C2846" s="41" t="s">
        <v>2928</v>
      </c>
      <c r="D2846" s="41" t="s">
        <v>6068</v>
      </c>
      <c r="E2846" s="41" t="s">
        <v>2929</v>
      </c>
      <c r="F2846" s="41" t="s">
        <v>2933</v>
      </c>
      <c r="G2846" s="41" t="s">
        <v>2934</v>
      </c>
    </row>
    <row r="2847" spans="1:7" x14ac:dyDescent="0.25">
      <c r="A2847" s="41" t="s">
        <v>6071</v>
      </c>
      <c r="B2847" s="41" t="s">
        <v>6069</v>
      </c>
      <c r="C2847" s="41" t="s">
        <v>2928</v>
      </c>
      <c r="D2847" s="41" t="s">
        <v>6068</v>
      </c>
      <c r="E2847" s="41" t="s">
        <v>2929</v>
      </c>
      <c r="F2847" s="41" t="s">
        <v>2933</v>
      </c>
      <c r="G2847" s="41" t="s">
        <v>2934</v>
      </c>
    </row>
    <row r="2848" spans="1:7" x14ac:dyDescent="0.25">
      <c r="A2848" s="41" t="s">
        <v>6072</v>
      </c>
      <c r="B2848" s="41" t="s">
        <v>6069</v>
      </c>
      <c r="C2848" s="41" t="s">
        <v>2928</v>
      </c>
      <c r="D2848" s="41" t="s">
        <v>6068</v>
      </c>
      <c r="E2848" s="41" t="s">
        <v>2929</v>
      </c>
      <c r="F2848" s="41" t="s">
        <v>2933</v>
      </c>
      <c r="G2848" s="41" t="s">
        <v>2934</v>
      </c>
    </row>
    <row r="2849" spans="1:7" x14ac:dyDescent="0.25">
      <c r="A2849" s="41" t="s">
        <v>6073</v>
      </c>
      <c r="B2849" s="41" t="s">
        <v>6069</v>
      </c>
      <c r="C2849" s="41" t="s">
        <v>2928</v>
      </c>
      <c r="D2849" s="41" t="s">
        <v>6068</v>
      </c>
      <c r="E2849" s="41" t="s">
        <v>2929</v>
      </c>
      <c r="F2849" s="41" t="s">
        <v>2933</v>
      </c>
      <c r="G2849" s="41" t="s">
        <v>2934</v>
      </c>
    </row>
    <row r="2850" spans="1:7" x14ac:dyDescent="0.25">
      <c r="A2850" s="41" t="s">
        <v>6074</v>
      </c>
      <c r="B2850" s="41" t="s">
        <v>6069</v>
      </c>
      <c r="C2850" s="41" t="s">
        <v>2928</v>
      </c>
      <c r="D2850" s="41" t="s">
        <v>6068</v>
      </c>
      <c r="E2850" s="41" t="s">
        <v>2929</v>
      </c>
      <c r="F2850" s="41" t="s">
        <v>2933</v>
      </c>
      <c r="G2850" s="41" t="s">
        <v>2934</v>
      </c>
    </row>
    <row r="2851" spans="1:7" x14ac:dyDescent="0.25">
      <c r="A2851" s="41" t="s">
        <v>6075</v>
      </c>
      <c r="B2851" s="41" t="s">
        <v>6069</v>
      </c>
      <c r="C2851" s="41" t="s">
        <v>2928</v>
      </c>
      <c r="D2851" s="41" t="s">
        <v>6068</v>
      </c>
      <c r="E2851" s="41" t="s">
        <v>2929</v>
      </c>
      <c r="F2851" s="41" t="s">
        <v>2933</v>
      </c>
      <c r="G2851" s="41" t="s">
        <v>2934</v>
      </c>
    </row>
    <row r="2852" spans="1:7" x14ac:dyDescent="0.25">
      <c r="A2852" s="41" t="s">
        <v>6076</v>
      </c>
      <c r="B2852" s="41" t="s">
        <v>6069</v>
      </c>
      <c r="C2852" s="41" t="s">
        <v>2928</v>
      </c>
      <c r="D2852" s="41" t="s">
        <v>6068</v>
      </c>
      <c r="E2852" s="41" t="s">
        <v>2929</v>
      </c>
      <c r="F2852" s="41" t="s">
        <v>2933</v>
      </c>
      <c r="G2852" s="41" t="s">
        <v>2934</v>
      </c>
    </row>
    <row r="2853" spans="1:7" x14ac:dyDescent="0.25">
      <c r="A2853" s="41" t="s">
        <v>6077</v>
      </c>
      <c r="B2853" s="41" t="s">
        <v>6069</v>
      </c>
      <c r="C2853" s="41" t="s">
        <v>2928</v>
      </c>
      <c r="D2853" s="41" t="s">
        <v>6068</v>
      </c>
      <c r="E2853" s="41" t="s">
        <v>2929</v>
      </c>
      <c r="F2853" s="41" t="s">
        <v>2930</v>
      </c>
      <c r="G2853" s="41" t="s">
        <v>2931</v>
      </c>
    </row>
    <row r="2854" spans="1:7" x14ac:dyDescent="0.25">
      <c r="A2854" s="41" t="s">
        <v>6078</v>
      </c>
      <c r="B2854" s="41" t="s">
        <v>6069</v>
      </c>
      <c r="C2854" s="41" t="s">
        <v>2928</v>
      </c>
      <c r="D2854" s="41" t="s">
        <v>6068</v>
      </c>
      <c r="E2854" s="41" t="s">
        <v>2929</v>
      </c>
      <c r="F2854" s="41" t="s">
        <v>2930</v>
      </c>
      <c r="G2854" s="41" t="s">
        <v>2931</v>
      </c>
    </row>
    <row r="2855" spans="1:7" x14ac:dyDescent="0.25">
      <c r="A2855" s="41" t="s">
        <v>6079</v>
      </c>
      <c r="B2855" s="41" t="s">
        <v>6069</v>
      </c>
      <c r="C2855" s="41" t="s">
        <v>2928</v>
      </c>
      <c r="D2855" s="41" t="s">
        <v>6068</v>
      </c>
      <c r="E2855" s="41" t="s">
        <v>2929</v>
      </c>
      <c r="F2855" s="41" t="s">
        <v>2930</v>
      </c>
      <c r="G2855" s="41" t="s">
        <v>2931</v>
      </c>
    </row>
    <row r="2856" spans="1:7" x14ac:dyDescent="0.25">
      <c r="A2856" s="41" t="s">
        <v>6080</v>
      </c>
      <c r="B2856" s="41" t="s">
        <v>6069</v>
      </c>
      <c r="C2856" s="41" t="s">
        <v>2928</v>
      </c>
      <c r="D2856" s="41" t="s">
        <v>6068</v>
      </c>
      <c r="E2856" s="41" t="s">
        <v>2929</v>
      </c>
      <c r="F2856" s="41" t="s">
        <v>2930</v>
      </c>
      <c r="G2856" s="41" t="s">
        <v>2931</v>
      </c>
    </row>
    <row r="2857" spans="1:7" x14ac:dyDescent="0.25">
      <c r="A2857" s="41" t="s">
        <v>6081</v>
      </c>
      <c r="B2857" s="41" t="s">
        <v>6069</v>
      </c>
      <c r="C2857" s="41" t="s">
        <v>2928</v>
      </c>
      <c r="D2857" s="41" t="s">
        <v>6068</v>
      </c>
      <c r="E2857" s="41" t="s">
        <v>2929</v>
      </c>
      <c r="F2857" s="41" t="s">
        <v>2930</v>
      </c>
      <c r="G2857" s="41" t="s">
        <v>2931</v>
      </c>
    </row>
    <row r="2858" spans="1:7" x14ac:dyDescent="0.25">
      <c r="A2858" s="41" t="s">
        <v>6082</v>
      </c>
      <c r="B2858" s="41" t="s">
        <v>6069</v>
      </c>
      <c r="C2858" s="41" t="s">
        <v>2928</v>
      </c>
      <c r="D2858" s="41" t="s">
        <v>6068</v>
      </c>
      <c r="E2858" s="41" t="s">
        <v>2929</v>
      </c>
      <c r="F2858" s="41" t="s">
        <v>2930</v>
      </c>
      <c r="G2858" s="41" t="s">
        <v>2931</v>
      </c>
    </row>
    <row r="2859" spans="1:7" x14ac:dyDescent="0.25">
      <c r="A2859" s="41" t="s">
        <v>6083</v>
      </c>
      <c r="B2859" s="41" t="s">
        <v>6069</v>
      </c>
      <c r="C2859" s="41" t="s">
        <v>2928</v>
      </c>
      <c r="D2859" s="41" t="s">
        <v>6068</v>
      </c>
      <c r="E2859" s="41" t="s">
        <v>2929</v>
      </c>
      <c r="F2859" s="41" t="s">
        <v>2930</v>
      </c>
      <c r="G2859" s="41" t="s">
        <v>2931</v>
      </c>
    </row>
    <row r="2860" spans="1:7" x14ac:dyDescent="0.25">
      <c r="A2860" s="41" t="s">
        <v>6084</v>
      </c>
      <c r="B2860" s="41" t="s">
        <v>6069</v>
      </c>
      <c r="C2860" s="41" t="s">
        <v>2928</v>
      </c>
      <c r="D2860" s="41" t="s">
        <v>6068</v>
      </c>
      <c r="E2860" s="41" t="s">
        <v>2929</v>
      </c>
      <c r="F2860" s="41" t="s">
        <v>2949</v>
      </c>
      <c r="G2860" s="41" t="s">
        <v>2950</v>
      </c>
    </row>
    <row r="2861" spans="1:7" x14ac:dyDescent="0.25">
      <c r="A2861" s="41" t="s">
        <v>6085</v>
      </c>
      <c r="B2861" s="41" t="s">
        <v>6069</v>
      </c>
      <c r="C2861" s="41" t="s">
        <v>2928</v>
      </c>
      <c r="D2861" s="41" t="s">
        <v>6068</v>
      </c>
      <c r="E2861" s="41" t="s">
        <v>2929</v>
      </c>
      <c r="F2861" s="41" t="s">
        <v>2949</v>
      </c>
      <c r="G2861" s="41" t="s">
        <v>2950</v>
      </c>
    </row>
    <row r="2862" spans="1:7" x14ac:dyDescent="0.25">
      <c r="A2862" s="41" t="s">
        <v>6086</v>
      </c>
      <c r="B2862" s="41" t="s">
        <v>6069</v>
      </c>
      <c r="C2862" s="41" t="s">
        <v>2928</v>
      </c>
      <c r="D2862" s="41" t="s">
        <v>6068</v>
      </c>
      <c r="E2862" s="41" t="s">
        <v>2929</v>
      </c>
      <c r="F2862" s="41" t="s">
        <v>2949</v>
      </c>
      <c r="G2862" s="41" t="s">
        <v>2950</v>
      </c>
    </row>
    <row r="2863" spans="1:7" x14ac:dyDescent="0.25">
      <c r="A2863" s="41" t="s">
        <v>6087</v>
      </c>
      <c r="B2863" s="41" t="s">
        <v>6069</v>
      </c>
      <c r="C2863" s="41" t="s">
        <v>2928</v>
      </c>
      <c r="D2863" s="41" t="s">
        <v>6068</v>
      </c>
      <c r="E2863" s="41" t="s">
        <v>2929</v>
      </c>
      <c r="F2863" s="41" t="s">
        <v>2949</v>
      </c>
      <c r="G2863" s="41" t="s">
        <v>2950</v>
      </c>
    </row>
    <row r="2864" spans="1:7" x14ac:dyDescent="0.25">
      <c r="A2864" s="41" t="s">
        <v>6088</v>
      </c>
      <c r="B2864" s="41" t="s">
        <v>6069</v>
      </c>
      <c r="C2864" s="41" t="s">
        <v>2928</v>
      </c>
      <c r="D2864" s="41" t="s">
        <v>6068</v>
      </c>
      <c r="E2864" s="41" t="s">
        <v>2929</v>
      </c>
      <c r="F2864" s="41" t="s">
        <v>2949</v>
      </c>
      <c r="G2864" s="41" t="s">
        <v>2950</v>
      </c>
    </row>
    <row r="2865" spans="1:7" x14ac:dyDescent="0.25">
      <c r="A2865" s="41" t="s">
        <v>6089</v>
      </c>
      <c r="B2865" s="41" t="s">
        <v>6069</v>
      </c>
      <c r="C2865" s="41" t="s">
        <v>2928</v>
      </c>
      <c r="D2865" s="41" t="s">
        <v>6068</v>
      </c>
      <c r="E2865" s="41" t="s">
        <v>2929</v>
      </c>
      <c r="F2865" s="41" t="s">
        <v>2949</v>
      </c>
      <c r="G2865" s="41" t="s">
        <v>2950</v>
      </c>
    </row>
    <row r="2866" spans="1:7" x14ac:dyDescent="0.25">
      <c r="A2866" s="41" t="s">
        <v>6090</v>
      </c>
      <c r="B2866" s="41" t="s">
        <v>6069</v>
      </c>
      <c r="C2866" s="41" t="s">
        <v>2928</v>
      </c>
      <c r="D2866" s="41" t="s">
        <v>6068</v>
      </c>
      <c r="E2866" s="41" t="s">
        <v>2929</v>
      </c>
      <c r="F2866" s="41" t="s">
        <v>2949</v>
      </c>
      <c r="G2866" s="41" t="s">
        <v>2950</v>
      </c>
    </row>
    <row r="2867" spans="1:7" x14ac:dyDescent="0.25">
      <c r="A2867" s="41" t="s">
        <v>6091</v>
      </c>
      <c r="B2867" s="41" t="s">
        <v>897</v>
      </c>
      <c r="C2867" s="41" t="s">
        <v>2928</v>
      </c>
      <c r="D2867" s="41" t="s">
        <v>6091</v>
      </c>
      <c r="E2867" s="41" t="s">
        <v>2929</v>
      </c>
      <c r="F2867" s="41" t="s">
        <v>2930</v>
      </c>
      <c r="G2867" s="41" t="s">
        <v>2931</v>
      </c>
    </row>
    <row r="2868" spans="1:7" x14ac:dyDescent="0.25">
      <c r="A2868" s="41" t="s">
        <v>6092</v>
      </c>
      <c r="B2868" s="41" t="s">
        <v>897</v>
      </c>
      <c r="C2868" s="41" t="s">
        <v>2928</v>
      </c>
      <c r="D2868" s="41" t="s">
        <v>6091</v>
      </c>
      <c r="E2868" s="41" t="s">
        <v>2929</v>
      </c>
      <c r="F2868" s="41" t="s">
        <v>2933</v>
      </c>
      <c r="G2868" s="41" t="s">
        <v>2934</v>
      </c>
    </row>
    <row r="2869" spans="1:7" x14ac:dyDescent="0.25">
      <c r="A2869" s="41" t="s">
        <v>6093</v>
      </c>
      <c r="B2869" s="41" t="s">
        <v>897</v>
      </c>
      <c r="C2869" s="41" t="s">
        <v>2928</v>
      </c>
      <c r="D2869" s="41" t="s">
        <v>6091</v>
      </c>
      <c r="E2869" s="41" t="s">
        <v>2929</v>
      </c>
      <c r="F2869" s="41" t="s">
        <v>2930</v>
      </c>
      <c r="G2869" s="41" t="s">
        <v>2931</v>
      </c>
    </row>
    <row r="2870" spans="1:7" x14ac:dyDescent="0.25">
      <c r="A2870" s="41" t="s">
        <v>6094</v>
      </c>
      <c r="B2870" s="41" t="s">
        <v>897</v>
      </c>
      <c r="C2870" s="41" t="s">
        <v>2928</v>
      </c>
      <c r="D2870" s="41" t="s">
        <v>6091</v>
      </c>
      <c r="E2870" s="41" t="s">
        <v>2929</v>
      </c>
      <c r="F2870" s="41" t="s">
        <v>2949</v>
      </c>
      <c r="G2870" s="41" t="s">
        <v>2950</v>
      </c>
    </row>
    <row r="2871" spans="1:7" x14ac:dyDescent="0.25">
      <c r="A2871" s="41" t="s">
        <v>673</v>
      </c>
      <c r="B2871" s="41" t="s">
        <v>6095</v>
      </c>
      <c r="C2871" s="41" t="s">
        <v>2928</v>
      </c>
      <c r="D2871" s="41" t="s">
        <v>673</v>
      </c>
      <c r="E2871" s="41" t="s">
        <v>2929</v>
      </c>
      <c r="F2871" s="41" t="s">
        <v>2930</v>
      </c>
      <c r="G2871" s="41" t="s">
        <v>2931</v>
      </c>
    </row>
    <row r="2872" spans="1:7" x14ac:dyDescent="0.25">
      <c r="A2872" s="41" t="s">
        <v>6096</v>
      </c>
      <c r="B2872" s="41" t="s">
        <v>6095</v>
      </c>
      <c r="C2872" s="41" t="s">
        <v>2928</v>
      </c>
      <c r="D2872" s="41" t="s">
        <v>673</v>
      </c>
      <c r="E2872" s="41" t="s">
        <v>2929</v>
      </c>
      <c r="F2872" s="41" t="s">
        <v>2933</v>
      </c>
      <c r="G2872" s="41" t="s">
        <v>2934</v>
      </c>
    </row>
    <row r="2873" spans="1:7" x14ac:dyDescent="0.25">
      <c r="A2873" s="41" t="s">
        <v>6097</v>
      </c>
      <c r="B2873" s="41" t="s">
        <v>6095</v>
      </c>
      <c r="C2873" s="41" t="s">
        <v>2928</v>
      </c>
      <c r="D2873" s="41" t="s">
        <v>673</v>
      </c>
      <c r="E2873" s="41" t="s">
        <v>2929</v>
      </c>
      <c r="F2873" s="41" t="s">
        <v>2930</v>
      </c>
      <c r="G2873" s="41" t="s">
        <v>2931</v>
      </c>
    </row>
    <row r="2874" spans="1:7" x14ac:dyDescent="0.25">
      <c r="A2874" s="41" t="s">
        <v>6098</v>
      </c>
      <c r="B2874" s="41" t="s">
        <v>6095</v>
      </c>
      <c r="C2874" s="41" t="s">
        <v>2928</v>
      </c>
      <c r="D2874" s="41" t="s">
        <v>673</v>
      </c>
      <c r="E2874" s="41" t="s">
        <v>2929</v>
      </c>
      <c r="F2874" s="41" t="s">
        <v>2949</v>
      </c>
      <c r="G2874" s="41" t="s">
        <v>2950</v>
      </c>
    </row>
    <row r="2875" spans="1:7" x14ac:dyDescent="0.25">
      <c r="A2875" s="41" t="s">
        <v>623</v>
      </c>
      <c r="B2875" s="41" t="s">
        <v>6095</v>
      </c>
      <c r="C2875" s="41" t="s">
        <v>2928</v>
      </c>
      <c r="D2875" s="41" t="s">
        <v>623</v>
      </c>
      <c r="E2875" s="41" t="s">
        <v>2929</v>
      </c>
      <c r="F2875" s="41" t="s">
        <v>2930</v>
      </c>
      <c r="G2875" s="41" t="s">
        <v>2931</v>
      </c>
    </row>
    <row r="2876" spans="1:7" x14ac:dyDescent="0.25">
      <c r="A2876" s="41" t="s">
        <v>6099</v>
      </c>
      <c r="B2876" s="41" t="s">
        <v>6095</v>
      </c>
      <c r="C2876" s="41" t="s">
        <v>2928</v>
      </c>
      <c r="D2876" s="41" t="s">
        <v>623</v>
      </c>
      <c r="E2876" s="41" t="s">
        <v>2929</v>
      </c>
      <c r="F2876" s="41" t="s">
        <v>2933</v>
      </c>
      <c r="G2876" s="41" t="s">
        <v>2934</v>
      </c>
    </row>
    <row r="2877" spans="1:7" x14ac:dyDescent="0.25">
      <c r="A2877" s="41" t="s">
        <v>6100</v>
      </c>
      <c r="B2877" s="41" t="s">
        <v>6095</v>
      </c>
      <c r="C2877" s="41" t="s">
        <v>2928</v>
      </c>
      <c r="D2877" s="41" t="s">
        <v>623</v>
      </c>
      <c r="E2877" s="41" t="s">
        <v>2929</v>
      </c>
      <c r="F2877" s="41" t="s">
        <v>2930</v>
      </c>
      <c r="G2877" s="41" t="s">
        <v>2931</v>
      </c>
    </row>
    <row r="2878" spans="1:7" x14ac:dyDescent="0.25">
      <c r="A2878" s="41" t="s">
        <v>6101</v>
      </c>
      <c r="B2878" s="41" t="s">
        <v>6095</v>
      </c>
      <c r="C2878" s="41" t="s">
        <v>2928</v>
      </c>
      <c r="D2878" s="41" t="s">
        <v>623</v>
      </c>
      <c r="E2878" s="41" t="s">
        <v>2929</v>
      </c>
      <c r="F2878" s="41" t="s">
        <v>2949</v>
      </c>
      <c r="G2878" s="41" t="s">
        <v>2950</v>
      </c>
    </row>
    <row r="2879" spans="1:7" x14ac:dyDescent="0.25">
      <c r="A2879" s="41" t="s">
        <v>811</v>
      </c>
      <c r="B2879" s="41" t="s">
        <v>6102</v>
      </c>
      <c r="C2879" s="41" t="s">
        <v>2928</v>
      </c>
      <c r="D2879" s="41" t="s">
        <v>811</v>
      </c>
      <c r="E2879" s="41" t="s">
        <v>2929</v>
      </c>
      <c r="F2879" s="41" t="s">
        <v>2930</v>
      </c>
      <c r="G2879" s="41" t="s">
        <v>2931</v>
      </c>
    </row>
    <row r="2880" spans="1:7" x14ac:dyDescent="0.25">
      <c r="A2880" s="41" t="s">
        <v>6103</v>
      </c>
      <c r="B2880" s="41" t="s">
        <v>6102</v>
      </c>
      <c r="C2880" s="41" t="s">
        <v>2928</v>
      </c>
      <c r="D2880" s="41" t="s">
        <v>811</v>
      </c>
      <c r="E2880" s="41" t="s">
        <v>2929</v>
      </c>
      <c r="F2880" s="41" t="s">
        <v>2933</v>
      </c>
      <c r="G2880" s="41" t="s">
        <v>2934</v>
      </c>
    </row>
    <row r="2881" spans="1:7" x14ac:dyDescent="0.25">
      <c r="A2881" s="41" t="s">
        <v>6104</v>
      </c>
      <c r="B2881" s="41" t="s">
        <v>6102</v>
      </c>
      <c r="C2881" s="41" t="s">
        <v>2928</v>
      </c>
      <c r="D2881" s="41" t="s">
        <v>811</v>
      </c>
      <c r="E2881" s="41" t="s">
        <v>2929</v>
      </c>
      <c r="F2881" s="41" t="s">
        <v>2930</v>
      </c>
      <c r="G2881" s="41" t="s">
        <v>2931</v>
      </c>
    </row>
    <row r="2882" spans="1:7" x14ac:dyDescent="0.25">
      <c r="A2882" s="41" t="s">
        <v>6105</v>
      </c>
      <c r="B2882" s="41" t="s">
        <v>6102</v>
      </c>
      <c r="C2882" s="41" t="s">
        <v>2928</v>
      </c>
      <c r="D2882" s="41" t="s">
        <v>811</v>
      </c>
      <c r="E2882" s="41" t="s">
        <v>2929</v>
      </c>
      <c r="F2882" s="41" t="s">
        <v>2949</v>
      </c>
      <c r="G2882" s="41" t="s">
        <v>2950</v>
      </c>
    </row>
    <row r="2883" spans="1:7" x14ac:dyDescent="0.25">
      <c r="A2883" s="41" t="s">
        <v>848</v>
      </c>
      <c r="B2883" s="41" t="s">
        <v>6102</v>
      </c>
      <c r="C2883" s="41" t="s">
        <v>2928</v>
      </c>
      <c r="D2883" s="41" t="s">
        <v>848</v>
      </c>
      <c r="E2883" s="41" t="s">
        <v>2929</v>
      </c>
      <c r="F2883" s="41" t="s">
        <v>2930</v>
      </c>
      <c r="G2883" s="41" t="s">
        <v>2931</v>
      </c>
    </row>
    <row r="2884" spans="1:7" x14ac:dyDescent="0.25">
      <c r="A2884" s="41" t="s">
        <v>6106</v>
      </c>
      <c r="B2884" s="41" t="s">
        <v>6102</v>
      </c>
      <c r="C2884" s="41" t="s">
        <v>2928</v>
      </c>
      <c r="D2884" s="41" t="s">
        <v>848</v>
      </c>
      <c r="E2884" s="41" t="s">
        <v>2929</v>
      </c>
      <c r="F2884" s="41" t="s">
        <v>2933</v>
      </c>
      <c r="G2884" s="41" t="s">
        <v>2934</v>
      </c>
    </row>
    <row r="2885" spans="1:7" x14ac:dyDescent="0.25">
      <c r="A2885" s="41" t="s">
        <v>6107</v>
      </c>
      <c r="B2885" s="41" t="s">
        <v>6102</v>
      </c>
      <c r="C2885" s="41" t="s">
        <v>2928</v>
      </c>
      <c r="D2885" s="41" t="s">
        <v>848</v>
      </c>
      <c r="E2885" s="41" t="s">
        <v>2929</v>
      </c>
      <c r="F2885" s="41" t="s">
        <v>2930</v>
      </c>
      <c r="G2885" s="41" t="s">
        <v>2931</v>
      </c>
    </row>
    <row r="2886" spans="1:7" x14ac:dyDescent="0.25">
      <c r="A2886" s="41" t="s">
        <v>6108</v>
      </c>
      <c r="B2886" s="41" t="s">
        <v>6102</v>
      </c>
      <c r="C2886" s="41" t="s">
        <v>2928</v>
      </c>
      <c r="D2886" s="41" t="s">
        <v>848</v>
      </c>
      <c r="E2886" s="41" t="s">
        <v>2929</v>
      </c>
      <c r="F2886" s="41" t="s">
        <v>2949</v>
      </c>
      <c r="G2886" s="41" t="s">
        <v>2950</v>
      </c>
    </row>
    <row r="2887" spans="1:7" x14ac:dyDescent="0.25">
      <c r="A2887" s="41" t="s">
        <v>6109</v>
      </c>
      <c r="B2887" s="41" t="s">
        <v>6110</v>
      </c>
      <c r="C2887" s="41" t="s">
        <v>2928</v>
      </c>
      <c r="D2887" s="41" t="s">
        <v>6109</v>
      </c>
      <c r="E2887" s="41" t="s">
        <v>2929</v>
      </c>
      <c r="F2887" s="41" t="s">
        <v>2930</v>
      </c>
      <c r="G2887" s="41" t="s">
        <v>2931</v>
      </c>
    </row>
    <row r="2888" spans="1:7" x14ac:dyDescent="0.25">
      <c r="A2888" s="41" t="s">
        <v>6111</v>
      </c>
      <c r="B2888" s="41" t="s">
        <v>6110</v>
      </c>
      <c r="C2888" s="41" t="s">
        <v>2928</v>
      </c>
      <c r="D2888" s="41" t="s">
        <v>6109</v>
      </c>
      <c r="E2888" s="41" t="s">
        <v>2929</v>
      </c>
      <c r="F2888" s="41" t="s">
        <v>2933</v>
      </c>
      <c r="G2888" s="41" t="s">
        <v>2934</v>
      </c>
    </row>
    <row r="2889" spans="1:7" x14ac:dyDescent="0.25">
      <c r="A2889" s="41" t="s">
        <v>6112</v>
      </c>
      <c r="B2889" s="41" t="s">
        <v>6110</v>
      </c>
      <c r="C2889" s="41" t="s">
        <v>2928</v>
      </c>
      <c r="D2889" s="41" t="s">
        <v>6109</v>
      </c>
      <c r="E2889" s="41" t="s">
        <v>2929</v>
      </c>
      <c r="F2889" s="41" t="s">
        <v>2930</v>
      </c>
      <c r="G2889" s="41" t="s">
        <v>2931</v>
      </c>
    </row>
    <row r="2890" spans="1:7" x14ac:dyDescent="0.25">
      <c r="A2890" s="41" t="s">
        <v>6113</v>
      </c>
      <c r="B2890" s="41" t="s">
        <v>6110</v>
      </c>
      <c r="C2890" s="41" t="s">
        <v>2928</v>
      </c>
      <c r="D2890" s="41" t="s">
        <v>6109</v>
      </c>
      <c r="E2890" s="41" t="s">
        <v>2929</v>
      </c>
      <c r="F2890" s="41" t="s">
        <v>2949</v>
      </c>
      <c r="G2890" s="41" t="s">
        <v>2950</v>
      </c>
    </row>
    <row r="2891" spans="1:7" x14ac:dyDescent="0.25">
      <c r="A2891" s="41" t="s">
        <v>6114</v>
      </c>
      <c r="B2891" s="41" t="s">
        <v>6115</v>
      </c>
      <c r="C2891" s="41" t="s">
        <v>2928</v>
      </c>
      <c r="D2891" s="41" t="s">
        <v>6114</v>
      </c>
      <c r="E2891" s="41" t="s">
        <v>2929</v>
      </c>
      <c r="F2891" s="41" t="s">
        <v>2930</v>
      </c>
      <c r="G2891" s="41" t="s">
        <v>2931</v>
      </c>
    </row>
    <row r="2892" spans="1:7" x14ac:dyDescent="0.25">
      <c r="A2892" s="41" t="s">
        <v>6116</v>
      </c>
      <c r="B2892" s="41" t="s">
        <v>6115</v>
      </c>
      <c r="C2892" s="41" t="s">
        <v>2928</v>
      </c>
      <c r="D2892" s="41" t="s">
        <v>6114</v>
      </c>
      <c r="E2892" s="41" t="s">
        <v>2929</v>
      </c>
      <c r="F2892" s="41" t="s">
        <v>2933</v>
      </c>
      <c r="G2892" s="41" t="s">
        <v>2934</v>
      </c>
    </row>
    <row r="2893" spans="1:7" x14ac:dyDescent="0.25">
      <c r="A2893" s="41" t="s">
        <v>6117</v>
      </c>
      <c r="B2893" s="41" t="s">
        <v>6115</v>
      </c>
      <c r="C2893" s="41" t="s">
        <v>2928</v>
      </c>
      <c r="D2893" s="41" t="s">
        <v>6114</v>
      </c>
      <c r="E2893" s="41" t="s">
        <v>2929</v>
      </c>
      <c r="F2893" s="41" t="s">
        <v>2930</v>
      </c>
      <c r="G2893" s="41" t="s">
        <v>2931</v>
      </c>
    </row>
    <row r="2894" spans="1:7" x14ac:dyDescent="0.25">
      <c r="A2894" s="41" t="s">
        <v>6118</v>
      </c>
      <c r="B2894" s="41" t="s">
        <v>6115</v>
      </c>
      <c r="C2894" s="41" t="s">
        <v>2928</v>
      </c>
      <c r="D2894" s="41" t="s">
        <v>6114</v>
      </c>
      <c r="E2894" s="41" t="s">
        <v>2929</v>
      </c>
      <c r="F2894" s="41" t="s">
        <v>2949</v>
      </c>
      <c r="G2894" s="41" t="s">
        <v>2950</v>
      </c>
    </row>
    <row r="2895" spans="1:7" x14ac:dyDescent="0.25">
      <c r="A2895" s="41" t="s">
        <v>6119</v>
      </c>
      <c r="B2895" s="41" t="s">
        <v>6120</v>
      </c>
      <c r="C2895" s="41" t="s">
        <v>2928</v>
      </c>
      <c r="D2895" s="41" t="s">
        <v>6119</v>
      </c>
      <c r="E2895" s="41" t="s">
        <v>2929</v>
      </c>
      <c r="F2895" s="41" t="s">
        <v>2930</v>
      </c>
      <c r="G2895" s="41" t="s">
        <v>2931</v>
      </c>
    </row>
    <row r="2896" spans="1:7" x14ac:dyDescent="0.25">
      <c r="A2896" s="41" t="s">
        <v>6121</v>
      </c>
      <c r="B2896" s="41" t="s">
        <v>6120</v>
      </c>
      <c r="C2896" s="41" t="s">
        <v>2928</v>
      </c>
      <c r="D2896" s="41" t="s">
        <v>6119</v>
      </c>
      <c r="E2896" s="41" t="s">
        <v>2929</v>
      </c>
      <c r="F2896" s="41" t="s">
        <v>2933</v>
      </c>
      <c r="G2896" s="41" t="s">
        <v>2934</v>
      </c>
    </row>
    <row r="2897" spans="1:7" x14ac:dyDescent="0.25">
      <c r="A2897" s="41" t="s">
        <v>6122</v>
      </c>
      <c r="B2897" s="41" t="s">
        <v>6120</v>
      </c>
      <c r="C2897" s="41" t="s">
        <v>2928</v>
      </c>
      <c r="D2897" s="41" t="s">
        <v>6119</v>
      </c>
      <c r="E2897" s="41" t="s">
        <v>2929</v>
      </c>
      <c r="F2897" s="41" t="s">
        <v>2930</v>
      </c>
      <c r="G2897" s="41" t="s">
        <v>2931</v>
      </c>
    </row>
    <row r="2898" spans="1:7" x14ac:dyDescent="0.25">
      <c r="A2898" s="41" t="s">
        <v>6123</v>
      </c>
      <c r="B2898" s="41" t="s">
        <v>6120</v>
      </c>
      <c r="C2898" s="41" t="s">
        <v>2928</v>
      </c>
      <c r="D2898" s="41" t="s">
        <v>6119</v>
      </c>
      <c r="E2898" s="41" t="s">
        <v>2929</v>
      </c>
      <c r="F2898" s="41" t="s">
        <v>2949</v>
      </c>
      <c r="G2898" s="41" t="s">
        <v>2950</v>
      </c>
    </row>
    <row r="2899" spans="1:7" x14ac:dyDescent="0.25">
      <c r="A2899" s="41" t="s">
        <v>6124</v>
      </c>
      <c r="B2899" s="41" t="s">
        <v>144</v>
      </c>
      <c r="C2899" s="41" t="s">
        <v>2928</v>
      </c>
      <c r="D2899" s="41" t="s">
        <v>6124</v>
      </c>
      <c r="E2899" s="41" t="s">
        <v>2929</v>
      </c>
      <c r="F2899" s="41" t="s">
        <v>2930</v>
      </c>
      <c r="G2899" s="41" t="s">
        <v>2931</v>
      </c>
    </row>
    <row r="2900" spans="1:7" x14ac:dyDescent="0.25">
      <c r="A2900" s="41" t="s">
        <v>6125</v>
      </c>
      <c r="B2900" s="41" t="s">
        <v>144</v>
      </c>
      <c r="C2900" s="41" t="s">
        <v>2928</v>
      </c>
      <c r="D2900" s="41" t="s">
        <v>6124</v>
      </c>
      <c r="E2900" s="41" t="s">
        <v>2929</v>
      </c>
      <c r="F2900" s="41" t="s">
        <v>2933</v>
      </c>
      <c r="G2900" s="41" t="s">
        <v>2934</v>
      </c>
    </row>
    <row r="2901" spans="1:7" x14ac:dyDescent="0.25">
      <c r="A2901" s="41" t="s">
        <v>6126</v>
      </c>
      <c r="B2901" s="41" t="s">
        <v>144</v>
      </c>
      <c r="C2901" s="41" t="s">
        <v>2928</v>
      </c>
      <c r="D2901" s="41" t="s">
        <v>6124</v>
      </c>
      <c r="E2901" s="41" t="s">
        <v>2929</v>
      </c>
      <c r="F2901" s="41" t="s">
        <v>2933</v>
      </c>
      <c r="G2901" s="41" t="s">
        <v>2934</v>
      </c>
    </row>
    <row r="2902" spans="1:7" x14ac:dyDescent="0.25">
      <c r="A2902" s="41" t="s">
        <v>6127</v>
      </c>
      <c r="B2902" s="41" t="s">
        <v>144</v>
      </c>
      <c r="C2902" s="41" t="s">
        <v>2928</v>
      </c>
      <c r="D2902" s="41" t="s">
        <v>6124</v>
      </c>
      <c r="E2902" s="41" t="s">
        <v>2929</v>
      </c>
      <c r="F2902" s="41" t="s">
        <v>2933</v>
      </c>
      <c r="G2902" s="41" t="s">
        <v>2934</v>
      </c>
    </row>
    <row r="2903" spans="1:7" x14ac:dyDescent="0.25">
      <c r="A2903" s="41" t="s">
        <v>6128</v>
      </c>
      <c r="B2903" s="41" t="s">
        <v>144</v>
      </c>
      <c r="C2903" s="41" t="s">
        <v>2928</v>
      </c>
      <c r="D2903" s="41" t="s">
        <v>6124</v>
      </c>
      <c r="E2903" s="41" t="s">
        <v>2929</v>
      </c>
      <c r="F2903" s="41" t="s">
        <v>2933</v>
      </c>
      <c r="G2903" s="41" t="s">
        <v>2934</v>
      </c>
    </row>
    <row r="2904" spans="1:7" x14ac:dyDescent="0.25">
      <c r="A2904" s="41" t="s">
        <v>6129</v>
      </c>
      <c r="B2904" s="41" t="s">
        <v>144</v>
      </c>
      <c r="C2904" s="41" t="s">
        <v>2928</v>
      </c>
      <c r="D2904" s="41" t="s">
        <v>6124</v>
      </c>
      <c r="E2904" s="41" t="s">
        <v>2929</v>
      </c>
      <c r="F2904" s="41" t="s">
        <v>2933</v>
      </c>
      <c r="G2904" s="41" t="s">
        <v>2934</v>
      </c>
    </row>
    <row r="2905" spans="1:7" x14ac:dyDescent="0.25">
      <c r="A2905" s="41" t="s">
        <v>6130</v>
      </c>
      <c r="B2905" s="41" t="s">
        <v>144</v>
      </c>
      <c r="C2905" s="41" t="s">
        <v>2928</v>
      </c>
      <c r="D2905" s="41" t="s">
        <v>6124</v>
      </c>
      <c r="E2905" s="41" t="s">
        <v>2929</v>
      </c>
      <c r="F2905" s="41" t="s">
        <v>2933</v>
      </c>
      <c r="G2905" s="41" t="s">
        <v>2934</v>
      </c>
    </row>
    <row r="2906" spans="1:7" x14ac:dyDescent="0.25">
      <c r="A2906" s="41" t="s">
        <v>6131</v>
      </c>
      <c r="B2906" s="41" t="s">
        <v>144</v>
      </c>
      <c r="C2906" s="41" t="s">
        <v>2928</v>
      </c>
      <c r="D2906" s="41" t="s">
        <v>6124</v>
      </c>
      <c r="E2906" s="41" t="s">
        <v>2929</v>
      </c>
      <c r="F2906" s="41" t="s">
        <v>2933</v>
      </c>
      <c r="G2906" s="41" t="s">
        <v>2934</v>
      </c>
    </row>
    <row r="2907" spans="1:7" x14ac:dyDescent="0.25">
      <c r="A2907" s="41" t="s">
        <v>6132</v>
      </c>
      <c r="B2907" s="41" t="s">
        <v>144</v>
      </c>
      <c r="C2907" s="41" t="s">
        <v>2928</v>
      </c>
      <c r="D2907" s="41" t="s">
        <v>6124</v>
      </c>
      <c r="E2907" s="41" t="s">
        <v>2929</v>
      </c>
      <c r="F2907" s="41" t="s">
        <v>2930</v>
      </c>
      <c r="G2907" s="41" t="s">
        <v>2931</v>
      </c>
    </row>
    <row r="2908" spans="1:7" x14ac:dyDescent="0.25">
      <c r="A2908" s="41" t="s">
        <v>6133</v>
      </c>
      <c r="B2908" s="41" t="s">
        <v>144</v>
      </c>
      <c r="C2908" s="41" t="s">
        <v>2928</v>
      </c>
      <c r="D2908" s="41" t="s">
        <v>6124</v>
      </c>
      <c r="E2908" s="41" t="s">
        <v>2929</v>
      </c>
      <c r="F2908" s="41" t="s">
        <v>2930</v>
      </c>
      <c r="G2908" s="41" t="s">
        <v>2931</v>
      </c>
    </row>
    <row r="2909" spans="1:7" x14ac:dyDescent="0.25">
      <c r="A2909" s="41" t="s">
        <v>6134</v>
      </c>
      <c r="B2909" s="41" t="s">
        <v>144</v>
      </c>
      <c r="C2909" s="41" t="s">
        <v>2928</v>
      </c>
      <c r="D2909" s="41" t="s">
        <v>6124</v>
      </c>
      <c r="E2909" s="41" t="s">
        <v>2929</v>
      </c>
      <c r="F2909" s="41" t="s">
        <v>2930</v>
      </c>
      <c r="G2909" s="41" t="s">
        <v>2931</v>
      </c>
    </row>
    <row r="2910" spans="1:7" x14ac:dyDescent="0.25">
      <c r="A2910" s="41" t="s">
        <v>6135</v>
      </c>
      <c r="B2910" s="41" t="s">
        <v>144</v>
      </c>
      <c r="C2910" s="41" t="s">
        <v>2928</v>
      </c>
      <c r="D2910" s="41" t="s">
        <v>6124</v>
      </c>
      <c r="E2910" s="41" t="s">
        <v>2929</v>
      </c>
      <c r="F2910" s="41" t="s">
        <v>2930</v>
      </c>
      <c r="G2910" s="41" t="s">
        <v>2931</v>
      </c>
    </row>
    <row r="2911" spans="1:7" x14ac:dyDescent="0.25">
      <c r="A2911" s="41" t="s">
        <v>6136</v>
      </c>
      <c r="B2911" s="41" t="s">
        <v>144</v>
      </c>
      <c r="C2911" s="41" t="s">
        <v>2928</v>
      </c>
      <c r="D2911" s="41" t="s">
        <v>6124</v>
      </c>
      <c r="E2911" s="41" t="s">
        <v>2929</v>
      </c>
      <c r="F2911" s="41" t="s">
        <v>2930</v>
      </c>
      <c r="G2911" s="41" t="s">
        <v>2931</v>
      </c>
    </row>
    <row r="2912" spans="1:7" x14ac:dyDescent="0.25">
      <c r="A2912" s="41" t="s">
        <v>6137</v>
      </c>
      <c r="B2912" s="41" t="s">
        <v>144</v>
      </c>
      <c r="C2912" s="41" t="s">
        <v>2928</v>
      </c>
      <c r="D2912" s="41" t="s">
        <v>6124</v>
      </c>
      <c r="E2912" s="41" t="s">
        <v>2929</v>
      </c>
      <c r="F2912" s="41" t="s">
        <v>2930</v>
      </c>
      <c r="G2912" s="41" t="s">
        <v>2931</v>
      </c>
    </row>
    <row r="2913" spans="1:7" x14ac:dyDescent="0.25">
      <c r="A2913" s="41" t="s">
        <v>6138</v>
      </c>
      <c r="B2913" s="41" t="s">
        <v>144</v>
      </c>
      <c r="C2913" s="41" t="s">
        <v>2928</v>
      </c>
      <c r="D2913" s="41" t="s">
        <v>6124</v>
      </c>
      <c r="E2913" s="41" t="s">
        <v>2929</v>
      </c>
      <c r="F2913" s="41" t="s">
        <v>2930</v>
      </c>
      <c r="G2913" s="41" t="s">
        <v>2931</v>
      </c>
    </row>
    <row r="2914" spans="1:7" x14ac:dyDescent="0.25">
      <c r="A2914" s="41" t="s">
        <v>6139</v>
      </c>
      <c r="B2914" s="41" t="s">
        <v>144</v>
      </c>
      <c r="C2914" s="41" t="s">
        <v>2928</v>
      </c>
      <c r="D2914" s="41" t="s">
        <v>6124</v>
      </c>
      <c r="E2914" s="41" t="s">
        <v>2929</v>
      </c>
      <c r="F2914" s="41" t="s">
        <v>2949</v>
      </c>
      <c r="G2914" s="41" t="s">
        <v>2950</v>
      </c>
    </row>
    <row r="2915" spans="1:7" x14ac:dyDescent="0.25">
      <c r="A2915" s="41" t="s">
        <v>6140</v>
      </c>
      <c r="B2915" s="41" t="s">
        <v>144</v>
      </c>
      <c r="C2915" s="41" t="s">
        <v>2928</v>
      </c>
      <c r="D2915" s="41" t="s">
        <v>6124</v>
      </c>
      <c r="E2915" s="41" t="s">
        <v>2929</v>
      </c>
      <c r="F2915" s="41" t="s">
        <v>2949</v>
      </c>
      <c r="G2915" s="41" t="s">
        <v>2950</v>
      </c>
    </row>
    <row r="2916" spans="1:7" x14ac:dyDescent="0.25">
      <c r="A2916" s="41" t="s">
        <v>6141</v>
      </c>
      <c r="B2916" s="41" t="s">
        <v>144</v>
      </c>
      <c r="C2916" s="41" t="s">
        <v>2928</v>
      </c>
      <c r="D2916" s="41" t="s">
        <v>6124</v>
      </c>
      <c r="E2916" s="41" t="s">
        <v>2929</v>
      </c>
      <c r="F2916" s="41" t="s">
        <v>2949</v>
      </c>
      <c r="G2916" s="41" t="s">
        <v>2950</v>
      </c>
    </row>
    <row r="2917" spans="1:7" x14ac:dyDescent="0.25">
      <c r="A2917" s="41" t="s">
        <v>6142</v>
      </c>
      <c r="B2917" s="41" t="s">
        <v>144</v>
      </c>
      <c r="C2917" s="41" t="s">
        <v>2928</v>
      </c>
      <c r="D2917" s="41" t="s">
        <v>6124</v>
      </c>
      <c r="E2917" s="41" t="s">
        <v>2929</v>
      </c>
      <c r="F2917" s="41" t="s">
        <v>2949</v>
      </c>
      <c r="G2917" s="41" t="s">
        <v>2950</v>
      </c>
    </row>
    <row r="2918" spans="1:7" x14ac:dyDescent="0.25">
      <c r="A2918" s="41" t="s">
        <v>6143</v>
      </c>
      <c r="B2918" s="41" t="s">
        <v>144</v>
      </c>
      <c r="C2918" s="41" t="s">
        <v>2928</v>
      </c>
      <c r="D2918" s="41" t="s">
        <v>6124</v>
      </c>
      <c r="E2918" s="41" t="s">
        <v>2929</v>
      </c>
      <c r="F2918" s="41" t="s">
        <v>2949</v>
      </c>
      <c r="G2918" s="41" t="s">
        <v>2950</v>
      </c>
    </row>
    <row r="2919" spans="1:7" x14ac:dyDescent="0.25">
      <c r="A2919" s="41" t="s">
        <v>6144</v>
      </c>
      <c r="B2919" s="41" t="s">
        <v>144</v>
      </c>
      <c r="C2919" s="41" t="s">
        <v>2928</v>
      </c>
      <c r="D2919" s="41" t="s">
        <v>6124</v>
      </c>
      <c r="E2919" s="41" t="s">
        <v>2929</v>
      </c>
      <c r="F2919" s="41" t="s">
        <v>2949</v>
      </c>
      <c r="G2919" s="41" t="s">
        <v>2950</v>
      </c>
    </row>
    <row r="2920" spans="1:7" x14ac:dyDescent="0.25">
      <c r="A2920" s="41" t="s">
        <v>6145</v>
      </c>
      <c r="B2920" s="41" t="s">
        <v>144</v>
      </c>
      <c r="C2920" s="41" t="s">
        <v>2928</v>
      </c>
      <c r="D2920" s="41" t="s">
        <v>6124</v>
      </c>
      <c r="E2920" s="41" t="s">
        <v>2929</v>
      </c>
      <c r="F2920" s="41" t="s">
        <v>2949</v>
      </c>
      <c r="G2920" s="41" t="s">
        <v>2950</v>
      </c>
    </row>
    <row r="2921" spans="1:7" x14ac:dyDescent="0.25">
      <c r="A2921" s="41" t="s">
        <v>6146</v>
      </c>
      <c r="B2921" s="41" t="s">
        <v>980</v>
      </c>
      <c r="C2921" s="41" t="s">
        <v>2928</v>
      </c>
      <c r="D2921" s="41" t="s">
        <v>6146</v>
      </c>
      <c r="E2921" s="41" t="s">
        <v>2929</v>
      </c>
      <c r="F2921" s="41" t="s">
        <v>2930</v>
      </c>
      <c r="G2921" s="41" t="s">
        <v>2931</v>
      </c>
    </row>
    <row r="2922" spans="1:7" x14ac:dyDescent="0.25">
      <c r="A2922" s="41" t="s">
        <v>6147</v>
      </c>
      <c r="B2922" s="41" t="s">
        <v>980</v>
      </c>
      <c r="C2922" s="41" t="s">
        <v>2928</v>
      </c>
      <c r="D2922" s="41" t="s">
        <v>6146</v>
      </c>
      <c r="E2922" s="41" t="s">
        <v>2929</v>
      </c>
      <c r="F2922" s="41" t="s">
        <v>2933</v>
      </c>
      <c r="G2922" s="41" t="s">
        <v>2934</v>
      </c>
    </row>
    <row r="2923" spans="1:7" x14ac:dyDescent="0.25">
      <c r="A2923" s="41" t="s">
        <v>6148</v>
      </c>
      <c r="B2923" s="41" t="s">
        <v>980</v>
      </c>
      <c r="C2923" s="41" t="s">
        <v>2928</v>
      </c>
      <c r="D2923" s="41" t="s">
        <v>6146</v>
      </c>
      <c r="E2923" s="41" t="s">
        <v>2929</v>
      </c>
      <c r="F2923" s="41" t="s">
        <v>2933</v>
      </c>
      <c r="G2923" s="41" t="s">
        <v>2934</v>
      </c>
    </row>
    <row r="2924" spans="1:7" x14ac:dyDescent="0.25">
      <c r="A2924" s="41" t="s">
        <v>6149</v>
      </c>
      <c r="B2924" s="41" t="s">
        <v>980</v>
      </c>
      <c r="C2924" s="41" t="s">
        <v>2928</v>
      </c>
      <c r="D2924" s="41" t="s">
        <v>6146</v>
      </c>
      <c r="E2924" s="41" t="s">
        <v>2929</v>
      </c>
      <c r="F2924" s="41" t="s">
        <v>2930</v>
      </c>
      <c r="G2924" s="41" t="s">
        <v>2931</v>
      </c>
    </row>
    <row r="2925" spans="1:7" x14ac:dyDescent="0.25">
      <c r="A2925" s="41" t="s">
        <v>6150</v>
      </c>
      <c r="B2925" s="41" t="s">
        <v>980</v>
      </c>
      <c r="C2925" s="41" t="s">
        <v>2928</v>
      </c>
      <c r="D2925" s="41" t="s">
        <v>6146</v>
      </c>
      <c r="E2925" s="41" t="s">
        <v>2929</v>
      </c>
      <c r="F2925" s="41" t="s">
        <v>2949</v>
      </c>
      <c r="G2925" s="41" t="s">
        <v>2950</v>
      </c>
    </row>
    <row r="2926" spans="1:7" x14ac:dyDescent="0.25">
      <c r="A2926" s="41" t="s">
        <v>6151</v>
      </c>
      <c r="B2926" s="41" t="s">
        <v>980</v>
      </c>
      <c r="C2926" s="41" t="s">
        <v>2928</v>
      </c>
      <c r="D2926" s="41" t="s">
        <v>6146</v>
      </c>
      <c r="E2926" s="41" t="s">
        <v>2929</v>
      </c>
      <c r="F2926" s="41" t="s">
        <v>2949</v>
      </c>
      <c r="G2926" s="41" t="s">
        <v>2950</v>
      </c>
    </row>
    <row r="2927" spans="1:7" x14ac:dyDescent="0.25">
      <c r="A2927" s="41" t="s">
        <v>6152</v>
      </c>
      <c r="B2927" s="41" t="s">
        <v>719</v>
      </c>
      <c r="C2927" s="41" t="s">
        <v>2928</v>
      </c>
      <c r="D2927" s="41" t="s">
        <v>6152</v>
      </c>
      <c r="E2927" s="41" t="s">
        <v>2929</v>
      </c>
      <c r="F2927" s="41" t="s">
        <v>2930</v>
      </c>
      <c r="G2927" s="41" t="s">
        <v>2931</v>
      </c>
    </row>
    <row r="2928" spans="1:7" x14ac:dyDescent="0.25">
      <c r="A2928" s="41" t="s">
        <v>6153</v>
      </c>
      <c r="B2928" s="41" t="s">
        <v>719</v>
      </c>
      <c r="C2928" s="41" t="s">
        <v>2928</v>
      </c>
      <c r="D2928" s="41" t="s">
        <v>6152</v>
      </c>
      <c r="E2928" s="41" t="s">
        <v>2929</v>
      </c>
      <c r="F2928" s="41" t="s">
        <v>2933</v>
      </c>
      <c r="G2928" s="41" t="s">
        <v>2934</v>
      </c>
    </row>
    <row r="2929" spans="1:7" x14ac:dyDescent="0.25">
      <c r="A2929" s="41" t="s">
        <v>6154</v>
      </c>
      <c r="B2929" s="41" t="s">
        <v>719</v>
      </c>
      <c r="C2929" s="41" t="s">
        <v>2928</v>
      </c>
      <c r="D2929" s="41" t="s">
        <v>6152</v>
      </c>
      <c r="E2929" s="41" t="s">
        <v>2929</v>
      </c>
      <c r="F2929" s="41" t="s">
        <v>2933</v>
      </c>
      <c r="G2929" s="41" t="s">
        <v>2934</v>
      </c>
    </row>
    <row r="2930" spans="1:7" x14ac:dyDescent="0.25">
      <c r="A2930" s="41" t="s">
        <v>6155</v>
      </c>
      <c r="B2930" s="41" t="s">
        <v>719</v>
      </c>
      <c r="C2930" s="41" t="s">
        <v>2928</v>
      </c>
      <c r="D2930" s="41" t="s">
        <v>6152</v>
      </c>
      <c r="E2930" s="41" t="s">
        <v>2929</v>
      </c>
      <c r="F2930" s="41" t="s">
        <v>2930</v>
      </c>
      <c r="G2930" s="41" t="s">
        <v>2931</v>
      </c>
    </row>
    <row r="2931" spans="1:7" x14ac:dyDescent="0.25">
      <c r="A2931" s="41" t="s">
        <v>6156</v>
      </c>
      <c r="B2931" s="41" t="s">
        <v>719</v>
      </c>
      <c r="C2931" s="41" t="s">
        <v>2928</v>
      </c>
      <c r="D2931" s="41" t="s">
        <v>6152</v>
      </c>
      <c r="E2931" s="41" t="s">
        <v>2929</v>
      </c>
      <c r="F2931" s="41" t="s">
        <v>2949</v>
      </c>
      <c r="G2931" s="41" t="s">
        <v>2950</v>
      </c>
    </row>
    <row r="2932" spans="1:7" x14ac:dyDescent="0.25">
      <c r="A2932" s="41" t="s">
        <v>6157</v>
      </c>
      <c r="B2932" s="41" t="s">
        <v>719</v>
      </c>
      <c r="C2932" s="41" t="s">
        <v>2928</v>
      </c>
      <c r="D2932" s="41" t="s">
        <v>6152</v>
      </c>
      <c r="E2932" s="41" t="s">
        <v>2929</v>
      </c>
      <c r="F2932" s="41" t="s">
        <v>2949</v>
      </c>
      <c r="G2932" s="41" t="s">
        <v>2950</v>
      </c>
    </row>
    <row r="2933" spans="1:7" x14ac:dyDescent="0.25">
      <c r="A2933" s="41" t="s">
        <v>6158</v>
      </c>
      <c r="B2933" s="41" t="s">
        <v>719</v>
      </c>
      <c r="C2933" s="41" t="s">
        <v>2928</v>
      </c>
      <c r="D2933" s="41" t="s">
        <v>6152</v>
      </c>
      <c r="E2933" s="41" t="s">
        <v>2929</v>
      </c>
      <c r="F2933" s="41" t="s">
        <v>2949</v>
      </c>
      <c r="G2933" s="41" t="s">
        <v>2950</v>
      </c>
    </row>
    <row r="2934" spans="1:7" x14ac:dyDescent="0.25">
      <c r="A2934" s="41" t="s">
        <v>6159</v>
      </c>
      <c r="B2934" s="41" t="s">
        <v>6160</v>
      </c>
      <c r="C2934" s="41" t="s">
        <v>2928</v>
      </c>
      <c r="D2934" s="41" t="s">
        <v>6159</v>
      </c>
      <c r="E2934" s="41" t="s">
        <v>6161</v>
      </c>
      <c r="F2934" s="41" t="s">
        <v>2930</v>
      </c>
      <c r="G2934" s="41" t="s">
        <v>2931</v>
      </c>
    </row>
    <row r="2935" spans="1:7" x14ac:dyDescent="0.25">
      <c r="A2935" s="41" t="s">
        <v>6162</v>
      </c>
      <c r="B2935" s="41" t="s">
        <v>6160</v>
      </c>
      <c r="C2935" s="41" t="s">
        <v>2928</v>
      </c>
      <c r="D2935" s="41" t="s">
        <v>6159</v>
      </c>
      <c r="E2935" s="41" t="s">
        <v>3756</v>
      </c>
      <c r="F2935" s="41" t="s">
        <v>2933</v>
      </c>
      <c r="G2935" s="41" t="s">
        <v>2934</v>
      </c>
    </row>
    <row r="2936" spans="1:7" x14ac:dyDescent="0.25">
      <c r="A2936" s="41" t="s">
        <v>6163</v>
      </c>
      <c r="B2936" s="41" t="s">
        <v>6160</v>
      </c>
      <c r="C2936" s="41" t="s">
        <v>2928</v>
      </c>
      <c r="D2936" s="41" t="s">
        <v>6159</v>
      </c>
      <c r="E2936" s="41" t="s">
        <v>2929</v>
      </c>
      <c r="F2936" s="41" t="s">
        <v>2930</v>
      </c>
      <c r="G2936" s="41" t="s">
        <v>2931</v>
      </c>
    </row>
    <row r="2937" spans="1:7" x14ac:dyDescent="0.25">
      <c r="A2937" s="41" t="s">
        <v>6164</v>
      </c>
      <c r="B2937" s="41" t="s">
        <v>6160</v>
      </c>
      <c r="C2937" s="41" t="s">
        <v>2928</v>
      </c>
      <c r="D2937" s="41" t="s">
        <v>6159</v>
      </c>
      <c r="E2937" s="41" t="s">
        <v>2929</v>
      </c>
      <c r="F2937" s="41" t="s">
        <v>2949</v>
      </c>
      <c r="G2937" s="41" t="s">
        <v>2950</v>
      </c>
    </row>
    <row r="2938" spans="1:7" x14ac:dyDescent="0.25">
      <c r="A2938" s="41" t="s">
        <v>6165</v>
      </c>
      <c r="B2938" s="41" t="s">
        <v>6160</v>
      </c>
      <c r="C2938" s="41" t="s">
        <v>2928</v>
      </c>
      <c r="D2938" s="41" t="s">
        <v>6159</v>
      </c>
      <c r="E2938" s="41" t="s">
        <v>2929</v>
      </c>
      <c r="F2938" s="41" t="s">
        <v>2949</v>
      </c>
      <c r="G2938" s="41" t="s">
        <v>2950</v>
      </c>
    </row>
    <row r="2939" spans="1:7" x14ac:dyDescent="0.25">
      <c r="A2939" s="41" t="s">
        <v>6166</v>
      </c>
      <c r="B2939" s="41" t="s">
        <v>6167</v>
      </c>
      <c r="C2939" s="41" t="s">
        <v>2928</v>
      </c>
      <c r="D2939" s="41" t="s">
        <v>6166</v>
      </c>
      <c r="E2939" s="41" t="s">
        <v>2929</v>
      </c>
      <c r="F2939" s="41" t="s">
        <v>2930</v>
      </c>
      <c r="G2939" s="41" t="s">
        <v>2931</v>
      </c>
    </row>
    <row r="2940" spans="1:7" x14ac:dyDescent="0.25">
      <c r="A2940" s="41" t="s">
        <v>6168</v>
      </c>
      <c r="B2940" s="41" t="s">
        <v>6167</v>
      </c>
      <c r="C2940" s="41" t="s">
        <v>2928</v>
      </c>
      <c r="D2940" s="41" t="s">
        <v>6166</v>
      </c>
      <c r="E2940" s="41" t="s">
        <v>2929</v>
      </c>
      <c r="F2940" s="41" t="s">
        <v>2933</v>
      </c>
      <c r="G2940" s="41" t="s">
        <v>2934</v>
      </c>
    </row>
    <row r="2941" spans="1:7" x14ac:dyDescent="0.25">
      <c r="A2941" s="41" t="s">
        <v>6169</v>
      </c>
      <c r="B2941" s="41" t="s">
        <v>6167</v>
      </c>
      <c r="C2941" s="41" t="s">
        <v>2928</v>
      </c>
      <c r="D2941" s="41" t="s">
        <v>6166</v>
      </c>
      <c r="E2941" s="41" t="s">
        <v>2929</v>
      </c>
      <c r="F2941" s="41" t="s">
        <v>2933</v>
      </c>
      <c r="G2941" s="41" t="s">
        <v>2934</v>
      </c>
    </row>
    <row r="2942" spans="1:7" x14ac:dyDescent="0.25">
      <c r="A2942" s="41" t="s">
        <v>6170</v>
      </c>
      <c r="B2942" s="41" t="s">
        <v>6167</v>
      </c>
      <c r="C2942" s="41" t="s">
        <v>2928</v>
      </c>
      <c r="D2942" s="41" t="s">
        <v>6166</v>
      </c>
      <c r="E2942" s="41" t="s">
        <v>2929</v>
      </c>
      <c r="F2942" s="41" t="s">
        <v>2930</v>
      </c>
      <c r="G2942" s="41" t="s">
        <v>2931</v>
      </c>
    </row>
    <row r="2943" spans="1:7" x14ac:dyDescent="0.25">
      <c r="A2943" s="41" t="s">
        <v>6171</v>
      </c>
      <c r="B2943" s="41" t="s">
        <v>6167</v>
      </c>
      <c r="C2943" s="41" t="s">
        <v>2928</v>
      </c>
      <c r="D2943" s="41" t="s">
        <v>6166</v>
      </c>
      <c r="E2943" s="41" t="s">
        <v>2929</v>
      </c>
      <c r="F2943" s="41" t="s">
        <v>2949</v>
      </c>
      <c r="G2943" s="41" t="s">
        <v>2950</v>
      </c>
    </row>
    <row r="2944" spans="1:7" x14ac:dyDescent="0.25">
      <c r="A2944" s="41" t="s">
        <v>6172</v>
      </c>
      <c r="B2944" s="41" t="s">
        <v>6167</v>
      </c>
      <c r="C2944" s="41" t="s">
        <v>2928</v>
      </c>
      <c r="D2944" s="41" t="s">
        <v>6166</v>
      </c>
      <c r="E2944" s="41" t="s">
        <v>2929</v>
      </c>
      <c r="F2944" s="41" t="s">
        <v>2949</v>
      </c>
      <c r="G2944" s="41" t="s">
        <v>2950</v>
      </c>
    </row>
    <row r="2945" spans="1:7" x14ac:dyDescent="0.25">
      <c r="A2945" s="41" t="s">
        <v>6173</v>
      </c>
      <c r="B2945" s="41" t="s">
        <v>6160</v>
      </c>
      <c r="C2945" s="41" t="s">
        <v>2928</v>
      </c>
      <c r="D2945" s="41" t="s">
        <v>6173</v>
      </c>
      <c r="E2945" s="41" t="s">
        <v>2929</v>
      </c>
      <c r="F2945" s="41" t="s">
        <v>2930</v>
      </c>
      <c r="G2945" s="41" t="s">
        <v>2931</v>
      </c>
    </row>
    <row r="2946" spans="1:7" x14ac:dyDescent="0.25">
      <c r="A2946" s="41" t="s">
        <v>6174</v>
      </c>
      <c r="B2946" s="41" t="s">
        <v>6160</v>
      </c>
      <c r="C2946" s="41" t="s">
        <v>2928</v>
      </c>
      <c r="D2946" s="41" t="s">
        <v>6173</v>
      </c>
      <c r="E2946" s="41" t="s">
        <v>2929</v>
      </c>
      <c r="F2946" s="41" t="s">
        <v>2933</v>
      </c>
      <c r="G2946" s="41" t="s">
        <v>2934</v>
      </c>
    </row>
    <row r="2947" spans="1:7" x14ac:dyDescent="0.25">
      <c r="A2947" s="41" t="s">
        <v>6175</v>
      </c>
      <c r="B2947" s="41" t="s">
        <v>6160</v>
      </c>
      <c r="C2947" s="41" t="s">
        <v>2928</v>
      </c>
      <c r="D2947" s="41" t="s">
        <v>6173</v>
      </c>
      <c r="E2947" s="41" t="s">
        <v>2929</v>
      </c>
      <c r="F2947" s="41" t="s">
        <v>2930</v>
      </c>
      <c r="G2947" s="41" t="s">
        <v>2931</v>
      </c>
    </row>
    <row r="2948" spans="1:7" x14ac:dyDescent="0.25">
      <c r="A2948" s="41" t="s">
        <v>6176</v>
      </c>
      <c r="B2948" s="41" t="s">
        <v>6160</v>
      </c>
      <c r="C2948" s="41" t="s">
        <v>2928</v>
      </c>
      <c r="D2948" s="41" t="s">
        <v>6173</v>
      </c>
      <c r="E2948" s="41" t="s">
        <v>2929</v>
      </c>
      <c r="F2948" s="41" t="s">
        <v>2949</v>
      </c>
      <c r="G2948" s="41" t="s">
        <v>2950</v>
      </c>
    </row>
    <row r="2949" spans="1:7" x14ac:dyDescent="0.25">
      <c r="A2949" s="41" t="s">
        <v>6177</v>
      </c>
      <c r="B2949" s="41" t="s">
        <v>6160</v>
      </c>
      <c r="C2949" s="41" t="s">
        <v>2928</v>
      </c>
      <c r="D2949" s="41" t="s">
        <v>6173</v>
      </c>
      <c r="E2949" s="41" t="s">
        <v>2929</v>
      </c>
      <c r="F2949" s="41" t="s">
        <v>2949</v>
      </c>
      <c r="G2949" s="41" t="s">
        <v>2950</v>
      </c>
    </row>
    <row r="2950" spans="1:7" x14ac:dyDescent="0.25">
      <c r="A2950" s="41" t="s">
        <v>6178</v>
      </c>
      <c r="B2950" s="41" t="s">
        <v>6179</v>
      </c>
      <c r="C2950" s="41" t="s">
        <v>2928</v>
      </c>
      <c r="D2950" s="41" t="s">
        <v>6178</v>
      </c>
      <c r="E2950" s="41" t="s">
        <v>2929</v>
      </c>
      <c r="F2950" s="41" t="s">
        <v>2930</v>
      </c>
      <c r="G2950" s="41" t="s">
        <v>2931</v>
      </c>
    </row>
    <row r="2951" spans="1:7" x14ac:dyDescent="0.25">
      <c r="A2951" s="41" t="s">
        <v>6180</v>
      </c>
      <c r="B2951" s="41" t="s">
        <v>6179</v>
      </c>
      <c r="C2951" s="41" t="s">
        <v>2928</v>
      </c>
      <c r="D2951" s="41" t="s">
        <v>6178</v>
      </c>
      <c r="E2951" s="41" t="s">
        <v>2929</v>
      </c>
      <c r="F2951" s="41" t="s">
        <v>2933</v>
      </c>
      <c r="G2951" s="41" t="s">
        <v>2934</v>
      </c>
    </row>
    <row r="2952" spans="1:7" x14ac:dyDescent="0.25">
      <c r="A2952" s="41" t="s">
        <v>6181</v>
      </c>
      <c r="B2952" s="41" t="s">
        <v>233</v>
      </c>
      <c r="C2952" s="41" t="s">
        <v>2928</v>
      </c>
      <c r="D2952" s="41" t="s">
        <v>6181</v>
      </c>
      <c r="E2952" s="41" t="s">
        <v>2929</v>
      </c>
      <c r="F2952" s="41" t="s">
        <v>2930</v>
      </c>
      <c r="G2952" s="41" t="s">
        <v>2931</v>
      </c>
    </row>
    <row r="2953" spans="1:7" x14ac:dyDescent="0.25">
      <c r="A2953" s="41" t="s">
        <v>6182</v>
      </c>
      <c r="B2953" s="41" t="s">
        <v>233</v>
      </c>
      <c r="C2953" s="41" t="s">
        <v>2928</v>
      </c>
      <c r="D2953" s="41" t="s">
        <v>6181</v>
      </c>
      <c r="E2953" s="41" t="s">
        <v>2929</v>
      </c>
      <c r="F2953" s="41" t="s">
        <v>2933</v>
      </c>
      <c r="G2953" s="41" t="s">
        <v>2934</v>
      </c>
    </row>
    <row r="2954" spans="1:7" x14ac:dyDescent="0.25">
      <c r="A2954" s="41" t="s">
        <v>6183</v>
      </c>
      <c r="B2954" s="41" t="s">
        <v>233</v>
      </c>
      <c r="C2954" s="41" t="s">
        <v>2928</v>
      </c>
      <c r="D2954" s="41" t="s">
        <v>6181</v>
      </c>
      <c r="E2954" s="41" t="s">
        <v>2929</v>
      </c>
      <c r="F2954" s="41" t="s">
        <v>2933</v>
      </c>
      <c r="G2954" s="41" t="s">
        <v>2934</v>
      </c>
    </row>
    <row r="2955" spans="1:7" x14ac:dyDescent="0.25">
      <c r="A2955" s="41" t="s">
        <v>6184</v>
      </c>
      <c r="B2955" s="41" t="s">
        <v>233</v>
      </c>
      <c r="C2955" s="41" t="s">
        <v>2928</v>
      </c>
      <c r="D2955" s="41" t="s">
        <v>6181</v>
      </c>
      <c r="E2955" s="41" t="s">
        <v>2929</v>
      </c>
      <c r="F2955" s="41" t="s">
        <v>2933</v>
      </c>
      <c r="G2955" s="41" t="s">
        <v>2934</v>
      </c>
    </row>
    <row r="2956" spans="1:7" x14ac:dyDescent="0.25">
      <c r="A2956" s="41" t="s">
        <v>6185</v>
      </c>
      <c r="B2956" s="41" t="s">
        <v>233</v>
      </c>
      <c r="C2956" s="41" t="s">
        <v>2928</v>
      </c>
      <c r="D2956" s="41" t="s">
        <v>6181</v>
      </c>
      <c r="E2956" s="41" t="s">
        <v>2929</v>
      </c>
      <c r="F2956" s="41" t="s">
        <v>2933</v>
      </c>
      <c r="G2956" s="41" t="s">
        <v>2934</v>
      </c>
    </row>
    <row r="2957" spans="1:7" x14ac:dyDescent="0.25">
      <c r="A2957" s="41" t="s">
        <v>6186</v>
      </c>
      <c r="B2957" s="41" t="s">
        <v>233</v>
      </c>
      <c r="C2957" s="41" t="s">
        <v>2928</v>
      </c>
      <c r="D2957" s="41" t="s">
        <v>6181</v>
      </c>
      <c r="E2957" s="41" t="s">
        <v>2929</v>
      </c>
      <c r="F2957" s="41" t="s">
        <v>2933</v>
      </c>
      <c r="G2957" s="41" t="s">
        <v>2934</v>
      </c>
    </row>
    <row r="2958" spans="1:7" x14ac:dyDescent="0.25">
      <c r="A2958" s="41" t="s">
        <v>6187</v>
      </c>
      <c r="B2958" s="41" t="s">
        <v>233</v>
      </c>
      <c r="C2958" s="41" t="s">
        <v>2928</v>
      </c>
      <c r="D2958" s="41" t="s">
        <v>6181</v>
      </c>
      <c r="E2958" s="41" t="s">
        <v>2929</v>
      </c>
      <c r="F2958" s="41" t="s">
        <v>2933</v>
      </c>
      <c r="G2958" s="41" t="s">
        <v>2934</v>
      </c>
    </row>
    <row r="2959" spans="1:7" x14ac:dyDescent="0.25">
      <c r="A2959" s="41" t="s">
        <v>6188</v>
      </c>
      <c r="B2959" s="41" t="s">
        <v>233</v>
      </c>
      <c r="C2959" s="41" t="s">
        <v>2928</v>
      </c>
      <c r="D2959" s="41" t="s">
        <v>6181</v>
      </c>
      <c r="E2959" s="41" t="s">
        <v>2929</v>
      </c>
      <c r="F2959" s="41" t="s">
        <v>2933</v>
      </c>
      <c r="G2959" s="41" t="s">
        <v>2934</v>
      </c>
    </row>
    <row r="2960" spans="1:7" x14ac:dyDescent="0.25">
      <c r="A2960" s="41" t="s">
        <v>6189</v>
      </c>
      <c r="B2960" s="41" t="s">
        <v>233</v>
      </c>
      <c r="C2960" s="41" t="s">
        <v>2928</v>
      </c>
      <c r="D2960" s="41" t="s">
        <v>6181</v>
      </c>
      <c r="E2960" s="41" t="s">
        <v>2929</v>
      </c>
      <c r="F2960" s="41" t="s">
        <v>2930</v>
      </c>
      <c r="G2960" s="41" t="s">
        <v>2931</v>
      </c>
    </row>
    <row r="2961" spans="1:7" x14ac:dyDescent="0.25">
      <c r="A2961" s="41" t="s">
        <v>6190</v>
      </c>
      <c r="B2961" s="41" t="s">
        <v>233</v>
      </c>
      <c r="C2961" s="41" t="s">
        <v>2928</v>
      </c>
      <c r="D2961" s="41" t="s">
        <v>6181</v>
      </c>
      <c r="E2961" s="41" t="s">
        <v>2929</v>
      </c>
      <c r="F2961" s="41" t="s">
        <v>2930</v>
      </c>
      <c r="G2961" s="41" t="s">
        <v>2931</v>
      </c>
    </row>
    <row r="2962" spans="1:7" x14ac:dyDescent="0.25">
      <c r="A2962" s="41" t="s">
        <v>6191</v>
      </c>
      <c r="B2962" s="41" t="s">
        <v>233</v>
      </c>
      <c r="C2962" s="41" t="s">
        <v>2928</v>
      </c>
      <c r="D2962" s="41" t="s">
        <v>6181</v>
      </c>
      <c r="E2962" s="41" t="s">
        <v>2929</v>
      </c>
      <c r="F2962" s="41" t="s">
        <v>2930</v>
      </c>
      <c r="G2962" s="41" t="s">
        <v>2931</v>
      </c>
    </row>
    <row r="2963" spans="1:7" x14ac:dyDescent="0.25">
      <c r="A2963" s="41" t="s">
        <v>6192</v>
      </c>
      <c r="B2963" s="41" t="s">
        <v>233</v>
      </c>
      <c r="C2963" s="41" t="s">
        <v>2928</v>
      </c>
      <c r="D2963" s="41" t="s">
        <v>6181</v>
      </c>
      <c r="E2963" s="41" t="s">
        <v>2929</v>
      </c>
      <c r="F2963" s="41" t="s">
        <v>2930</v>
      </c>
      <c r="G2963" s="41" t="s">
        <v>2931</v>
      </c>
    </row>
    <row r="2964" spans="1:7" x14ac:dyDescent="0.25">
      <c r="A2964" s="41" t="s">
        <v>6193</v>
      </c>
      <c r="B2964" s="41" t="s">
        <v>233</v>
      </c>
      <c r="C2964" s="41" t="s">
        <v>2928</v>
      </c>
      <c r="D2964" s="41" t="s">
        <v>6181</v>
      </c>
      <c r="E2964" s="41" t="s">
        <v>2929</v>
      </c>
      <c r="F2964" s="41" t="s">
        <v>2930</v>
      </c>
      <c r="G2964" s="41" t="s">
        <v>2931</v>
      </c>
    </row>
    <row r="2965" spans="1:7" x14ac:dyDescent="0.25">
      <c r="A2965" s="41" t="s">
        <v>6194</v>
      </c>
      <c r="B2965" s="41" t="s">
        <v>233</v>
      </c>
      <c r="C2965" s="41" t="s">
        <v>2928</v>
      </c>
      <c r="D2965" s="41" t="s">
        <v>6181</v>
      </c>
      <c r="E2965" s="41" t="s">
        <v>2929</v>
      </c>
      <c r="F2965" s="41" t="s">
        <v>2930</v>
      </c>
      <c r="G2965" s="41" t="s">
        <v>2931</v>
      </c>
    </row>
    <row r="2966" spans="1:7" x14ac:dyDescent="0.25">
      <c r="A2966" s="41" t="s">
        <v>6195</v>
      </c>
      <c r="B2966" s="41" t="s">
        <v>233</v>
      </c>
      <c r="C2966" s="41" t="s">
        <v>2928</v>
      </c>
      <c r="D2966" s="41" t="s">
        <v>6181</v>
      </c>
      <c r="E2966" s="41" t="s">
        <v>2929</v>
      </c>
      <c r="F2966" s="41" t="s">
        <v>2930</v>
      </c>
      <c r="G2966" s="41" t="s">
        <v>2931</v>
      </c>
    </row>
    <row r="2967" spans="1:7" x14ac:dyDescent="0.25">
      <c r="A2967" s="41" t="s">
        <v>6196</v>
      </c>
      <c r="B2967" s="41" t="s">
        <v>233</v>
      </c>
      <c r="C2967" s="41" t="s">
        <v>2928</v>
      </c>
      <c r="D2967" s="41" t="s">
        <v>6181</v>
      </c>
      <c r="E2967" s="41" t="s">
        <v>2929</v>
      </c>
      <c r="F2967" s="41" t="s">
        <v>2949</v>
      </c>
      <c r="G2967" s="41" t="s">
        <v>2950</v>
      </c>
    </row>
    <row r="2968" spans="1:7" x14ac:dyDescent="0.25">
      <c r="A2968" s="41" t="s">
        <v>6197</v>
      </c>
      <c r="B2968" s="41" t="s">
        <v>233</v>
      </c>
      <c r="C2968" s="41" t="s">
        <v>2928</v>
      </c>
      <c r="D2968" s="41" t="s">
        <v>6181</v>
      </c>
      <c r="E2968" s="41" t="s">
        <v>2929</v>
      </c>
      <c r="F2968" s="41" t="s">
        <v>2949</v>
      </c>
      <c r="G2968" s="41" t="s">
        <v>2950</v>
      </c>
    </row>
    <row r="2969" spans="1:7" x14ac:dyDescent="0.25">
      <c r="A2969" s="41" t="s">
        <v>6198</v>
      </c>
      <c r="B2969" s="41" t="s">
        <v>233</v>
      </c>
      <c r="C2969" s="41" t="s">
        <v>2928</v>
      </c>
      <c r="D2969" s="41" t="s">
        <v>6181</v>
      </c>
      <c r="E2969" s="41" t="s">
        <v>2929</v>
      </c>
      <c r="F2969" s="41" t="s">
        <v>2949</v>
      </c>
      <c r="G2969" s="41" t="s">
        <v>2950</v>
      </c>
    </row>
    <row r="2970" spans="1:7" x14ac:dyDescent="0.25">
      <c r="A2970" s="41" t="s">
        <v>6199</v>
      </c>
      <c r="B2970" s="41" t="s">
        <v>233</v>
      </c>
      <c r="C2970" s="41" t="s">
        <v>2928</v>
      </c>
      <c r="D2970" s="41" t="s">
        <v>6181</v>
      </c>
      <c r="E2970" s="41" t="s">
        <v>2929</v>
      </c>
      <c r="F2970" s="41" t="s">
        <v>2949</v>
      </c>
      <c r="G2970" s="41" t="s">
        <v>2950</v>
      </c>
    </row>
    <row r="2971" spans="1:7" x14ac:dyDescent="0.25">
      <c r="A2971" s="41" t="s">
        <v>6200</v>
      </c>
      <c r="B2971" s="41" t="s">
        <v>233</v>
      </c>
      <c r="C2971" s="41" t="s">
        <v>2928</v>
      </c>
      <c r="D2971" s="41" t="s">
        <v>6181</v>
      </c>
      <c r="E2971" s="41" t="s">
        <v>2929</v>
      </c>
      <c r="F2971" s="41" t="s">
        <v>2949</v>
      </c>
      <c r="G2971" s="41" t="s">
        <v>2950</v>
      </c>
    </row>
    <row r="2972" spans="1:7" x14ac:dyDescent="0.25">
      <c r="A2972" s="41" t="s">
        <v>6201</v>
      </c>
      <c r="B2972" s="41" t="s">
        <v>233</v>
      </c>
      <c r="C2972" s="41" t="s">
        <v>2928</v>
      </c>
      <c r="D2972" s="41" t="s">
        <v>6181</v>
      </c>
      <c r="E2972" s="41" t="s">
        <v>2929</v>
      </c>
      <c r="F2972" s="41" t="s">
        <v>2949</v>
      </c>
      <c r="G2972" s="41" t="s">
        <v>2950</v>
      </c>
    </row>
    <row r="2973" spans="1:7" x14ac:dyDescent="0.25">
      <c r="A2973" s="41" t="s">
        <v>6202</v>
      </c>
      <c r="B2973" s="41" t="s">
        <v>233</v>
      </c>
      <c r="C2973" s="41" t="s">
        <v>2928</v>
      </c>
      <c r="D2973" s="41" t="s">
        <v>6181</v>
      </c>
      <c r="E2973" s="41" t="s">
        <v>2929</v>
      </c>
      <c r="F2973" s="41" t="s">
        <v>2949</v>
      </c>
      <c r="G2973" s="41" t="s">
        <v>2950</v>
      </c>
    </row>
    <row r="2974" spans="1:7" x14ac:dyDescent="0.25">
      <c r="A2974" s="41" t="s">
        <v>6203</v>
      </c>
      <c r="B2974" s="41" t="s">
        <v>6204</v>
      </c>
      <c r="C2974" s="41" t="s">
        <v>2928</v>
      </c>
      <c r="D2974" s="41" t="s">
        <v>6203</v>
      </c>
      <c r="E2974" s="41" t="s">
        <v>2929</v>
      </c>
      <c r="F2974" s="41" t="s">
        <v>2930</v>
      </c>
      <c r="G2974" s="41" t="s">
        <v>2931</v>
      </c>
    </row>
    <row r="2975" spans="1:7" x14ac:dyDescent="0.25">
      <c r="A2975" s="41" t="s">
        <v>6205</v>
      </c>
      <c r="B2975" s="41" t="s">
        <v>6204</v>
      </c>
      <c r="C2975" s="41" t="s">
        <v>2928</v>
      </c>
      <c r="D2975" s="41" t="s">
        <v>6203</v>
      </c>
      <c r="E2975" s="41" t="s">
        <v>2929</v>
      </c>
      <c r="F2975" s="41" t="s">
        <v>2933</v>
      </c>
      <c r="G2975" s="41" t="s">
        <v>2934</v>
      </c>
    </row>
    <row r="2976" spans="1:7" x14ac:dyDescent="0.25">
      <c r="A2976" s="41" t="s">
        <v>6206</v>
      </c>
      <c r="B2976" s="41" t="s">
        <v>6204</v>
      </c>
      <c r="C2976" s="41" t="s">
        <v>2928</v>
      </c>
      <c r="D2976" s="41" t="s">
        <v>6203</v>
      </c>
      <c r="E2976" s="41" t="s">
        <v>2929</v>
      </c>
      <c r="F2976" s="41" t="s">
        <v>2933</v>
      </c>
      <c r="G2976" s="41" t="s">
        <v>2934</v>
      </c>
    </row>
    <row r="2977" spans="1:7" x14ac:dyDescent="0.25">
      <c r="A2977" s="41" t="s">
        <v>6207</v>
      </c>
      <c r="B2977" s="41" t="s">
        <v>6204</v>
      </c>
      <c r="C2977" s="41" t="s">
        <v>2928</v>
      </c>
      <c r="D2977" s="41" t="s">
        <v>6203</v>
      </c>
      <c r="E2977" s="41" t="s">
        <v>2929</v>
      </c>
      <c r="F2977" s="41" t="s">
        <v>2933</v>
      </c>
      <c r="G2977" s="41" t="s">
        <v>2934</v>
      </c>
    </row>
    <row r="2978" spans="1:7" x14ac:dyDescent="0.25">
      <c r="A2978" s="41" t="s">
        <v>6208</v>
      </c>
      <c r="B2978" s="41" t="s">
        <v>6204</v>
      </c>
      <c r="C2978" s="41" t="s">
        <v>2928</v>
      </c>
      <c r="D2978" s="41" t="s">
        <v>6203</v>
      </c>
      <c r="E2978" s="41" t="s">
        <v>2929</v>
      </c>
      <c r="F2978" s="41" t="s">
        <v>2933</v>
      </c>
      <c r="G2978" s="41" t="s">
        <v>2934</v>
      </c>
    </row>
    <row r="2979" spans="1:7" x14ac:dyDescent="0.25">
      <c r="A2979" s="41" t="s">
        <v>6209</v>
      </c>
      <c r="B2979" s="41" t="s">
        <v>6204</v>
      </c>
      <c r="C2979" s="41" t="s">
        <v>2928</v>
      </c>
      <c r="D2979" s="41" t="s">
        <v>6203</v>
      </c>
      <c r="E2979" s="41" t="s">
        <v>2929</v>
      </c>
      <c r="F2979" s="41" t="s">
        <v>2933</v>
      </c>
      <c r="G2979" s="41" t="s">
        <v>2934</v>
      </c>
    </row>
    <row r="2980" spans="1:7" x14ac:dyDescent="0.25">
      <c r="A2980" s="41" t="s">
        <v>6210</v>
      </c>
      <c r="B2980" s="41" t="s">
        <v>6204</v>
      </c>
      <c r="C2980" s="41" t="s">
        <v>2928</v>
      </c>
      <c r="D2980" s="41" t="s">
        <v>6203</v>
      </c>
      <c r="E2980" s="41" t="s">
        <v>2929</v>
      </c>
      <c r="F2980" s="41" t="s">
        <v>2933</v>
      </c>
      <c r="G2980" s="41" t="s">
        <v>2934</v>
      </c>
    </row>
    <row r="2981" spans="1:7" x14ac:dyDescent="0.25">
      <c r="A2981" s="41" t="s">
        <v>6211</v>
      </c>
      <c r="B2981" s="41" t="s">
        <v>6204</v>
      </c>
      <c r="C2981" s="41" t="s">
        <v>2928</v>
      </c>
      <c r="D2981" s="41" t="s">
        <v>6203</v>
      </c>
      <c r="E2981" s="41" t="s">
        <v>2929</v>
      </c>
      <c r="F2981" s="41" t="s">
        <v>2933</v>
      </c>
      <c r="G2981" s="41" t="s">
        <v>2934</v>
      </c>
    </row>
    <row r="2982" spans="1:7" x14ac:dyDescent="0.25">
      <c r="A2982" s="41" t="s">
        <v>6212</v>
      </c>
      <c r="B2982" s="41" t="s">
        <v>6204</v>
      </c>
      <c r="C2982" s="41" t="s">
        <v>2928</v>
      </c>
      <c r="D2982" s="41" t="s">
        <v>6203</v>
      </c>
      <c r="E2982" s="41" t="s">
        <v>2929</v>
      </c>
      <c r="F2982" s="41" t="s">
        <v>2930</v>
      </c>
      <c r="G2982" s="41" t="s">
        <v>2931</v>
      </c>
    </row>
    <row r="2983" spans="1:7" x14ac:dyDescent="0.25">
      <c r="A2983" s="41" t="s">
        <v>6213</v>
      </c>
      <c r="B2983" s="41" t="s">
        <v>6204</v>
      </c>
      <c r="C2983" s="41" t="s">
        <v>2928</v>
      </c>
      <c r="D2983" s="41" t="s">
        <v>6203</v>
      </c>
      <c r="E2983" s="41" t="s">
        <v>2929</v>
      </c>
      <c r="F2983" s="41" t="s">
        <v>2930</v>
      </c>
      <c r="G2983" s="41" t="s">
        <v>2931</v>
      </c>
    </row>
    <row r="2984" spans="1:7" x14ac:dyDescent="0.25">
      <c r="A2984" s="41" t="s">
        <v>6214</v>
      </c>
      <c r="B2984" s="41" t="s">
        <v>6204</v>
      </c>
      <c r="C2984" s="41" t="s">
        <v>2928</v>
      </c>
      <c r="D2984" s="41" t="s">
        <v>6203</v>
      </c>
      <c r="E2984" s="41" t="s">
        <v>2929</v>
      </c>
      <c r="F2984" s="41" t="s">
        <v>2930</v>
      </c>
      <c r="G2984" s="41" t="s">
        <v>2931</v>
      </c>
    </row>
    <row r="2985" spans="1:7" x14ac:dyDescent="0.25">
      <c r="A2985" s="41" t="s">
        <v>6215</v>
      </c>
      <c r="B2985" s="41" t="s">
        <v>6204</v>
      </c>
      <c r="C2985" s="41" t="s">
        <v>2928</v>
      </c>
      <c r="D2985" s="41" t="s">
        <v>6203</v>
      </c>
      <c r="E2985" s="41" t="s">
        <v>2929</v>
      </c>
      <c r="F2985" s="41" t="s">
        <v>2930</v>
      </c>
      <c r="G2985" s="41" t="s">
        <v>2931</v>
      </c>
    </row>
    <row r="2986" spans="1:7" x14ac:dyDescent="0.25">
      <c r="A2986" s="41" t="s">
        <v>6216</v>
      </c>
      <c r="B2986" s="41" t="s">
        <v>6204</v>
      </c>
      <c r="C2986" s="41" t="s">
        <v>2928</v>
      </c>
      <c r="D2986" s="41" t="s">
        <v>6203</v>
      </c>
      <c r="E2986" s="41" t="s">
        <v>2929</v>
      </c>
      <c r="F2986" s="41" t="s">
        <v>2930</v>
      </c>
      <c r="G2986" s="41" t="s">
        <v>2931</v>
      </c>
    </row>
    <row r="2987" spans="1:7" x14ac:dyDescent="0.25">
      <c r="A2987" s="41" t="s">
        <v>6217</v>
      </c>
      <c r="B2987" s="41" t="s">
        <v>6204</v>
      </c>
      <c r="C2987" s="41" t="s">
        <v>2928</v>
      </c>
      <c r="D2987" s="41" t="s">
        <v>6203</v>
      </c>
      <c r="E2987" s="41" t="s">
        <v>2929</v>
      </c>
      <c r="F2987" s="41" t="s">
        <v>2930</v>
      </c>
      <c r="G2987" s="41" t="s">
        <v>2931</v>
      </c>
    </row>
    <row r="2988" spans="1:7" x14ac:dyDescent="0.25">
      <c r="A2988" s="41" t="s">
        <v>6218</v>
      </c>
      <c r="B2988" s="41" t="s">
        <v>6204</v>
      </c>
      <c r="C2988" s="41" t="s">
        <v>2928</v>
      </c>
      <c r="D2988" s="41" t="s">
        <v>6203</v>
      </c>
      <c r="E2988" s="41" t="s">
        <v>2929</v>
      </c>
      <c r="F2988" s="41" t="s">
        <v>2930</v>
      </c>
      <c r="G2988" s="41" t="s">
        <v>2931</v>
      </c>
    </row>
    <row r="2989" spans="1:7" x14ac:dyDescent="0.25">
      <c r="A2989" s="41" t="s">
        <v>6219</v>
      </c>
      <c r="B2989" s="41" t="s">
        <v>6204</v>
      </c>
      <c r="C2989" s="41" t="s">
        <v>2928</v>
      </c>
      <c r="D2989" s="41" t="s">
        <v>6203</v>
      </c>
      <c r="E2989" s="41" t="s">
        <v>2929</v>
      </c>
      <c r="F2989" s="41" t="s">
        <v>2949</v>
      </c>
      <c r="G2989" s="41" t="s">
        <v>2950</v>
      </c>
    </row>
    <row r="2990" spans="1:7" x14ac:dyDescent="0.25">
      <c r="A2990" s="41" t="s">
        <v>6220</v>
      </c>
      <c r="B2990" s="41" t="s">
        <v>6204</v>
      </c>
      <c r="C2990" s="41" t="s">
        <v>2928</v>
      </c>
      <c r="D2990" s="41" t="s">
        <v>6203</v>
      </c>
      <c r="E2990" s="41" t="s">
        <v>2929</v>
      </c>
      <c r="F2990" s="41" t="s">
        <v>2949</v>
      </c>
      <c r="G2990" s="41" t="s">
        <v>2950</v>
      </c>
    </row>
    <row r="2991" spans="1:7" x14ac:dyDescent="0.25">
      <c r="A2991" s="41" t="s">
        <v>6221</v>
      </c>
      <c r="B2991" s="41" t="s">
        <v>6204</v>
      </c>
      <c r="C2991" s="41" t="s">
        <v>2928</v>
      </c>
      <c r="D2991" s="41" t="s">
        <v>6203</v>
      </c>
      <c r="E2991" s="41" t="s">
        <v>2929</v>
      </c>
      <c r="F2991" s="41" t="s">
        <v>2949</v>
      </c>
      <c r="G2991" s="41" t="s">
        <v>2950</v>
      </c>
    </row>
    <row r="2992" spans="1:7" x14ac:dyDescent="0.25">
      <c r="A2992" s="41" t="s">
        <v>6222</v>
      </c>
      <c r="B2992" s="41" t="s">
        <v>6204</v>
      </c>
      <c r="C2992" s="41" t="s">
        <v>2928</v>
      </c>
      <c r="D2992" s="41" t="s">
        <v>6203</v>
      </c>
      <c r="E2992" s="41" t="s">
        <v>2929</v>
      </c>
      <c r="F2992" s="41" t="s">
        <v>2949</v>
      </c>
      <c r="G2992" s="41" t="s">
        <v>2950</v>
      </c>
    </row>
    <row r="2993" spans="1:7" x14ac:dyDescent="0.25">
      <c r="A2993" s="41" t="s">
        <v>6223</v>
      </c>
      <c r="B2993" s="41" t="s">
        <v>6204</v>
      </c>
      <c r="C2993" s="41" t="s">
        <v>2928</v>
      </c>
      <c r="D2993" s="41" t="s">
        <v>6203</v>
      </c>
      <c r="E2993" s="41" t="s">
        <v>2929</v>
      </c>
      <c r="F2993" s="41" t="s">
        <v>2949</v>
      </c>
      <c r="G2993" s="41" t="s">
        <v>2950</v>
      </c>
    </row>
    <row r="2994" spans="1:7" x14ac:dyDescent="0.25">
      <c r="A2994" s="41" t="s">
        <v>6224</v>
      </c>
      <c r="B2994" s="41" t="s">
        <v>6204</v>
      </c>
      <c r="C2994" s="41" t="s">
        <v>2928</v>
      </c>
      <c r="D2994" s="41" t="s">
        <v>6203</v>
      </c>
      <c r="E2994" s="41" t="s">
        <v>2929</v>
      </c>
      <c r="F2994" s="41" t="s">
        <v>2949</v>
      </c>
      <c r="G2994" s="41" t="s">
        <v>2950</v>
      </c>
    </row>
    <row r="2995" spans="1:7" x14ac:dyDescent="0.25">
      <c r="A2995" s="41" t="s">
        <v>6225</v>
      </c>
      <c r="B2995" s="41" t="s">
        <v>6204</v>
      </c>
      <c r="C2995" s="41" t="s">
        <v>2928</v>
      </c>
      <c r="D2995" s="41" t="s">
        <v>6203</v>
      </c>
      <c r="E2995" s="41" t="s">
        <v>2929</v>
      </c>
      <c r="F2995" s="41" t="s">
        <v>2949</v>
      </c>
      <c r="G2995" s="41" t="s">
        <v>2950</v>
      </c>
    </row>
    <row r="2996" spans="1:7" x14ac:dyDescent="0.25">
      <c r="A2996" s="41" t="s">
        <v>6226</v>
      </c>
      <c r="B2996" s="41" t="s">
        <v>211</v>
      </c>
      <c r="C2996" s="41" t="s">
        <v>2928</v>
      </c>
      <c r="D2996" s="41" t="s">
        <v>6226</v>
      </c>
      <c r="E2996" s="41" t="s">
        <v>2929</v>
      </c>
      <c r="F2996" s="41" t="s">
        <v>2930</v>
      </c>
      <c r="G2996" s="41" t="s">
        <v>2931</v>
      </c>
    </row>
    <row r="2997" spans="1:7" x14ac:dyDescent="0.25">
      <c r="A2997" s="41" t="s">
        <v>6227</v>
      </c>
      <c r="B2997" s="41" t="s">
        <v>211</v>
      </c>
      <c r="C2997" s="41" t="s">
        <v>2928</v>
      </c>
      <c r="D2997" s="41" t="s">
        <v>6226</v>
      </c>
      <c r="E2997" s="41" t="s">
        <v>2929</v>
      </c>
      <c r="F2997" s="41" t="s">
        <v>2933</v>
      </c>
      <c r="G2997" s="41" t="s">
        <v>2934</v>
      </c>
    </row>
    <row r="2998" spans="1:7" x14ac:dyDescent="0.25">
      <c r="A2998" s="41" t="s">
        <v>6228</v>
      </c>
      <c r="B2998" s="41" t="s">
        <v>211</v>
      </c>
      <c r="C2998" s="41" t="s">
        <v>2928</v>
      </c>
      <c r="D2998" s="41" t="s">
        <v>6226</v>
      </c>
      <c r="E2998" s="41" t="s">
        <v>2929</v>
      </c>
      <c r="F2998" s="41" t="s">
        <v>2933</v>
      </c>
      <c r="G2998" s="41" t="s">
        <v>2934</v>
      </c>
    </row>
    <row r="2999" spans="1:7" x14ac:dyDescent="0.25">
      <c r="A2999" s="41" t="s">
        <v>6229</v>
      </c>
      <c r="B2999" s="41" t="s">
        <v>211</v>
      </c>
      <c r="C2999" s="41" t="s">
        <v>2928</v>
      </c>
      <c r="D2999" s="41" t="s">
        <v>6226</v>
      </c>
      <c r="E2999" s="41" t="s">
        <v>2929</v>
      </c>
      <c r="F2999" s="41" t="s">
        <v>2933</v>
      </c>
      <c r="G2999" s="41" t="s">
        <v>2934</v>
      </c>
    </row>
    <row r="3000" spans="1:7" x14ac:dyDescent="0.25">
      <c r="A3000" s="41" t="s">
        <v>6230</v>
      </c>
      <c r="B3000" s="41" t="s">
        <v>211</v>
      </c>
      <c r="C3000" s="41" t="s">
        <v>2928</v>
      </c>
      <c r="D3000" s="41" t="s">
        <v>6226</v>
      </c>
      <c r="E3000" s="41" t="s">
        <v>2929</v>
      </c>
      <c r="F3000" s="41" t="s">
        <v>2933</v>
      </c>
      <c r="G3000" s="41" t="s">
        <v>2934</v>
      </c>
    </row>
    <row r="3001" spans="1:7" x14ac:dyDescent="0.25">
      <c r="A3001" s="41" t="s">
        <v>6231</v>
      </c>
      <c r="B3001" s="41" t="s">
        <v>211</v>
      </c>
      <c r="C3001" s="41" t="s">
        <v>2928</v>
      </c>
      <c r="D3001" s="41" t="s">
        <v>6226</v>
      </c>
      <c r="E3001" s="41" t="s">
        <v>2929</v>
      </c>
      <c r="F3001" s="41" t="s">
        <v>2933</v>
      </c>
      <c r="G3001" s="41" t="s">
        <v>2934</v>
      </c>
    </row>
    <row r="3002" spans="1:7" x14ac:dyDescent="0.25">
      <c r="A3002" s="41" t="s">
        <v>6232</v>
      </c>
      <c r="B3002" s="41" t="s">
        <v>211</v>
      </c>
      <c r="C3002" s="41" t="s">
        <v>2928</v>
      </c>
      <c r="D3002" s="41" t="s">
        <v>6226</v>
      </c>
      <c r="E3002" s="41" t="s">
        <v>2929</v>
      </c>
      <c r="F3002" s="41" t="s">
        <v>2933</v>
      </c>
      <c r="G3002" s="41" t="s">
        <v>2934</v>
      </c>
    </row>
    <row r="3003" spans="1:7" x14ac:dyDescent="0.25">
      <c r="A3003" s="41" t="s">
        <v>6233</v>
      </c>
      <c r="B3003" s="41" t="s">
        <v>211</v>
      </c>
      <c r="C3003" s="41" t="s">
        <v>2928</v>
      </c>
      <c r="D3003" s="41" t="s">
        <v>6226</v>
      </c>
      <c r="E3003" s="41" t="s">
        <v>2929</v>
      </c>
      <c r="F3003" s="41" t="s">
        <v>2933</v>
      </c>
      <c r="G3003" s="41" t="s">
        <v>2934</v>
      </c>
    </row>
    <row r="3004" spans="1:7" x14ac:dyDescent="0.25">
      <c r="A3004" s="41" t="s">
        <v>6234</v>
      </c>
      <c r="B3004" s="41" t="s">
        <v>211</v>
      </c>
      <c r="C3004" s="41" t="s">
        <v>2928</v>
      </c>
      <c r="D3004" s="41" t="s">
        <v>6226</v>
      </c>
      <c r="E3004" s="41" t="s">
        <v>2929</v>
      </c>
      <c r="F3004" s="41" t="s">
        <v>2930</v>
      </c>
      <c r="G3004" s="41" t="s">
        <v>2931</v>
      </c>
    </row>
    <row r="3005" spans="1:7" x14ac:dyDescent="0.25">
      <c r="A3005" s="41" t="s">
        <v>6235</v>
      </c>
      <c r="B3005" s="41" t="s">
        <v>211</v>
      </c>
      <c r="C3005" s="41" t="s">
        <v>2928</v>
      </c>
      <c r="D3005" s="41" t="s">
        <v>6226</v>
      </c>
      <c r="E3005" s="41" t="s">
        <v>2929</v>
      </c>
      <c r="F3005" s="41" t="s">
        <v>2930</v>
      </c>
      <c r="G3005" s="41" t="s">
        <v>2931</v>
      </c>
    </row>
    <row r="3006" spans="1:7" x14ac:dyDescent="0.25">
      <c r="A3006" s="41" t="s">
        <v>6236</v>
      </c>
      <c r="B3006" s="41" t="s">
        <v>211</v>
      </c>
      <c r="C3006" s="41" t="s">
        <v>2928</v>
      </c>
      <c r="D3006" s="41" t="s">
        <v>6226</v>
      </c>
      <c r="E3006" s="41" t="s">
        <v>2929</v>
      </c>
      <c r="F3006" s="41" t="s">
        <v>2930</v>
      </c>
      <c r="G3006" s="41" t="s">
        <v>2931</v>
      </c>
    </row>
    <row r="3007" spans="1:7" x14ac:dyDescent="0.25">
      <c r="A3007" s="41" t="s">
        <v>6237</v>
      </c>
      <c r="B3007" s="41" t="s">
        <v>211</v>
      </c>
      <c r="C3007" s="41" t="s">
        <v>2928</v>
      </c>
      <c r="D3007" s="41" t="s">
        <v>6226</v>
      </c>
      <c r="E3007" s="41" t="s">
        <v>2929</v>
      </c>
      <c r="F3007" s="41" t="s">
        <v>2930</v>
      </c>
      <c r="G3007" s="41" t="s">
        <v>2931</v>
      </c>
    </row>
    <row r="3008" spans="1:7" x14ac:dyDescent="0.25">
      <c r="A3008" s="41" t="s">
        <v>6238</v>
      </c>
      <c r="B3008" s="41" t="s">
        <v>211</v>
      </c>
      <c r="C3008" s="41" t="s">
        <v>2928</v>
      </c>
      <c r="D3008" s="41" t="s">
        <v>6226</v>
      </c>
      <c r="E3008" s="41" t="s">
        <v>2929</v>
      </c>
      <c r="F3008" s="41" t="s">
        <v>2930</v>
      </c>
      <c r="G3008" s="41" t="s">
        <v>2931</v>
      </c>
    </row>
    <row r="3009" spans="1:7" x14ac:dyDescent="0.25">
      <c r="A3009" s="41" t="s">
        <v>6239</v>
      </c>
      <c r="B3009" s="41" t="s">
        <v>211</v>
      </c>
      <c r="C3009" s="41" t="s">
        <v>2928</v>
      </c>
      <c r="D3009" s="41" t="s">
        <v>6226</v>
      </c>
      <c r="E3009" s="41" t="s">
        <v>2929</v>
      </c>
      <c r="F3009" s="41" t="s">
        <v>2930</v>
      </c>
      <c r="G3009" s="41" t="s">
        <v>2931</v>
      </c>
    </row>
    <row r="3010" spans="1:7" x14ac:dyDescent="0.25">
      <c r="A3010" s="41" t="s">
        <v>6240</v>
      </c>
      <c r="B3010" s="41" t="s">
        <v>211</v>
      </c>
      <c r="C3010" s="41" t="s">
        <v>2928</v>
      </c>
      <c r="D3010" s="41" t="s">
        <v>6226</v>
      </c>
      <c r="E3010" s="41" t="s">
        <v>2929</v>
      </c>
      <c r="F3010" s="41" t="s">
        <v>2930</v>
      </c>
      <c r="G3010" s="41" t="s">
        <v>2931</v>
      </c>
    </row>
    <row r="3011" spans="1:7" x14ac:dyDescent="0.25">
      <c r="A3011" s="41" t="s">
        <v>6241</v>
      </c>
      <c r="B3011" s="41" t="s">
        <v>211</v>
      </c>
      <c r="C3011" s="41" t="s">
        <v>2928</v>
      </c>
      <c r="D3011" s="41" t="s">
        <v>6226</v>
      </c>
      <c r="E3011" s="41" t="s">
        <v>2929</v>
      </c>
      <c r="F3011" s="41" t="s">
        <v>2949</v>
      </c>
      <c r="G3011" s="41" t="s">
        <v>2950</v>
      </c>
    </row>
    <row r="3012" spans="1:7" x14ac:dyDescent="0.25">
      <c r="A3012" s="41" t="s">
        <v>6242</v>
      </c>
      <c r="B3012" s="41" t="s">
        <v>211</v>
      </c>
      <c r="C3012" s="41" t="s">
        <v>2928</v>
      </c>
      <c r="D3012" s="41" t="s">
        <v>6226</v>
      </c>
      <c r="E3012" s="41" t="s">
        <v>2929</v>
      </c>
      <c r="F3012" s="41" t="s">
        <v>2949</v>
      </c>
      <c r="G3012" s="41" t="s">
        <v>2950</v>
      </c>
    </row>
    <row r="3013" spans="1:7" x14ac:dyDescent="0.25">
      <c r="A3013" s="41" t="s">
        <v>6243</v>
      </c>
      <c r="B3013" s="41" t="s">
        <v>211</v>
      </c>
      <c r="C3013" s="41" t="s">
        <v>2928</v>
      </c>
      <c r="D3013" s="41" t="s">
        <v>6226</v>
      </c>
      <c r="E3013" s="41" t="s">
        <v>2929</v>
      </c>
      <c r="F3013" s="41" t="s">
        <v>2949</v>
      </c>
      <c r="G3013" s="41" t="s">
        <v>2950</v>
      </c>
    </row>
    <row r="3014" spans="1:7" x14ac:dyDescent="0.25">
      <c r="A3014" s="41" t="s">
        <v>6244</v>
      </c>
      <c r="B3014" s="41" t="s">
        <v>211</v>
      </c>
      <c r="C3014" s="41" t="s">
        <v>2928</v>
      </c>
      <c r="D3014" s="41" t="s">
        <v>6226</v>
      </c>
      <c r="E3014" s="41" t="s">
        <v>2929</v>
      </c>
      <c r="F3014" s="41" t="s">
        <v>2949</v>
      </c>
      <c r="G3014" s="41" t="s">
        <v>2950</v>
      </c>
    </row>
    <row r="3015" spans="1:7" x14ac:dyDescent="0.25">
      <c r="A3015" s="41" t="s">
        <v>6245</v>
      </c>
      <c r="B3015" s="41" t="s">
        <v>211</v>
      </c>
      <c r="C3015" s="41" t="s">
        <v>2928</v>
      </c>
      <c r="D3015" s="41" t="s">
        <v>6226</v>
      </c>
      <c r="E3015" s="41" t="s">
        <v>2929</v>
      </c>
      <c r="F3015" s="41" t="s">
        <v>2949</v>
      </c>
      <c r="G3015" s="41" t="s">
        <v>2950</v>
      </c>
    </row>
    <row r="3016" spans="1:7" x14ac:dyDescent="0.25">
      <c r="A3016" s="41" t="s">
        <v>6246</v>
      </c>
      <c r="B3016" s="41" t="s">
        <v>211</v>
      </c>
      <c r="C3016" s="41" t="s">
        <v>2928</v>
      </c>
      <c r="D3016" s="41" t="s">
        <v>6226</v>
      </c>
      <c r="E3016" s="41" t="s">
        <v>2929</v>
      </c>
      <c r="F3016" s="41" t="s">
        <v>2949</v>
      </c>
      <c r="G3016" s="41" t="s">
        <v>2950</v>
      </c>
    </row>
    <row r="3017" spans="1:7" x14ac:dyDescent="0.25">
      <c r="A3017" s="41" t="s">
        <v>6247</v>
      </c>
      <c r="B3017" s="41" t="s">
        <v>211</v>
      </c>
      <c r="C3017" s="41" t="s">
        <v>2928</v>
      </c>
      <c r="D3017" s="41" t="s">
        <v>6226</v>
      </c>
      <c r="E3017" s="41" t="s">
        <v>2929</v>
      </c>
      <c r="F3017" s="41" t="s">
        <v>2949</v>
      </c>
      <c r="G3017" s="41" t="s">
        <v>2950</v>
      </c>
    </row>
    <row r="3018" spans="1:7" x14ac:dyDescent="0.25">
      <c r="A3018" s="41" t="s">
        <v>6248</v>
      </c>
      <c r="B3018" s="41" t="s">
        <v>936</v>
      </c>
      <c r="C3018" s="41" t="s">
        <v>2928</v>
      </c>
      <c r="D3018" s="41" t="s">
        <v>6248</v>
      </c>
      <c r="E3018" s="41" t="s">
        <v>2929</v>
      </c>
      <c r="F3018" s="41" t="s">
        <v>2930</v>
      </c>
      <c r="G3018" s="41" t="s">
        <v>2931</v>
      </c>
    </row>
    <row r="3019" spans="1:7" x14ac:dyDescent="0.25">
      <c r="A3019" s="41" t="s">
        <v>6249</v>
      </c>
      <c r="B3019" s="41" t="s">
        <v>936</v>
      </c>
      <c r="C3019" s="41" t="s">
        <v>2928</v>
      </c>
      <c r="D3019" s="41" t="s">
        <v>6248</v>
      </c>
      <c r="E3019" s="41" t="s">
        <v>2929</v>
      </c>
      <c r="F3019" s="41" t="s">
        <v>2933</v>
      </c>
      <c r="G3019" s="41" t="s">
        <v>2934</v>
      </c>
    </row>
    <row r="3020" spans="1:7" x14ac:dyDescent="0.25">
      <c r="A3020" s="41" t="s">
        <v>6250</v>
      </c>
      <c r="B3020" s="41" t="s">
        <v>936</v>
      </c>
      <c r="C3020" s="41" t="s">
        <v>2928</v>
      </c>
      <c r="D3020" s="41" t="s">
        <v>6248</v>
      </c>
      <c r="E3020" s="41" t="s">
        <v>2929</v>
      </c>
      <c r="F3020" s="41" t="s">
        <v>2930</v>
      </c>
      <c r="G3020" s="41" t="s">
        <v>2931</v>
      </c>
    </row>
    <row r="3021" spans="1:7" x14ac:dyDescent="0.25">
      <c r="A3021" s="41" t="s">
        <v>6251</v>
      </c>
      <c r="B3021" s="41" t="s">
        <v>936</v>
      </c>
      <c r="C3021" s="41" t="s">
        <v>2928</v>
      </c>
      <c r="D3021" s="41" t="s">
        <v>6248</v>
      </c>
      <c r="E3021" s="41" t="s">
        <v>2929</v>
      </c>
      <c r="F3021" s="41" t="s">
        <v>2949</v>
      </c>
      <c r="G3021" s="41" t="s">
        <v>2950</v>
      </c>
    </row>
    <row r="3022" spans="1:7" x14ac:dyDescent="0.25">
      <c r="A3022" s="41" t="s">
        <v>6252</v>
      </c>
      <c r="B3022" s="41" t="s">
        <v>6253</v>
      </c>
      <c r="C3022" s="41" t="s">
        <v>2928</v>
      </c>
      <c r="D3022" s="41" t="s">
        <v>6252</v>
      </c>
      <c r="E3022" s="41" t="s">
        <v>2929</v>
      </c>
      <c r="F3022" s="41" t="s">
        <v>2930</v>
      </c>
      <c r="G3022" s="41" t="s">
        <v>2931</v>
      </c>
    </row>
    <row r="3023" spans="1:7" x14ac:dyDescent="0.25">
      <c r="A3023" s="41" t="s">
        <v>6254</v>
      </c>
      <c r="B3023" s="41" t="s">
        <v>6253</v>
      </c>
      <c r="C3023" s="41" t="s">
        <v>2928</v>
      </c>
      <c r="D3023" s="41" t="s">
        <v>6252</v>
      </c>
      <c r="E3023" s="41" t="s">
        <v>2929</v>
      </c>
      <c r="F3023" s="41" t="s">
        <v>2949</v>
      </c>
      <c r="G3023" s="41" t="s">
        <v>2950</v>
      </c>
    </row>
    <row r="3024" spans="1:7" x14ac:dyDescent="0.25">
      <c r="A3024" s="41" t="s">
        <v>6255</v>
      </c>
      <c r="B3024" s="41" t="s">
        <v>6256</v>
      </c>
      <c r="C3024" s="41" t="s">
        <v>2928</v>
      </c>
      <c r="D3024" s="41" t="s">
        <v>6255</v>
      </c>
      <c r="E3024" s="41" t="s">
        <v>2929</v>
      </c>
      <c r="F3024" s="41" t="s">
        <v>2930</v>
      </c>
      <c r="G3024" s="41" t="s">
        <v>2931</v>
      </c>
    </row>
    <row r="3025" spans="1:7" x14ac:dyDescent="0.25">
      <c r="A3025" s="41" t="s">
        <v>6257</v>
      </c>
      <c r="B3025" s="41" t="s">
        <v>6256</v>
      </c>
      <c r="C3025" s="41" t="s">
        <v>2928</v>
      </c>
      <c r="D3025" s="41" t="s">
        <v>6255</v>
      </c>
      <c r="E3025" s="41" t="s">
        <v>2929</v>
      </c>
      <c r="F3025" s="41" t="s">
        <v>2933</v>
      </c>
      <c r="G3025" s="41" t="s">
        <v>2934</v>
      </c>
    </row>
    <row r="3026" spans="1:7" x14ac:dyDescent="0.25">
      <c r="A3026" s="41" t="s">
        <v>6258</v>
      </c>
      <c r="B3026" s="41" t="s">
        <v>6256</v>
      </c>
      <c r="C3026" s="41" t="s">
        <v>2928</v>
      </c>
      <c r="D3026" s="41" t="s">
        <v>6255</v>
      </c>
      <c r="E3026" s="41" t="s">
        <v>2929</v>
      </c>
      <c r="F3026" s="41" t="s">
        <v>2933</v>
      </c>
      <c r="G3026" s="41" t="s">
        <v>2934</v>
      </c>
    </row>
    <row r="3027" spans="1:7" x14ac:dyDescent="0.25">
      <c r="A3027" s="41" t="s">
        <v>6259</v>
      </c>
      <c r="B3027" s="41" t="s">
        <v>6256</v>
      </c>
      <c r="C3027" s="41" t="s">
        <v>2928</v>
      </c>
      <c r="D3027" s="41" t="s">
        <v>6255</v>
      </c>
      <c r="E3027" s="41" t="s">
        <v>2929</v>
      </c>
      <c r="F3027" s="41" t="s">
        <v>2930</v>
      </c>
      <c r="G3027" s="41" t="s">
        <v>2931</v>
      </c>
    </row>
    <row r="3028" spans="1:7" x14ac:dyDescent="0.25">
      <c r="A3028" s="41" t="s">
        <v>6260</v>
      </c>
      <c r="B3028" s="41" t="s">
        <v>6256</v>
      </c>
      <c r="C3028" s="41" t="s">
        <v>2928</v>
      </c>
      <c r="D3028" s="41" t="s">
        <v>6255</v>
      </c>
      <c r="E3028" s="41" t="s">
        <v>2929</v>
      </c>
      <c r="F3028" s="41" t="s">
        <v>2949</v>
      </c>
      <c r="G3028" s="41" t="s">
        <v>2950</v>
      </c>
    </row>
    <row r="3029" spans="1:7" x14ac:dyDescent="0.25">
      <c r="A3029" s="41" t="s">
        <v>6261</v>
      </c>
      <c r="B3029" s="41" t="s">
        <v>6262</v>
      </c>
      <c r="C3029" s="41" t="s">
        <v>2928</v>
      </c>
      <c r="D3029" s="41" t="s">
        <v>6261</v>
      </c>
      <c r="E3029" s="41" t="s">
        <v>2929</v>
      </c>
      <c r="F3029" s="41" t="s">
        <v>2930</v>
      </c>
      <c r="G3029" s="41" t="s">
        <v>2931</v>
      </c>
    </row>
    <row r="3030" spans="1:7" x14ac:dyDescent="0.25">
      <c r="A3030" s="41" t="s">
        <v>6263</v>
      </c>
      <c r="B3030" s="41" t="s">
        <v>6262</v>
      </c>
      <c r="C3030" s="41" t="s">
        <v>2928</v>
      </c>
      <c r="D3030" s="41" t="s">
        <v>6261</v>
      </c>
      <c r="E3030" s="41" t="s">
        <v>2929</v>
      </c>
      <c r="F3030" s="41" t="s">
        <v>2933</v>
      </c>
      <c r="G3030" s="41" t="s">
        <v>2934</v>
      </c>
    </row>
    <row r="3031" spans="1:7" x14ac:dyDescent="0.25">
      <c r="A3031" s="41" t="s">
        <v>6264</v>
      </c>
      <c r="B3031" s="41" t="s">
        <v>6262</v>
      </c>
      <c r="C3031" s="41" t="s">
        <v>2928</v>
      </c>
      <c r="D3031" s="41" t="s">
        <v>6261</v>
      </c>
      <c r="E3031" s="41" t="s">
        <v>2929</v>
      </c>
      <c r="F3031" s="41" t="s">
        <v>2930</v>
      </c>
      <c r="G3031" s="41" t="s">
        <v>2931</v>
      </c>
    </row>
    <row r="3032" spans="1:7" x14ac:dyDescent="0.25">
      <c r="A3032" s="41" t="s">
        <v>6265</v>
      </c>
      <c r="B3032" s="41" t="s">
        <v>6262</v>
      </c>
      <c r="C3032" s="41" t="s">
        <v>2928</v>
      </c>
      <c r="D3032" s="41" t="s">
        <v>6261</v>
      </c>
      <c r="E3032" s="41" t="s">
        <v>2929</v>
      </c>
      <c r="F3032" s="41" t="s">
        <v>2949</v>
      </c>
      <c r="G3032" s="41" t="s">
        <v>2950</v>
      </c>
    </row>
    <row r="3033" spans="1:7" x14ac:dyDescent="0.25">
      <c r="A3033" s="41" t="s">
        <v>6266</v>
      </c>
      <c r="B3033" s="41" t="s">
        <v>6267</v>
      </c>
      <c r="C3033" s="41" t="s">
        <v>2928</v>
      </c>
      <c r="D3033" s="41" t="s">
        <v>6266</v>
      </c>
      <c r="E3033" s="41" t="s">
        <v>2929</v>
      </c>
      <c r="F3033" s="41" t="s">
        <v>2930</v>
      </c>
      <c r="G3033" s="41" t="s">
        <v>2931</v>
      </c>
    </row>
    <row r="3034" spans="1:7" x14ac:dyDescent="0.25">
      <c r="A3034" s="41" t="s">
        <v>6268</v>
      </c>
      <c r="B3034" s="41" t="s">
        <v>6267</v>
      </c>
      <c r="C3034" s="41" t="s">
        <v>2928</v>
      </c>
      <c r="D3034" s="41" t="s">
        <v>6266</v>
      </c>
      <c r="E3034" s="41" t="s">
        <v>2929</v>
      </c>
      <c r="F3034" s="41" t="s">
        <v>2933</v>
      </c>
      <c r="G3034" s="41" t="s">
        <v>2934</v>
      </c>
    </row>
    <row r="3035" spans="1:7" x14ac:dyDescent="0.25">
      <c r="A3035" s="41" t="s">
        <v>6269</v>
      </c>
      <c r="B3035" s="41" t="s">
        <v>6267</v>
      </c>
      <c r="C3035" s="41" t="s">
        <v>2928</v>
      </c>
      <c r="D3035" s="41" t="s">
        <v>6266</v>
      </c>
      <c r="E3035" s="41" t="s">
        <v>2929</v>
      </c>
      <c r="F3035" s="41" t="s">
        <v>2930</v>
      </c>
      <c r="G3035" s="41" t="s">
        <v>2931</v>
      </c>
    </row>
    <row r="3036" spans="1:7" x14ac:dyDescent="0.25">
      <c r="A3036" s="41" t="s">
        <v>6270</v>
      </c>
      <c r="B3036" s="41" t="s">
        <v>6267</v>
      </c>
      <c r="C3036" s="41" t="s">
        <v>2928</v>
      </c>
      <c r="D3036" s="41" t="s">
        <v>6266</v>
      </c>
      <c r="E3036" s="41" t="s">
        <v>2929</v>
      </c>
      <c r="F3036" s="41" t="s">
        <v>2949</v>
      </c>
      <c r="G3036" s="41" t="s">
        <v>2950</v>
      </c>
    </row>
    <row r="3037" spans="1:7" x14ac:dyDescent="0.25">
      <c r="A3037" s="41" t="s">
        <v>6271</v>
      </c>
      <c r="B3037" s="41" t="s">
        <v>6272</v>
      </c>
      <c r="C3037" s="41" t="s">
        <v>2928</v>
      </c>
      <c r="D3037" s="41" t="s">
        <v>6271</v>
      </c>
      <c r="E3037" s="41" t="s">
        <v>2929</v>
      </c>
      <c r="F3037" s="41" t="s">
        <v>2930</v>
      </c>
      <c r="G3037" s="41" t="s">
        <v>2931</v>
      </c>
    </row>
    <row r="3038" spans="1:7" x14ac:dyDescent="0.25">
      <c r="A3038" s="41" t="s">
        <v>6273</v>
      </c>
      <c r="B3038" s="41" t="s">
        <v>6272</v>
      </c>
      <c r="C3038" s="41" t="s">
        <v>2928</v>
      </c>
      <c r="D3038" s="41" t="s">
        <v>6271</v>
      </c>
      <c r="E3038" s="41" t="s">
        <v>2929</v>
      </c>
      <c r="F3038" s="41" t="s">
        <v>2933</v>
      </c>
      <c r="G3038" s="41" t="s">
        <v>2934</v>
      </c>
    </row>
    <row r="3039" spans="1:7" x14ac:dyDescent="0.25">
      <c r="A3039" s="41" t="s">
        <v>6274</v>
      </c>
      <c r="B3039" s="41" t="s">
        <v>6272</v>
      </c>
      <c r="C3039" s="41" t="s">
        <v>2928</v>
      </c>
      <c r="D3039" s="41" t="s">
        <v>6271</v>
      </c>
      <c r="E3039" s="41" t="s">
        <v>2929</v>
      </c>
      <c r="F3039" s="41" t="s">
        <v>2933</v>
      </c>
      <c r="G3039" s="41" t="s">
        <v>2934</v>
      </c>
    </row>
    <row r="3040" spans="1:7" x14ac:dyDescent="0.25">
      <c r="A3040" s="41" t="s">
        <v>6275</v>
      </c>
      <c r="B3040" s="41" t="s">
        <v>6272</v>
      </c>
      <c r="C3040" s="41" t="s">
        <v>2928</v>
      </c>
      <c r="D3040" s="41" t="s">
        <v>6271</v>
      </c>
      <c r="E3040" s="41" t="s">
        <v>2929</v>
      </c>
      <c r="F3040" s="41" t="s">
        <v>2930</v>
      </c>
      <c r="G3040" s="41" t="s">
        <v>2931</v>
      </c>
    </row>
    <row r="3041" spans="1:7" x14ac:dyDescent="0.25">
      <c r="A3041" s="41" t="s">
        <v>6276</v>
      </c>
      <c r="B3041" s="41" t="s">
        <v>6272</v>
      </c>
      <c r="C3041" s="41" t="s">
        <v>2928</v>
      </c>
      <c r="D3041" s="41" t="s">
        <v>6271</v>
      </c>
      <c r="E3041" s="41" t="s">
        <v>2929</v>
      </c>
      <c r="F3041" s="41" t="s">
        <v>2949</v>
      </c>
      <c r="G3041" s="41" t="s">
        <v>2950</v>
      </c>
    </row>
    <row r="3042" spans="1:7" x14ac:dyDescent="0.25">
      <c r="A3042" s="41" t="s">
        <v>6277</v>
      </c>
      <c r="B3042" s="41" t="s">
        <v>6278</v>
      </c>
      <c r="C3042" s="41" t="s">
        <v>2928</v>
      </c>
      <c r="D3042" s="41" t="s">
        <v>6277</v>
      </c>
      <c r="E3042" s="41" t="s">
        <v>2929</v>
      </c>
      <c r="F3042" s="41" t="s">
        <v>2930</v>
      </c>
      <c r="G3042" s="41" t="s">
        <v>2931</v>
      </c>
    </row>
    <row r="3043" spans="1:7" x14ac:dyDescent="0.25">
      <c r="A3043" s="41" t="s">
        <v>6279</v>
      </c>
      <c r="B3043" s="41" t="s">
        <v>6278</v>
      </c>
      <c r="C3043" s="41" t="s">
        <v>2928</v>
      </c>
      <c r="D3043" s="41" t="s">
        <v>6277</v>
      </c>
      <c r="E3043" s="41" t="s">
        <v>2929</v>
      </c>
      <c r="F3043" s="41" t="s">
        <v>2933</v>
      </c>
      <c r="G3043" s="41" t="s">
        <v>2934</v>
      </c>
    </row>
    <row r="3044" spans="1:7" x14ac:dyDescent="0.25">
      <c r="A3044" s="41" t="s">
        <v>6280</v>
      </c>
      <c r="B3044" s="41" t="s">
        <v>6278</v>
      </c>
      <c r="C3044" s="41" t="s">
        <v>2928</v>
      </c>
      <c r="D3044" s="41" t="s">
        <v>6277</v>
      </c>
      <c r="E3044" s="41" t="s">
        <v>2929</v>
      </c>
      <c r="F3044" s="41" t="s">
        <v>2933</v>
      </c>
      <c r="G3044" s="41" t="s">
        <v>2934</v>
      </c>
    </row>
    <row r="3045" spans="1:7" x14ac:dyDescent="0.25">
      <c r="A3045" s="41" t="s">
        <v>6281</v>
      </c>
      <c r="B3045" s="41" t="s">
        <v>6278</v>
      </c>
      <c r="C3045" s="41" t="s">
        <v>2928</v>
      </c>
      <c r="D3045" s="41" t="s">
        <v>6277</v>
      </c>
      <c r="E3045" s="41" t="s">
        <v>2929</v>
      </c>
      <c r="F3045" s="41" t="s">
        <v>2930</v>
      </c>
      <c r="G3045" s="41" t="s">
        <v>2931</v>
      </c>
    </row>
    <row r="3046" spans="1:7" x14ac:dyDescent="0.25">
      <c r="A3046" s="41" t="s">
        <v>6282</v>
      </c>
      <c r="B3046" s="41" t="s">
        <v>6278</v>
      </c>
      <c r="C3046" s="41" t="s">
        <v>2928</v>
      </c>
      <c r="D3046" s="41" t="s">
        <v>6277</v>
      </c>
      <c r="E3046" s="41" t="s">
        <v>2929</v>
      </c>
      <c r="F3046" s="41" t="s">
        <v>2949</v>
      </c>
      <c r="G3046" s="41" t="s">
        <v>2950</v>
      </c>
    </row>
    <row r="3047" spans="1:7" x14ac:dyDescent="0.25">
      <c r="A3047" s="41" t="s">
        <v>6283</v>
      </c>
      <c r="B3047" s="41" t="s">
        <v>6284</v>
      </c>
      <c r="C3047" s="41" t="s">
        <v>2928</v>
      </c>
      <c r="D3047" s="41" t="s">
        <v>6283</v>
      </c>
      <c r="E3047" s="41" t="s">
        <v>2929</v>
      </c>
      <c r="F3047" s="41" t="s">
        <v>2930</v>
      </c>
      <c r="G3047" s="41" t="s">
        <v>2931</v>
      </c>
    </row>
    <row r="3048" spans="1:7" x14ac:dyDescent="0.25">
      <c r="A3048" s="41" t="s">
        <v>6285</v>
      </c>
      <c r="B3048" s="41" t="s">
        <v>6284</v>
      </c>
      <c r="C3048" s="41" t="s">
        <v>2928</v>
      </c>
      <c r="D3048" s="41" t="s">
        <v>6283</v>
      </c>
      <c r="E3048" s="41" t="s">
        <v>2929</v>
      </c>
      <c r="F3048" s="41" t="s">
        <v>2933</v>
      </c>
      <c r="G3048" s="41" t="s">
        <v>2934</v>
      </c>
    </row>
    <row r="3049" spans="1:7" x14ac:dyDescent="0.25">
      <c r="A3049" s="41" t="s">
        <v>6286</v>
      </c>
      <c r="B3049" s="41" t="s">
        <v>6284</v>
      </c>
      <c r="C3049" s="41" t="s">
        <v>2928</v>
      </c>
      <c r="D3049" s="41" t="s">
        <v>6283</v>
      </c>
      <c r="E3049" s="41" t="s">
        <v>2929</v>
      </c>
      <c r="F3049" s="41" t="s">
        <v>2933</v>
      </c>
      <c r="G3049" s="41" t="s">
        <v>2934</v>
      </c>
    </row>
    <row r="3050" spans="1:7" x14ac:dyDescent="0.25">
      <c r="A3050" s="41" t="s">
        <v>6287</v>
      </c>
      <c r="B3050" s="41" t="s">
        <v>6284</v>
      </c>
      <c r="C3050" s="41" t="s">
        <v>2928</v>
      </c>
      <c r="D3050" s="41" t="s">
        <v>6283</v>
      </c>
      <c r="E3050" s="41" t="s">
        <v>2929</v>
      </c>
      <c r="F3050" s="41" t="s">
        <v>2930</v>
      </c>
      <c r="G3050" s="41" t="s">
        <v>2931</v>
      </c>
    </row>
    <row r="3051" spans="1:7" x14ac:dyDescent="0.25">
      <c r="A3051" s="41" t="s">
        <v>6288</v>
      </c>
      <c r="B3051" s="41" t="s">
        <v>6284</v>
      </c>
      <c r="C3051" s="41" t="s">
        <v>2928</v>
      </c>
      <c r="D3051" s="41" t="s">
        <v>6283</v>
      </c>
      <c r="E3051" s="41" t="s">
        <v>2929</v>
      </c>
      <c r="F3051" s="41" t="s">
        <v>2949</v>
      </c>
      <c r="G3051" s="41" t="s">
        <v>2950</v>
      </c>
    </row>
    <row r="3052" spans="1:7" x14ac:dyDescent="0.25">
      <c r="A3052" s="41" t="s">
        <v>6289</v>
      </c>
      <c r="B3052" s="41" t="s">
        <v>6284</v>
      </c>
      <c r="C3052" s="41" t="s">
        <v>2928</v>
      </c>
      <c r="D3052" s="41" t="s">
        <v>6283</v>
      </c>
      <c r="E3052" s="41" t="s">
        <v>2929</v>
      </c>
      <c r="F3052" s="41" t="s">
        <v>2949</v>
      </c>
      <c r="G3052" s="41" t="s">
        <v>2950</v>
      </c>
    </row>
    <row r="3053" spans="1:7" x14ac:dyDescent="0.25">
      <c r="A3053" s="41" t="s">
        <v>6290</v>
      </c>
      <c r="B3053" s="41" t="s">
        <v>6284</v>
      </c>
      <c r="C3053" s="41" t="s">
        <v>2928</v>
      </c>
      <c r="D3053" s="41" t="s">
        <v>6283</v>
      </c>
      <c r="E3053" s="41" t="s">
        <v>2929</v>
      </c>
      <c r="F3053" s="41" t="s">
        <v>2949</v>
      </c>
      <c r="G3053" s="41" t="s">
        <v>2950</v>
      </c>
    </row>
    <row r="3054" spans="1:7" x14ac:dyDescent="0.25">
      <c r="A3054" s="41" t="s">
        <v>6291</v>
      </c>
      <c r="B3054" s="41" t="s">
        <v>6292</v>
      </c>
      <c r="C3054" s="41" t="s">
        <v>2928</v>
      </c>
      <c r="D3054" s="41" t="s">
        <v>6291</v>
      </c>
      <c r="E3054" s="41" t="s">
        <v>2929</v>
      </c>
      <c r="F3054" s="41" t="s">
        <v>2930</v>
      </c>
      <c r="G3054" s="41" t="s">
        <v>2931</v>
      </c>
    </row>
    <row r="3055" spans="1:7" x14ac:dyDescent="0.25">
      <c r="A3055" s="41" t="s">
        <v>6293</v>
      </c>
      <c r="B3055" s="41" t="s">
        <v>6292</v>
      </c>
      <c r="C3055" s="41" t="s">
        <v>2928</v>
      </c>
      <c r="D3055" s="41" t="s">
        <v>6291</v>
      </c>
      <c r="E3055" s="41" t="s">
        <v>2929</v>
      </c>
      <c r="F3055" s="41" t="s">
        <v>2933</v>
      </c>
      <c r="G3055" s="41" t="s">
        <v>2934</v>
      </c>
    </row>
    <row r="3056" spans="1:7" x14ac:dyDescent="0.25">
      <c r="A3056" s="41" t="s">
        <v>6294</v>
      </c>
      <c r="B3056" s="41" t="s">
        <v>6292</v>
      </c>
      <c r="C3056" s="41" t="s">
        <v>2928</v>
      </c>
      <c r="D3056" s="41" t="s">
        <v>6291</v>
      </c>
      <c r="E3056" s="41" t="s">
        <v>2929</v>
      </c>
      <c r="F3056" s="41" t="s">
        <v>2933</v>
      </c>
      <c r="G3056" s="41" t="s">
        <v>2934</v>
      </c>
    </row>
    <row r="3057" spans="1:7" x14ac:dyDescent="0.25">
      <c r="A3057" s="41" t="s">
        <v>6295</v>
      </c>
      <c r="B3057" s="41" t="s">
        <v>6292</v>
      </c>
      <c r="C3057" s="41" t="s">
        <v>2928</v>
      </c>
      <c r="D3057" s="41" t="s">
        <v>6291</v>
      </c>
      <c r="E3057" s="41" t="s">
        <v>2929</v>
      </c>
      <c r="F3057" s="41" t="s">
        <v>2930</v>
      </c>
      <c r="G3057" s="41" t="s">
        <v>2931</v>
      </c>
    </row>
    <row r="3058" spans="1:7" x14ac:dyDescent="0.25">
      <c r="A3058" s="41" t="s">
        <v>6296</v>
      </c>
      <c r="B3058" s="41" t="s">
        <v>6292</v>
      </c>
      <c r="C3058" s="41" t="s">
        <v>2928</v>
      </c>
      <c r="D3058" s="41" t="s">
        <v>6291</v>
      </c>
      <c r="E3058" s="41" t="s">
        <v>2929</v>
      </c>
      <c r="F3058" s="41" t="s">
        <v>2949</v>
      </c>
      <c r="G3058" s="41" t="s">
        <v>2950</v>
      </c>
    </row>
    <row r="3059" spans="1:7" x14ac:dyDescent="0.25">
      <c r="A3059" s="41" t="s">
        <v>6297</v>
      </c>
      <c r="B3059" s="41" t="s">
        <v>6292</v>
      </c>
      <c r="C3059" s="41" t="s">
        <v>2928</v>
      </c>
      <c r="D3059" s="41" t="s">
        <v>6291</v>
      </c>
      <c r="E3059" s="41" t="s">
        <v>2929</v>
      </c>
      <c r="F3059" s="41" t="s">
        <v>2949</v>
      </c>
      <c r="G3059" s="41" t="s">
        <v>2950</v>
      </c>
    </row>
    <row r="3060" spans="1:7" x14ac:dyDescent="0.25">
      <c r="A3060" s="41" t="s">
        <v>6298</v>
      </c>
      <c r="B3060" s="41" t="s">
        <v>6292</v>
      </c>
      <c r="C3060" s="41" t="s">
        <v>2928</v>
      </c>
      <c r="D3060" s="41" t="s">
        <v>6291</v>
      </c>
      <c r="E3060" s="41" t="s">
        <v>2929</v>
      </c>
      <c r="F3060" s="41" t="s">
        <v>2949</v>
      </c>
      <c r="G3060" s="41" t="s">
        <v>2950</v>
      </c>
    </row>
    <row r="3061" spans="1:7" x14ac:dyDescent="0.25">
      <c r="A3061" s="41" t="s">
        <v>6299</v>
      </c>
      <c r="B3061" s="41" t="s">
        <v>6300</v>
      </c>
      <c r="C3061" s="41" t="s">
        <v>2928</v>
      </c>
      <c r="D3061" s="41" t="s">
        <v>6299</v>
      </c>
      <c r="E3061" s="41" t="s">
        <v>2929</v>
      </c>
      <c r="F3061" s="41" t="s">
        <v>2930</v>
      </c>
      <c r="G3061" s="41" t="s">
        <v>2931</v>
      </c>
    </row>
    <row r="3062" spans="1:7" x14ac:dyDescent="0.25">
      <c r="A3062" s="41" t="s">
        <v>6301</v>
      </c>
      <c r="B3062" s="41" t="s">
        <v>6300</v>
      </c>
      <c r="C3062" s="41" t="s">
        <v>2928</v>
      </c>
      <c r="D3062" s="41" t="s">
        <v>6299</v>
      </c>
      <c r="E3062" s="41" t="s">
        <v>2929</v>
      </c>
      <c r="F3062" s="41" t="s">
        <v>2933</v>
      </c>
      <c r="G3062" s="41" t="s">
        <v>2934</v>
      </c>
    </row>
    <row r="3063" spans="1:7" x14ac:dyDescent="0.25">
      <c r="A3063" s="41" t="s">
        <v>6302</v>
      </c>
      <c r="B3063" s="41" t="s">
        <v>6300</v>
      </c>
      <c r="C3063" s="41" t="s">
        <v>2928</v>
      </c>
      <c r="D3063" s="41" t="s">
        <v>6299</v>
      </c>
      <c r="E3063" s="41" t="s">
        <v>2929</v>
      </c>
      <c r="F3063" s="41" t="s">
        <v>2930</v>
      </c>
      <c r="G3063" s="41" t="s">
        <v>2931</v>
      </c>
    </row>
    <row r="3064" spans="1:7" x14ac:dyDescent="0.25">
      <c r="A3064" s="41" t="s">
        <v>6303</v>
      </c>
      <c r="B3064" s="41" t="s">
        <v>6300</v>
      </c>
      <c r="C3064" s="41" t="s">
        <v>2928</v>
      </c>
      <c r="D3064" s="41" t="s">
        <v>6299</v>
      </c>
      <c r="E3064" s="41" t="s">
        <v>2929</v>
      </c>
      <c r="F3064" s="41" t="s">
        <v>2930</v>
      </c>
      <c r="G3064" s="41" t="s">
        <v>2931</v>
      </c>
    </row>
    <row r="3065" spans="1:7" x14ac:dyDescent="0.25">
      <c r="A3065" s="41" t="s">
        <v>6304</v>
      </c>
      <c r="B3065" s="41" t="s">
        <v>6300</v>
      </c>
      <c r="C3065" s="41" t="s">
        <v>2928</v>
      </c>
      <c r="D3065" s="41" t="s">
        <v>6299</v>
      </c>
      <c r="E3065" s="41" t="s">
        <v>2929</v>
      </c>
      <c r="F3065" s="41" t="s">
        <v>2949</v>
      </c>
      <c r="G3065" s="41" t="s">
        <v>2950</v>
      </c>
    </row>
    <row r="3066" spans="1:7" x14ac:dyDescent="0.25">
      <c r="A3066" s="41" t="s">
        <v>6305</v>
      </c>
      <c r="B3066" s="41" t="s">
        <v>6306</v>
      </c>
      <c r="C3066" s="41" t="s">
        <v>2928</v>
      </c>
      <c r="D3066" s="41" t="s">
        <v>6305</v>
      </c>
      <c r="E3066" s="41" t="s">
        <v>2929</v>
      </c>
      <c r="F3066" s="41" t="s">
        <v>2930</v>
      </c>
      <c r="G3066" s="41" t="s">
        <v>2931</v>
      </c>
    </row>
    <row r="3067" spans="1:7" x14ac:dyDescent="0.25">
      <c r="A3067" s="41" t="s">
        <v>6307</v>
      </c>
      <c r="B3067" s="41" t="s">
        <v>6306</v>
      </c>
      <c r="C3067" s="41" t="s">
        <v>2928</v>
      </c>
      <c r="D3067" s="41" t="s">
        <v>6305</v>
      </c>
      <c r="E3067" s="41" t="s">
        <v>2929</v>
      </c>
      <c r="F3067" s="41" t="s">
        <v>2933</v>
      </c>
      <c r="G3067" s="41" t="s">
        <v>2934</v>
      </c>
    </row>
    <row r="3068" spans="1:7" x14ac:dyDescent="0.25">
      <c r="A3068" s="41" t="s">
        <v>6308</v>
      </c>
      <c r="B3068" s="41" t="s">
        <v>6306</v>
      </c>
      <c r="C3068" s="41" t="s">
        <v>2928</v>
      </c>
      <c r="D3068" s="41" t="s">
        <v>6305</v>
      </c>
      <c r="E3068" s="41" t="s">
        <v>2929</v>
      </c>
      <c r="F3068" s="41" t="s">
        <v>2930</v>
      </c>
      <c r="G3068" s="41" t="s">
        <v>2931</v>
      </c>
    </row>
    <row r="3069" spans="1:7" x14ac:dyDescent="0.25">
      <c r="A3069" s="41" t="s">
        <v>6309</v>
      </c>
      <c r="B3069" s="41" t="s">
        <v>6306</v>
      </c>
      <c r="C3069" s="41" t="s">
        <v>2928</v>
      </c>
      <c r="D3069" s="41" t="s">
        <v>6305</v>
      </c>
      <c r="E3069" s="41" t="s">
        <v>2929</v>
      </c>
      <c r="F3069" s="41" t="s">
        <v>2930</v>
      </c>
      <c r="G3069" s="41" t="s">
        <v>2931</v>
      </c>
    </row>
    <row r="3070" spans="1:7" x14ac:dyDescent="0.25">
      <c r="A3070" s="41" t="s">
        <v>6310</v>
      </c>
      <c r="B3070" s="41" t="s">
        <v>6306</v>
      </c>
      <c r="C3070" s="41" t="s">
        <v>2928</v>
      </c>
      <c r="D3070" s="41" t="s">
        <v>6305</v>
      </c>
      <c r="E3070" s="41" t="s">
        <v>2929</v>
      </c>
      <c r="F3070" s="41" t="s">
        <v>2949</v>
      </c>
      <c r="G3070" s="41" t="s">
        <v>2950</v>
      </c>
    </row>
    <row r="3071" spans="1:7" x14ac:dyDescent="0.25">
      <c r="A3071" s="41" t="s">
        <v>6311</v>
      </c>
      <c r="B3071" s="41" t="s">
        <v>6312</v>
      </c>
      <c r="C3071" s="41" t="s">
        <v>2928</v>
      </c>
      <c r="D3071" s="41" t="s">
        <v>6311</v>
      </c>
      <c r="E3071" s="41" t="s">
        <v>2929</v>
      </c>
      <c r="F3071" s="41" t="s">
        <v>2930</v>
      </c>
      <c r="G3071" s="41" t="s">
        <v>2931</v>
      </c>
    </row>
    <row r="3072" spans="1:7" x14ac:dyDescent="0.25">
      <c r="A3072" s="41" t="s">
        <v>6313</v>
      </c>
      <c r="B3072" s="41" t="s">
        <v>6312</v>
      </c>
      <c r="C3072" s="41" t="s">
        <v>2928</v>
      </c>
      <c r="D3072" s="41" t="s">
        <v>6311</v>
      </c>
      <c r="E3072" s="41" t="s">
        <v>2929</v>
      </c>
      <c r="F3072" s="41" t="s">
        <v>2933</v>
      </c>
      <c r="G3072" s="41" t="s">
        <v>2934</v>
      </c>
    </row>
    <row r="3073" spans="1:7" x14ac:dyDescent="0.25">
      <c r="A3073" s="41" t="s">
        <v>6314</v>
      </c>
      <c r="B3073" s="41" t="s">
        <v>6312</v>
      </c>
      <c r="C3073" s="41" t="s">
        <v>2928</v>
      </c>
      <c r="D3073" s="41" t="s">
        <v>6311</v>
      </c>
      <c r="E3073" s="41" t="s">
        <v>2929</v>
      </c>
      <c r="F3073" s="41" t="s">
        <v>2930</v>
      </c>
      <c r="G3073" s="41" t="s">
        <v>2931</v>
      </c>
    </row>
    <row r="3074" spans="1:7" x14ac:dyDescent="0.25">
      <c r="A3074" s="41" t="s">
        <v>6315</v>
      </c>
      <c r="B3074" s="41" t="s">
        <v>6312</v>
      </c>
      <c r="C3074" s="41" t="s">
        <v>2928</v>
      </c>
      <c r="D3074" s="41" t="s">
        <v>6311</v>
      </c>
      <c r="E3074" s="41" t="s">
        <v>2929</v>
      </c>
      <c r="F3074" s="41" t="s">
        <v>2949</v>
      </c>
      <c r="G3074" s="41" t="s">
        <v>2950</v>
      </c>
    </row>
    <row r="3075" spans="1:7" x14ac:dyDescent="0.25">
      <c r="A3075" s="41" t="s">
        <v>6316</v>
      </c>
      <c r="B3075" s="41" t="s">
        <v>6312</v>
      </c>
      <c r="C3075" s="41" t="s">
        <v>2928</v>
      </c>
      <c r="D3075" s="41" t="s">
        <v>6311</v>
      </c>
      <c r="E3075" s="41" t="s">
        <v>2929</v>
      </c>
      <c r="F3075" s="41" t="s">
        <v>2949</v>
      </c>
      <c r="G3075" s="41" t="s">
        <v>2950</v>
      </c>
    </row>
    <row r="3076" spans="1:7" x14ac:dyDescent="0.25">
      <c r="A3076" s="41" t="s">
        <v>6317</v>
      </c>
      <c r="B3076" s="41" t="s">
        <v>6312</v>
      </c>
      <c r="C3076" s="41" t="s">
        <v>2928</v>
      </c>
      <c r="D3076" s="41" t="s">
        <v>6311</v>
      </c>
      <c r="E3076" s="41" t="s">
        <v>2929</v>
      </c>
      <c r="F3076" s="41" t="s">
        <v>2949</v>
      </c>
      <c r="G3076" s="41" t="s">
        <v>2950</v>
      </c>
    </row>
    <row r="3077" spans="1:7" x14ac:dyDescent="0.25">
      <c r="A3077" s="41" t="s">
        <v>6318</v>
      </c>
      <c r="B3077" s="41" t="s">
        <v>6319</v>
      </c>
      <c r="C3077" s="41" t="s">
        <v>2928</v>
      </c>
      <c r="D3077" s="41" t="s">
        <v>6318</v>
      </c>
      <c r="E3077" s="41" t="s">
        <v>2929</v>
      </c>
      <c r="F3077" s="41" t="s">
        <v>2930</v>
      </c>
      <c r="G3077" s="41" t="s">
        <v>2931</v>
      </c>
    </row>
    <row r="3078" spans="1:7" x14ac:dyDescent="0.25">
      <c r="A3078" s="41" t="s">
        <v>6320</v>
      </c>
      <c r="B3078" s="41" t="s">
        <v>6319</v>
      </c>
      <c r="C3078" s="41" t="s">
        <v>2928</v>
      </c>
      <c r="D3078" s="41" t="s">
        <v>6318</v>
      </c>
      <c r="E3078" s="41" t="s">
        <v>2929</v>
      </c>
      <c r="F3078" s="41" t="s">
        <v>2933</v>
      </c>
      <c r="G3078" s="41" t="s">
        <v>2934</v>
      </c>
    </row>
    <row r="3079" spans="1:7" x14ac:dyDescent="0.25">
      <c r="A3079" s="41" t="s">
        <v>6321</v>
      </c>
      <c r="B3079" s="41" t="s">
        <v>6319</v>
      </c>
      <c r="C3079" s="41" t="s">
        <v>2928</v>
      </c>
      <c r="D3079" s="41" t="s">
        <v>6318</v>
      </c>
      <c r="E3079" s="41" t="s">
        <v>2929</v>
      </c>
      <c r="F3079" s="41" t="s">
        <v>2930</v>
      </c>
      <c r="G3079" s="41" t="s">
        <v>2931</v>
      </c>
    </row>
    <row r="3080" spans="1:7" x14ac:dyDescent="0.25">
      <c r="A3080" s="41" t="s">
        <v>6322</v>
      </c>
      <c r="B3080" s="41" t="s">
        <v>6319</v>
      </c>
      <c r="C3080" s="41" t="s">
        <v>2928</v>
      </c>
      <c r="D3080" s="41" t="s">
        <v>6318</v>
      </c>
      <c r="E3080" s="41" t="s">
        <v>2929</v>
      </c>
      <c r="F3080" s="41" t="s">
        <v>2949</v>
      </c>
      <c r="G3080" s="41" t="s">
        <v>2950</v>
      </c>
    </row>
    <row r="3081" spans="1:7" x14ac:dyDescent="0.25">
      <c r="A3081" s="41" t="s">
        <v>6323</v>
      </c>
      <c r="B3081" s="41" t="s">
        <v>6319</v>
      </c>
      <c r="C3081" s="41" t="s">
        <v>2928</v>
      </c>
      <c r="D3081" s="41" t="s">
        <v>6318</v>
      </c>
      <c r="E3081" s="41" t="s">
        <v>2929</v>
      </c>
      <c r="F3081" s="41" t="s">
        <v>2949</v>
      </c>
      <c r="G3081" s="41" t="s">
        <v>2950</v>
      </c>
    </row>
    <row r="3082" spans="1:7" x14ac:dyDescent="0.25">
      <c r="A3082" s="41" t="s">
        <v>6324</v>
      </c>
      <c r="B3082" s="41" t="s">
        <v>6319</v>
      </c>
      <c r="C3082" s="41" t="s">
        <v>2928</v>
      </c>
      <c r="D3082" s="41" t="s">
        <v>6318</v>
      </c>
      <c r="E3082" s="41" t="s">
        <v>2929</v>
      </c>
      <c r="F3082" s="41" t="s">
        <v>2949</v>
      </c>
      <c r="G3082" s="41" t="s">
        <v>2950</v>
      </c>
    </row>
    <row r="3083" spans="1:7" x14ac:dyDescent="0.25">
      <c r="A3083" s="41" t="s">
        <v>6325</v>
      </c>
      <c r="B3083" s="41" t="s">
        <v>6326</v>
      </c>
      <c r="C3083" s="41" t="s">
        <v>2928</v>
      </c>
      <c r="D3083" s="41" t="s">
        <v>6325</v>
      </c>
      <c r="E3083" s="41" t="s">
        <v>2929</v>
      </c>
      <c r="F3083" s="41" t="s">
        <v>2930</v>
      </c>
      <c r="G3083" s="41" t="s">
        <v>2931</v>
      </c>
    </row>
    <row r="3084" spans="1:7" x14ac:dyDescent="0.25">
      <c r="A3084" s="41" t="s">
        <v>6327</v>
      </c>
      <c r="B3084" s="41" t="s">
        <v>6326</v>
      </c>
      <c r="C3084" s="41" t="s">
        <v>2928</v>
      </c>
      <c r="D3084" s="41" t="s">
        <v>6325</v>
      </c>
      <c r="E3084" s="41" t="s">
        <v>2929</v>
      </c>
      <c r="F3084" s="41" t="s">
        <v>2933</v>
      </c>
      <c r="G3084" s="41" t="s">
        <v>2934</v>
      </c>
    </row>
    <row r="3085" spans="1:7" x14ac:dyDescent="0.25">
      <c r="A3085" s="41" t="s">
        <v>6328</v>
      </c>
      <c r="B3085" s="41" t="s">
        <v>6326</v>
      </c>
      <c r="C3085" s="41" t="s">
        <v>2928</v>
      </c>
      <c r="D3085" s="41" t="s">
        <v>6325</v>
      </c>
      <c r="E3085" s="41" t="s">
        <v>2929</v>
      </c>
      <c r="F3085" s="41" t="s">
        <v>2930</v>
      </c>
      <c r="G3085" s="41" t="s">
        <v>2931</v>
      </c>
    </row>
    <row r="3086" spans="1:7" x14ac:dyDescent="0.25">
      <c r="A3086" s="41" t="s">
        <v>6329</v>
      </c>
      <c r="B3086" s="41" t="s">
        <v>6326</v>
      </c>
      <c r="C3086" s="41" t="s">
        <v>2928</v>
      </c>
      <c r="D3086" s="41" t="s">
        <v>6325</v>
      </c>
      <c r="E3086" s="41" t="s">
        <v>2929</v>
      </c>
      <c r="F3086" s="41" t="s">
        <v>2949</v>
      </c>
      <c r="G3086" s="41" t="s">
        <v>2950</v>
      </c>
    </row>
    <row r="3087" spans="1:7" x14ac:dyDescent="0.25">
      <c r="A3087" s="41" t="s">
        <v>6330</v>
      </c>
      <c r="B3087" s="41" t="s">
        <v>6326</v>
      </c>
      <c r="C3087" s="41" t="s">
        <v>2928</v>
      </c>
      <c r="D3087" s="41" t="s">
        <v>6325</v>
      </c>
      <c r="E3087" s="41" t="s">
        <v>2929</v>
      </c>
      <c r="F3087" s="41" t="s">
        <v>2949</v>
      </c>
      <c r="G3087" s="41" t="s">
        <v>2950</v>
      </c>
    </row>
    <row r="3088" spans="1:7" x14ac:dyDescent="0.25">
      <c r="A3088" s="41" t="s">
        <v>6331</v>
      </c>
      <c r="B3088" s="41" t="s">
        <v>6332</v>
      </c>
      <c r="C3088" s="41" t="s">
        <v>2928</v>
      </c>
      <c r="D3088" s="41" t="s">
        <v>6331</v>
      </c>
      <c r="E3088" s="41" t="s">
        <v>2929</v>
      </c>
      <c r="F3088" s="41" t="s">
        <v>2930</v>
      </c>
      <c r="G3088" s="41" t="s">
        <v>2931</v>
      </c>
    </row>
    <row r="3089" spans="1:7" x14ac:dyDescent="0.25">
      <c r="A3089" s="41" t="s">
        <v>6333</v>
      </c>
      <c r="B3089" s="41" t="s">
        <v>6332</v>
      </c>
      <c r="C3089" s="41" t="s">
        <v>2928</v>
      </c>
      <c r="D3089" s="41" t="s">
        <v>6331</v>
      </c>
      <c r="E3089" s="41" t="s">
        <v>2929</v>
      </c>
      <c r="F3089" s="41" t="s">
        <v>2933</v>
      </c>
      <c r="G3089" s="41" t="s">
        <v>2934</v>
      </c>
    </row>
    <row r="3090" spans="1:7" x14ac:dyDescent="0.25">
      <c r="A3090" s="41" t="s">
        <v>6334</v>
      </c>
      <c r="B3090" s="41" t="s">
        <v>6332</v>
      </c>
      <c r="C3090" s="41" t="s">
        <v>2928</v>
      </c>
      <c r="D3090" s="41" t="s">
        <v>6331</v>
      </c>
      <c r="E3090" s="41" t="s">
        <v>2929</v>
      </c>
      <c r="F3090" s="41" t="s">
        <v>2930</v>
      </c>
      <c r="G3090" s="41" t="s">
        <v>2931</v>
      </c>
    </row>
    <row r="3091" spans="1:7" x14ac:dyDescent="0.25">
      <c r="A3091" s="41" t="s">
        <v>6335</v>
      </c>
      <c r="B3091" s="41" t="s">
        <v>6332</v>
      </c>
      <c r="C3091" s="41" t="s">
        <v>2928</v>
      </c>
      <c r="D3091" s="41" t="s">
        <v>6331</v>
      </c>
      <c r="E3091" s="41" t="s">
        <v>2929</v>
      </c>
      <c r="F3091" s="41" t="s">
        <v>2949</v>
      </c>
      <c r="G3091" s="41" t="s">
        <v>2950</v>
      </c>
    </row>
    <row r="3092" spans="1:7" x14ac:dyDescent="0.25">
      <c r="A3092" s="41" t="s">
        <v>6336</v>
      </c>
      <c r="B3092" s="41" t="s">
        <v>6332</v>
      </c>
      <c r="C3092" s="41" t="s">
        <v>2928</v>
      </c>
      <c r="D3092" s="41" t="s">
        <v>6331</v>
      </c>
      <c r="E3092" s="41" t="s">
        <v>2929</v>
      </c>
      <c r="F3092" s="41" t="s">
        <v>2949</v>
      </c>
      <c r="G3092" s="41" t="s">
        <v>2950</v>
      </c>
    </row>
    <row r="3093" spans="1:7" x14ac:dyDescent="0.25">
      <c r="A3093" s="41" t="s">
        <v>6337</v>
      </c>
      <c r="B3093" s="41" t="s">
        <v>6338</v>
      </c>
      <c r="C3093" s="41" t="s">
        <v>2928</v>
      </c>
      <c r="D3093" s="41" t="s">
        <v>6337</v>
      </c>
      <c r="E3093" s="41" t="s">
        <v>2929</v>
      </c>
      <c r="F3093" s="41" t="s">
        <v>2930</v>
      </c>
      <c r="G3093" s="41" t="s">
        <v>2931</v>
      </c>
    </row>
    <row r="3094" spans="1:7" x14ac:dyDescent="0.25">
      <c r="A3094" s="41" t="s">
        <v>6339</v>
      </c>
      <c r="B3094" s="41" t="s">
        <v>6338</v>
      </c>
      <c r="C3094" s="41" t="s">
        <v>2928</v>
      </c>
      <c r="D3094" s="41" t="s">
        <v>6337</v>
      </c>
      <c r="E3094" s="41" t="s">
        <v>2929</v>
      </c>
      <c r="F3094" s="41" t="s">
        <v>2933</v>
      </c>
      <c r="G3094" s="41" t="s">
        <v>2934</v>
      </c>
    </row>
    <row r="3095" spans="1:7" x14ac:dyDescent="0.25">
      <c r="A3095" s="41" t="s">
        <v>6340</v>
      </c>
      <c r="B3095" s="41" t="s">
        <v>6338</v>
      </c>
      <c r="C3095" s="41" t="s">
        <v>2928</v>
      </c>
      <c r="D3095" s="41" t="s">
        <v>6337</v>
      </c>
      <c r="E3095" s="41" t="s">
        <v>2929</v>
      </c>
      <c r="F3095" s="41" t="s">
        <v>2930</v>
      </c>
      <c r="G3095" s="41" t="s">
        <v>2931</v>
      </c>
    </row>
    <row r="3096" spans="1:7" x14ac:dyDescent="0.25">
      <c r="A3096" s="41" t="s">
        <v>6341</v>
      </c>
      <c r="B3096" s="41" t="s">
        <v>6338</v>
      </c>
      <c r="C3096" s="41" t="s">
        <v>2928</v>
      </c>
      <c r="D3096" s="41" t="s">
        <v>6337</v>
      </c>
      <c r="E3096" s="41" t="s">
        <v>2929</v>
      </c>
      <c r="F3096" s="41" t="s">
        <v>2949</v>
      </c>
      <c r="G3096" s="41" t="s">
        <v>2950</v>
      </c>
    </row>
    <row r="3097" spans="1:7" x14ac:dyDescent="0.25">
      <c r="A3097" s="41" t="s">
        <v>6342</v>
      </c>
      <c r="B3097" s="41" t="s">
        <v>6343</v>
      </c>
      <c r="C3097" s="41" t="s">
        <v>2928</v>
      </c>
      <c r="D3097" s="41" t="s">
        <v>6342</v>
      </c>
      <c r="E3097" s="41" t="s">
        <v>2929</v>
      </c>
      <c r="F3097" s="41" t="s">
        <v>2930</v>
      </c>
      <c r="G3097" s="41" t="s">
        <v>2931</v>
      </c>
    </row>
    <row r="3098" spans="1:7" x14ac:dyDescent="0.25">
      <c r="A3098" s="41" t="s">
        <v>6344</v>
      </c>
      <c r="B3098" s="41" t="s">
        <v>6343</v>
      </c>
      <c r="C3098" s="41" t="s">
        <v>2928</v>
      </c>
      <c r="D3098" s="41" t="s">
        <v>6342</v>
      </c>
      <c r="E3098" s="41" t="s">
        <v>2929</v>
      </c>
      <c r="F3098" s="41" t="s">
        <v>2933</v>
      </c>
      <c r="G3098" s="41" t="s">
        <v>2934</v>
      </c>
    </row>
    <row r="3099" spans="1:7" x14ac:dyDescent="0.25">
      <c r="A3099" s="41" t="s">
        <v>6345</v>
      </c>
      <c r="B3099" s="41" t="s">
        <v>6343</v>
      </c>
      <c r="C3099" s="41" t="s">
        <v>2928</v>
      </c>
      <c r="D3099" s="41" t="s">
        <v>6342</v>
      </c>
      <c r="E3099" s="41" t="s">
        <v>2929</v>
      </c>
      <c r="F3099" s="41" t="s">
        <v>2930</v>
      </c>
      <c r="G3099" s="41" t="s">
        <v>2931</v>
      </c>
    </row>
    <row r="3100" spans="1:7" x14ac:dyDescent="0.25">
      <c r="A3100" s="41" t="s">
        <v>6346</v>
      </c>
      <c r="B3100" s="41" t="s">
        <v>6343</v>
      </c>
      <c r="C3100" s="41" t="s">
        <v>2928</v>
      </c>
      <c r="D3100" s="41" t="s">
        <v>6342</v>
      </c>
      <c r="E3100" s="41" t="s">
        <v>2929</v>
      </c>
      <c r="F3100" s="41" t="s">
        <v>2949</v>
      </c>
      <c r="G3100" s="41" t="s">
        <v>2950</v>
      </c>
    </row>
    <row r="3101" spans="1:7" x14ac:dyDescent="0.25">
      <c r="A3101" s="41" t="s">
        <v>6347</v>
      </c>
      <c r="B3101" s="41" t="s">
        <v>6348</v>
      </c>
      <c r="C3101" s="41" t="s">
        <v>2928</v>
      </c>
      <c r="D3101" s="41" t="s">
        <v>6347</v>
      </c>
      <c r="E3101" s="41" t="s">
        <v>2929</v>
      </c>
      <c r="F3101" s="41" t="s">
        <v>2930</v>
      </c>
      <c r="G3101" s="41" t="s">
        <v>2931</v>
      </c>
    </row>
    <row r="3102" spans="1:7" x14ac:dyDescent="0.25">
      <c r="A3102" s="41" t="s">
        <v>6349</v>
      </c>
      <c r="B3102" s="41" t="s">
        <v>6348</v>
      </c>
      <c r="C3102" s="41" t="s">
        <v>2928</v>
      </c>
      <c r="D3102" s="41" t="s">
        <v>6347</v>
      </c>
      <c r="E3102" s="41" t="s">
        <v>2929</v>
      </c>
      <c r="F3102" s="41" t="s">
        <v>2933</v>
      </c>
      <c r="G3102" s="41" t="s">
        <v>2934</v>
      </c>
    </row>
    <row r="3103" spans="1:7" x14ac:dyDescent="0.25">
      <c r="A3103" s="41" t="s">
        <v>6350</v>
      </c>
      <c r="B3103" s="41" t="s">
        <v>6348</v>
      </c>
      <c r="C3103" s="41" t="s">
        <v>2928</v>
      </c>
      <c r="D3103" s="41" t="s">
        <v>6347</v>
      </c>
      <c r="E3103" s="41" t="s">
        <v>2929</v>
      </c>
      <c r="F3103" s="41" t="s">
        <v>2930</v>
      </c>
      <c r="G3103" s="41" t="s">
        <v>2931</v>
      </c>
    </row>
    <row r="3104" spans="1:7" x14ac:dyDescent="0.25">
      <c r="A3104" s="41" t="s">
        <v>6351</v>
      </c>
      <c r="B3104" s="41" t="s">
        <v>6348</v>
      </c>
      <c r="C3104" s="41" t="s">
        <v>2928</v>
      </c>
      <c r="D3104" s="41" t="s">
        <v>6347</v>
      </c>
      <c r="E3104" s="41" t="s">
        <v>2929</v>
      </c>
      <c r="F3104" s="41" t="s">
        <v>2949</v>
      </c>
      <c r="G3104" s="41" t="s">
        <v>2950</v>
      </c>
    </row>
    <row r="3105" spans="1:7" x14ac:dyDescent="0.25">
      <c r="A3105" s="41" t="s">
        <v>6352</v>
      </c>
      <c r="B3105" s="41" t="s">
        <v>6353</v>
      </c>
      <c r="C3105" s="41" t="s">
        <v>2928</v>
      </c>
      <c r="D3105" s="41" t="s">
        <v>6352</v>
      </c>
      <c r="E3105" s="41" t="s">
        <v>2929</v>
      </c>
      <c r="F3105" s="41" t="s">
        <v>2930</v>
      </c>
      <c r="G3105" s="41" t="s">
        <v>2931</v>
      </c>
    </row>
    <row r="3106" spans="1:7" x14ac:dyDescent="0.25">
      <c r="A3106" s="41" t="s">
        <v>6354</v>
      </c>
      <c r="B3106" s="41" t="s">
        <v>6353</v>
      </c>
      <c r="C3106" s="41" t="s">
        <v>2928</v>
      </c>
      <c r="D3106" s="41" t="s">
        <v>6352</v>
      </c>
      <c r="E3106" s="41" t="s">
        <v>2929</v>
      </c>
      <c r="F3106" s="41" t="s">
        <v>2933</v>
      </c>
      <c r="G3106" s="41" t="s">
        <v>2934</v>
      </c>
    </row>
    <row r="3107" spans="1:7" x14ac:dyDescent="0.25">
      <c r="A3107" s="41" t="s">
        <v>6355</v>
      </c>
      <c r="B3107" s="41" t="s">
        <v>6353</v>
      </c>
      <c r="C3107" s="41" t="s">
        <v>2928</v>
      </c>
      <c r="D3107" s="41" t="s">
        <v>6352</v>
      </c>
      <c r="E3107" s="41" t="s">
        <v>2929</v>
      </c>
      <c r="F3107" s="41" t="s">
        <v>2930</v>
      </c>
      <c r="G3107" s="41" t="s">
        <v>2931</v>
      </c>
    </row>
    <row r="3108" spans="1:7" x14ac:dyDescent="0.25">
      <c r="A3108" s="41" t="s">
        <v>6356</v>
      </c>
      <c r="B3108" s="41" t="s">
        <v>6353</v>
      </c>
      <c r="C3108" s="41" t="s">
        <v>2928</v>
      </c>
      <c r="D3108" s="41" t="s">
        <v>6352</v>
      </c>
      <c r="E3108" s="41" t="s">
        <v>2929</v>
      </c>
      <c r="F3108" s="41" t="s">
        <v>2949</v>
      </c>
      <c r="G3108" s="41" t="s">
        <v>2950</v>
      </c>
    </row>
    <row r="3109" spans="1:7" x14ac:dyDescent="0.25">
      <c r="A3109" s="41" t="s">
        <v>6357</v>
      </c>
      <c r="B3109" s="41" t="s">
        <v>6358</v>
      </c>
      <c r="C3109" s="41" t="s">
        <v>2928</v>
      </c>
      <c r="D3109" s="41" t="s">
        <v>6357</v>
      </c>
      <c r="E3109" s="41" t="s">
        <v>2929</v>
      </c>
      <c r="F3109" s="41" t="s">
        <v>2930</v>
      </c>
      <c r="G3109" s="41" t="s">
        <v>2931</v>
      </c>
    </row>
    <row r="3110" spans="1:7" x14ac:dyDescent="0.25">
      <c r="A3110" s="41" t="s">
        <v>6359</v>
      </c>
      <c r="B3110" s="41" t="s">
        <v>6358</v>
      </c>
      <c r="C3110" s="41" t="s">
        <v>2928</v>
      </c>
      <c r="D3110" s="41" t="s">
        <v>6357</v>
      </c>
      <c r="E3110" s="41" t="s">
        <v>2929</v>
      </c>
      <c r="F3110" s="41" t="s">
        <v>2933</v>
      </c>
      <c r="G3110" s="41" t="s">
        <v>2934</v>
      </c>
    </row>
    <row r="3111" spans="1:7" x14ac:dyDescent="0.25">
      <c r="A3111" s="41" t="s">
        <v>6360</v>
      </c>
      <c r="B3111" s="41" t="s">
        <v>6358</v>
      </c>
      <c r="C3111" s="41" t="s">
        <v>2928</v>
      </c>
      <c r="D3111" s="41" t="s">
        <v>6357</v>
      </c>
      <c r="E3111" s="41" t="s">
        <v>2929</v>
      </c>
      <c r="F3111" s="41" t="s">
        <v>2933</v>
      </c>
      <c r="G3111" s="41" t="s">
        <v>2934</v>
      </c>
    </row>
    <row r="3112" spans="1:7" x14ac:dyDescent="0.25">
      <c r="A3112" s="41" t="s">
        <v>6361</v>
      </c>
      <c r="B3112" s="41" t="s">
        <v>6358</v>
      </c>
      <c r="C3112" s="41" t="s">
        <v>2928</v>
      </c>
      <c r="D3112" s="41" t="s">
        <v>6357</v>
      </c>
      <c r="E3112" s="41" t="s">
        <v>2929</v>
      </c>
      <c r="F3112" s="41" t="s">
        <v>2930</v>
      </c>
      <c r="G3112" s="41" t="s">
        <v>2931</v>
      </c>
    </row>
    <row r="3113" spans="1:7" x14ac:dyDescent="0.25">
      <c r="A3113" s="41" t="s">
        <v>6362</v>
      </c>
      <c r="B3113" s="41" t="s">
        <v>6358</v>
      </c>
      <c r="C3113" s="41" t="s">
        <v>2928</v>
      </c>
      <c r="D3113" s="41" t="s">
        <v>6357</v>
      </c>
      <c r="E3113" s="41" t="s">
        <v>2929</v>
      </c>
      <c r="F3113" s="41" t="s">
        <v>2949</v>
      </c>
      <c r="G3113" s="41" t="s">
        <v>2950</v>
      </c>
    </row>
    <row r="3114" spans="1:7" x14ac:dyDescent="0.25">
      <c r="A3114" s="41" t="s">
        <v>6363</v>
      </c>
      <c r="B3114" s="41" t="s">
        <v>6358</v>
      </c>
      <c r="C3114" s="41" t="s">
        <v>2928</v>
      </c>
      <c r="D3114" s="41" t="s">
        <v>6357</v>
      </c>
      <c r="E3114" s="41" t="s">
        <v>2929</v>
      </c>
      <c r="F3114" s="41" t="s">
        <v>2949</v>
      </c>
      <c r="G3114" s="41" t="s">
        <v>2950</v>
      </c>
    </row>
    <row r="3115" spans="1:7" x14ac:dyDescent="0.25">
      <c r="A3115" s="41" t="s">
        <v>6364</v>
      </c>
      <c r="B3115" s="41" t="s">
        <v>6365</v>
      </c>
      <c r="C3115" s="41" t="s">
        <v>2928</v>
      </c>
      <c r="D3115" s="41" t="s">
        <v>6364</v>
      </c>
      <c r="E3115" s="41" t="s">
        <v>2929</v>
      </c>
      <c r="F3115" s="41" t="s">
        <v>2930</v>
      </c>
      <c r="G3115" s="41" t="s">
        <v>2931</v>
      </c>
    </row>
    <row r="3116" spans="1:7" x14ac:dyDescent="0.25">
      <c r="A3116" s="41" t="s">
        <v>6366</v>
      </c>
      <c r="B3116" s="41" t="s">
        <v>6365</v>
      </c>
      <c r="C3116" s="41" t="s">
        <v>2928</v>
      </c>
      <c r="D3116" s="41" t="s">
        <v>6364</v>
      </c>
      <c r="E3116" s="41" t="s">
        <v>2929</v>
      </c>
      <c r="F3116" s="41" t="s">
        <v>2933</v>
      </c>
      <c r="G3116" s="41" t="s">
        <v>2934</v>
      </c>
    </row>
    <row r="3117" spans="1:7" x14ac:dyDescent="0.25">
      <c r="A3117" s="41" t="s">
        <v>6367</v>
      </c>
      <c r="B3117" s="41" t="s">
        <v>6365</v>
      </c>
      <c r="C3117" s="41" t="s">
        <v>2928</v>
      </c>
      <c r="D3117" s="41" t="s">
        <v>6364</v>
      </c>
      <c r="E3117" s="41" t="s">
        <v>2929</v>
      </c>
      <c r="F3117" s="41" t="s">
        <v>2933</v>
      </c>
      <c r="G3117" s="41" t="s">
        <v>2934</v>
      </c>
    </row>
    <row r="3118" spans="1:7" x14ac:dyDescent="0.25">
      <c r="A3118" s="41" t="s">
        <v>6368</v>
      </c>
      <c r="B3118" s="41" t="s">
        <v>6365</v>
      </c>
      <c r="C3118" s="41" t="s">
        <v>2928</v>
      </c>
      <c r="D3118" s="41" t="s">
        <v>6364</v>
      </c>
      <c r="E3118" s="41" t="s">
        <v>2929</v>
      </c>
      <c r="F3118" s="41" t="s">
        <v>2930</v>
      </c>
      <c r="G3118" s="41" t="s">
        <v>2931</v>
      </c>
    </row>
    <row r="3119" spans="1:7" x14ac:dyDescent="0.25">
      <c r="A3119" s="41" t="s">
        <v>6369</v>
      </c>
      <c r="B3119" s="41" t="s">
        <v>6365</v>
      </c>
      <c r="C3119" s="41" t="s">
        <v>2928</v>
      </c>
      <c r="D3119" s="41" t="s">
        <v>6364</v>
      </c>
      <c r="E3119" s="41" t="s">
        <v>2929</v>
      </c>
      <c r="F3119" s="41" t="s">
        <v>2949</v>
      </c>
      <c r="G3119" s="41" t="s">
        <v>2950</v>
      </c>
    </row>
    <row r="3120" spans="1:7" x14ac:dyDescent="0.25">
      <c r="A3120" s="41" t="s">
        <v>6370</v>
      </c>
      <c r="B3120" s="41" t="s">
        <v>6365</v>
      </c>
      <c r="C3120" s="41" t="s">
        <v>2928</v>
      </c>
      <c r="D3120" s="41" t="s">
        <v>6364</v>
      </c>
      <c r="E3120" s="41" t="s">
        <v>2929</v>
      </c>
      <c r="F3120" s="41" t="s">
        <v>2949</v>
      </c>
      <c r="G3120" s="41" t="s">
        <v>2950</v>
      </c>
    </row>
    <row r="3121" spans="1:7" x14ac:dyDescent="0.25">
      <c r="A3121" s="41" t="s">
        <v>6371</v>
      </c>
      <c r="B3121" s="41" t="s">
        <v>6372</v>
      </c>
      <c r="C3121" s="41" t="s">
        <v>2928</v>
      </c>
      <c r="D3121" s="41" t="s">
        <v>6371</v>
      </c>
      <c r="E3121" s="41" t="s">
        <v>2929</v>
      </c>
      <c r="F3121" s="41" t="s">
        <v>2930</v>
      </c>
      <c r="G3121" s="41" t="s">
        <v>2931</v>
      </c>
    </row>
    <row r="3122" spans="1:7" x14ac:dyDescent="0.25">
      <c r="A3122" s="41" t="s">
        <v>6373</v>
      </c>
      <c r="B3122" s="41" t="s">
        <v>6372</v>
      </c>
      <c r="C3122" s="41" t="s">
        <v>2928</v>
      </c>
      <c r="D3122" s="41" t="s">
        <v>6371</v>
      </c>
      <c r="E3122" s="41" t="s">
        <v>2929</v>
      </c>
      <c r="F3122" s="41" t="s">
        <v>2933</v>
      </c>
      <c r="G3122" s="41" t="s">
        <v>2934</v>
      </c>
    </row>
    <row r="3123" spans="1:7" x14ac:dyDescent="0.25">
      <c r="A3123" s="41" t="s">
        <v>6374</v>
      </c>
      <c r="B3123" s="41" t="s">
        <v>6372</v>
      </c>
      <c r="C3123" s="41" t="s">
        <v>2928</v>
      </c>
      <c r="D3123" s="41" t="s">
        <v>6371</v>
      </c>
      <c r="E3123" s="41" t="s">
        <v>2929</v>
      </c>
      <c r="F3123" s="41" t="s">
        <v>2930</v>
      </c>
      <c r="G3123" s="41" t="s">
        <v>2931</v>
      </c>
    </row>
    <row r="3124" spans="1:7" x14ac:dyDescent="0.25">
      <c r="A3124" s="41" t="s">
        <v>6375</v>
      </c>
      <c r="B3124" s="41" t="s">
        <v>6372</v>
      </c>
      <c r="C3124" s="41" t="s">
        <v>2928</v>
      </c>
      <c r="D3124" s="41" t="s">
        <v>6371</v>
      </c>
      <c r="E3124" s="41" t="s">
        <v>2929</v>
      </c>
      <c r="F3124" s="41" t="s">
        <v>2949</v>
      </c>
      <c r="G3124" s="41" t="s">
        <v>2950</v>
      </c>
    </row>
    <row r="3125" spans="1:7" x14ac:dyDescent="0.25">
      <c r="A3125" s="41" t="s">
        <v>6376</v>
      </c>
      <c r="B3125" s="41" t="s">
        <v>6377</v>
      </c>
      <c r="C3125" s="41" t="s">
        <v>2928</v>
      </c>
      <c r="D3125" s="41" t="s">
        <v>6376</v>
      </c>
      <c r="E3125" s="41" t="s">
        <v>2929</v>
      </c>
      <c r="F3125" s="41" t="s">
        <v>2930</v>
      </c>
      <c r="G3125" s="41" t="s">
        <v>2931</v>
      </c>
    </row>
    <row r="3126" spans="1:7" x14ac:dyDescent="0.25">
      <c r="A3126" s="41" t="s">
        <v>6378</v>
      </c>
      <c r="B3126" s="41" t="s">
        <v>6377</v>
      </c>
      <c r="C3126" s="41" t="s">
        <v>2928</v>
      </c>
      <c r="D3126" s="41" t="s">
        <v>6376</v>
      </c>
      <c r="E3126" s="41" t="s">
        <v>2929</v>
      </c>
      <c r="F3126" s="41" t="s">
        <v>2933</v>
      </c>
      <c r="G3126" s="41" t="s">
        <v>2934</v>
      </c>
    </row>
    <row r="3127" spans="1:7" x14ac:dyDescent="0.25">
      <c r="A3127" s="41" t="s">
        <v>6379</v>
      </c>
      <c r="B3127" s="41" t="s">
        <v>6377</v>
      </c>
      <c r="C3127" s="41" t="s">
        <v>2928</v>
      </c>
      <c r="D3127" s="41" t="s">
        <v>6376</v>
      </c>
      <c r="E3127" s="41" t="s">
        <v>2929</v>
      </c>
      <c r="F3127" s="41" t="s">
        <v>2930</v>
      </c>
      <c r="G3127" s="41" t="s">
        <v>2931</v>
      </c>
    </row>
    <row r="3128" spans="1:7" x14ac:dyDescent="0.25">
      <c r="A3128" s="41" t="s">
        <v>6380</v>
      </c>
      <c r="B3128" s="41" t="s">
        <v>6377</v>
      </c>
      <c r="C3128" s="41" t="s">
        <v>2928</v>
      </c>
      <c r="D3128" s="41" t="s">
        <v>6376</v>
      </c>
      <c r="E3128" s="41" t="s">
        <v>2929</v>
      </c>
      <c r="F3128" s="41" t="s">
        <v>2949</v>
      </c>
      <c r="G3128" s="41" t="s">
        <v>2950</v>
      </c>
    </row>
    <row r="3129" spans="1:7" x14ac:dyDescent="0.25">
      <c r="A3129" s="41" t="s">
        <v>6381</v>
      </c>
      <c r="B3129" s="41" t="s">
        <v>6382</v>
      </c>
      <c r="C3129" s="41" t="s">
        <v>2928</v>
      </c>
      <c r="D3129" s="41" t="s">
        <v>6381</v>
      </c>
      <c r="E3129" s="41" t="s">
        <v>2929</v>
      </c>
      <c r="F3129" s="41" t="s">
        <v>2930</v>
      </c>
      <c r="G3129" s="41" t="s">
        <v>2931</v>
      </c>
    </row>
    <row r="3130" spans="1:7" x14ac:dyDescent="0.25">
      <c r="A3130" s="41" t="s">
        <v>6383</v>
      </c>
      <c r="B3130" s="41" t="s">
        <v>6382</v>
      </c>
      <c r="C3130" s="41" t="s">
        <v>2928</v>
      </c>
      <c r="D3130" s="41" t="s">
        <v>6381</v>
      </c>
      <c r="E3130" s="41" t="s">
        <v>2929</v>
      </c>
      <c r="F3130" s="41" t="s">
        <v>2933</v>
      </c>
      <c r="G3130" s="41" t="s">
        <v>2934</v>
      </c>
    </row>
    <row r="3131" spans="1:7" x14ac:dyDescent="0.25">
      <c r="A3131" s="41" t="s">
        <v>6384</v>
      </c>
      <c r="B3131" s="41" t="s">
        <v>6382</v>
      </c>
      <c r="C3131" s="41" t="s">
        <v>2928</v>
      </c>
      <c r="D3131" s="41" t="s">
        <v>6381</v>
      </c>
      <c r="E3131" s="41" t="s">
        <v>2929</v>
      </c>
      <c r="F3131" s="41" t="s">
        <v>2930</v>
      </c>
      <c r="G3131" s="41" t="s">
        <v>2931</v>
      </c>
    </row>
    <row r="3132" spans="1:7" x14ac:dyDescent="0.25">
      <c r="A3132" s="41" t="s">
        <v>6385</v>
      </c>
      <c r="B3132" s="41" t="s">
        <v>6382</v>
      </c>
      <c r="C3132" s="41" t="s">
        <v>2928</v>
      </c>
      <c r="D3132" s="41" t="s">
        <v>6381</v>
      </c>
      <c r="E3132" s="41" t="s">
        <v>2929</v>
      </c>
      <c r="F3132" s="41" t="s">
        <v>2949</v>
      </c>
      <c r="G3132" s="41" t="s">
        <v>2950</v>
      </c>
    </row>
    <row r="3133" spans="1:7" x14ac:dyDescent="0.25">
      <c r="A3133" s="41" t="s">
        <v>6386</v>
      </c>
      <c r="B3133" s="41" t="s">
        <v>6387</v>
      </c>
      <c r="C3133" s="41" t="s">
        <v>2928</v>
      </c>
      <c r="D3133" s="41" t="s">
        <v>6386</v>
      </c>
      <c r="E3133" s="41" t="s">
        <v>2929</v>
      </c>
      <c r="F3133" s="41" t="s">
        <v>2930</v>
      </c>
      <c r="G3133" s="41" t="s">
        <v>2931</v>
      </c>
    </row>
    <row r="3134" spans="1:7" x14ac:dyDescent="0.25">
      <c r="A3134" s="41" t="s">
        <v>6388</v>
      </c>
      <c r="B3134" s="41" t="s">
        <v>6387</v>
      </c>
      <c r="C3134" s="41" t="s">
        <v>2928</v>
      </c>
      <c r="D3134" s="41" t="s">
        <v>6386</v>
      </c>
      <c r="E3134" s="41" t="s">
        <v>2929</v>
      </c>
      <c r="F3134" s="41" t="s">
        <v>2933</v>
      </c>
      <c r="G3134" s="41" t="s">
        <v>2934</v>
      </c>
    </row>
    <row r="3135" spans="1:7" x14ac:dyDescent="0.25">
      <c r="A3135" s="41" t="s">
        <v>6389</v>
      </c>
      <c r="B3135" s="41" t="s">
        <v>6387</v>
      </c>
      <c r="C3135" s="41" t="s">
        <v>2928</v>
      </c>
      <c r="D3135" s="41" t="s">
        <v>6386</v>
      </c>
      <c r="E3135" s="41" t="s">
        <v>2929</v>
      </c>
      <c r="F3135" s="41" t="s">
        <v>2930</v>
      </c>
      <c r="G3135" s="41" t="s">
        <v>2931</v>
      </c>
    </row>
    <row r="3136" spans="1:7" x14ac:dyDescent="0.25">
      <c r="A3136" s="41" t="s">
        <v>6390</v>
      </c>
      <c r="B3136" s="41" t="s">
        <v>6387</v>
      </c>
      <c r="C3136" s="41" t="s">
        <v>2928</v>
      </c>
      <c r="D3136" s="41" t="s">
        <v>6386</v>
      </c>
      <c r="E3136" s="41" t="s">
        <v>2929</v>
      </c>
      <c r="F3136" s="41" t="s">
        <v>2949</v>
      </c>
      <c r="G3136" s="41" t="s">
        <v>2950</v>
      </c>
    </row>
    <row r="3137" spans="1:7" x14ac:dyDescent="0.25">
      <c r="A3137" s="41" t="s">
        <v>6391</v>
      </c>
      <c r="B3137" s="41" t="s">
        <v>6392</v>
      </c>
      <c r="C3137" s="41" t="s">
        <v>2928</v>
      </c>
      <c r="D3137" s="41" t="s">
        <v>6391</v>
      </c>
      <c r="E3137" s="41" t="s">
        <v>2929</v>
      </c>
      <c r="F3137" s="41" t="s">
        <v>2930</v>
      </c>
      <c r="G3137" s="41" t="s">
        <v>2931</v>
      </c>
    </row>
    <row r="3138" spans="1:7" x14ac:dyDescent="0.25">
      <c r="A3138" s="41" t="s">
        <v>6393</v>
      </c>
      <c r="B3138" s="41" t="s">
        <v>6392</v>
      </c>
      <c r="C3138" s="41" t="s">
        <v>2928</v>
      </c>
      <c r="D3138" s="41" t="s">
        <v>6391</v>
      </c>
      <c r="E3138" s="41" t="s">
        <v>2929</v>
      </c>
      <c r="F3138" s="41" t="s">
        <v>2933</v>
      </c>
      <c r="G3138" s="41" t="s">
        <v>2934</v>
      </c>
    </row>
    <row r="3139" spans="1:7" x14ac:dyDescent="0.25">
      <c r="A3139" s="41" t="s">
        <v>6394</v>
      </c>
      <c r="B3139" s="41" t="s">
        <v>6392</v>
      </c>
      <c r="C3139" s="41" t="s">
        <v>2928</v>
      </c>
      <c r="D3139" s="41" t="s">
        <v>6391</v>
      </c>
      <c r="E3139" s="41" t="s">
        <v>2929</v>
      </c>
      <c r="F3139" s="41" t="s">
        <v>2930</v>
      </c>
      <c r="G3139" s="41" t="s">
        <v>2931</v>
      </c>
    </row>
    <row r="3140" spans="1:7" x14ac:dyDescent="0.25">
      <c r="A3140" s="41" t="s">
        <v>6395</v>
      </c>
      <c r="B3140" s="41" t="s">
        <v>6392</v>
      </c>
      <c r="C3140" s="41" t="s">
        <v>2928</v>
      </c>
      <c r="D3140" s="41" t="s">
        <v>6391</v>
      </c>
      <c r="E3140" s="41" t="s">
        <v>2929</v>
      </c>
      <c r="F3140" s="41" t="s">
        <v>2949</v>
      </c>
      <c r="G3140" s="41" t="s">
        <v>2950</v>
      </c>
    </row>
    <row r="3141" spans="1:7" x14ac:dyDescent="0.25">
      <c r="A3141" s="41" t="s">
        <v>6396</v>
      </c>
      <c r="B3141" s="41" t="s">
        <v>6397</v>
      </c>
      <c r="C3141" s="41" t="s">
        <v>2928</v>
      </c>
      <c r="D3141" s="41" t="s">
        <v>6396</v>
      </c>
      <c r="E3141" s="41" t="s">
        <v>2929</v>
      </c>
      <c r="F3141" s="41" t="s">
        <v>2930</v>
      </c>
      <c r="G3141" s="41" t="s">
        <v>2931</v>
      </c>
    </row>
    <row r="3142" spans="1:7" x14ac:dyDescent="0.25">
      <c r="A3142" s="41" t="s">
        <v>6398</v>
      </c>
      <c r="B3142" s="41" t="s">
        <v>6397</v>
      </c>
      <c r="C3142" s="41" t="s">
        <v>2928</v>
      </c>
      <c r="D3142" s="41" t="s">
        <v>6396</v>
      </c>
      <c r="E3142" s="41" t="s">
        <v>2929</v>
      </c>
      <c r="F3142" s="41" t="s">
        <v>2933</v>
      </c>
      <c r="G3142" s="41" t="s">
        <v>2934</v>
      </c>
    </row>
    <row r="3143" spans="1:7" x14ac:dyDescent="0.25">
      <c r="A3143" s="41" t="s">
        <v>6399</v>
      </c>
      <c r="B3143" s="41" t="s">
        <v>6397</v>
      </c>
      <c r="C3143" s="41" t="s">
        <v>2928</v>
      </c>
      <c r="D3143" s="41" t="s">
        <v>6396</v>
      </c>
      <c r="E3143" s="41" t="s">
        <v>2929</v>
      </c>
      <c r="F3143" s="41" t="s">
        <v>2930</v>
      </c>
      <c r="G3143" s="41" t="s">
        <v>2931</v>
      </c>
    </row>
    <row r="3144" spans="1:7" x14ac:dyDescent="0.25">
      <c r="A3144" s="41" t="s">
        <v>6400</v>
      </c>
      <c r="B3144" s="41" t="s">
        <v>6397</v>
      </c>
      <c r="C3144" s="41" t="s">
        <v>2928</v>
      </c>
      <c r="D3144" s="41" t="s">
        <v>6396</v>
      </c>
      <c r="E3144" s="41" t="s">
        <v>2929</v>
      </c>
      <c r="F3144" s="41" t="s">
        <v>2949</v>
      </c>
      <c r="G3144" s="41" t="s">
        <v>2950</v>
      </c>
    </row>
    <row r="3145" spans="1:7" x14ac:dyDescent="0.25">
      <c r="A3145" s="41" t="s">
        <v>6401</v>
      </c>
      <c r="B3145" s="41" t="s">
        <v>6402</v>
      </c>
      <c r="C3145" s="41" t="s">
        <v>2928</v>
      </c>
      <c r="D3145" s="41" t="s">
        <v>6401</v>
      </c>
      <c r="E3145" s="41" t="s">
        <v>2929</v>
      </c>
      <c r="F3145" s="41" t="s">
        <v>2930</v>
      </c>
      <c r="G3145" s="41" t="s">
        <v>2931</v>
      </c>
    </row>
    <row r="3146" spans="1:7" x14ac:dyDescent="0.25">
      <c r="A3146" s="41" t="s">
        <v>6403</v>
      </c>
      <c r="B3146" s="41" t="s">
        <v>6402</v>
      </c>
      <c r="C3146" s="41" t="s">
        <v>2928</v>
      </c>
      <c r="D3146" s="41" t="s">
        <v>6401</v>
      </c>
      <c r="E3146" s="41" t="s">
        <v>2929</v>
      </c>
      <c r="F3146" s="41" t="s">
        <v>2933</v>
      </c>
      <c r="G3146" s="41" t="s">
        <v>2934</v>
      </c>
    </row>
    <row r="3147" spans="1:7" x14ac:dyDescent="0.25">
      <c r="A3147" s="41" t="s">
        <v>6404</v>
      </c>
      <c r="B3147" s="41" t="s">
        <v>6402</v>
      </c>
      <c r="C3147" s="41" t="s">
        <v>2928</v>
      </c>
      <c r="D3147" s="41" t="s">
        <v>6401</v>
      </c>
      <c r="E3147" s="41" t="s">
        <v>2929</v>
      </c>
      <c r="F3147" s="41" t="s">
        <v>2930</v>
      </c>
      <c r="G3147" s="41" t="s">
        <v>2931</v>
      </c>
    </row>
    <row r="3148" spans="1:7" x14ac:dyDescent="0.25">
      <c r="A3148" s="41" t="s">
        <v>6405</v>
      </c>
      <c r="B3148" s="41" t="s">
        <v>6402</v>
      </c>
      <c r="C3148" s="41" t="s">
        <v>2928</v>
      </c>
      <c r="D3148" s="41" t="s">
        <v>6401</v>
      </c>
      <c r="E3148" s="41" t="s">
        <v>2929</v>
      </c>
      <c r="F3148" s="41" t="s">
        <v>2949</v>
      </c>
      <c r="G3148" s="41" t="s">
        <v>2950</v>
      </c>
    </row>
    <row r="3149" spans="1:7" x14ac:dyDescent="0.25">
      <c r="A3149" s="41" t="s">
        <v>6406</v>
      </c>
      <c r="B3149" s="41" t="s">
        <v>6407</v>
      </c>
      <c r="C3149" s="41" t="s">
        <v>2928</v>
      </c>
      <c r="D3149" s="41" t="s">
        <v>6406</v>
      </c>
      <c r="E3149" s="41" t="s">
        <v>2929</v>
      </c>
      <c r="F3149" s="41" t="s">
        <v>2930</v>
      </c>
      <c r="G3149" s="41" t="s">
        <v>2931</v>
      </c>
    </row>
    <row r="3150" spans="1:7" x14ac:dyDescent="0.25">
      <c r="A3150" s="41" t="s">
        <v>6408</v>
      </c>
      <c r="B3150" s="41" t="s">
        <v>6407</v>
      </c>
      <c r="C3150" s="41" t="s">
        <v>2928</v>
      </c>
      <c r="D3150" s="41" t="s">
        <v>6406</v>
      </c>
      <c r="E3150" s="41" t="s">
        <v>2929</v>
      </c>
      <c r="F3150" s="41" t="s">
        <v>2933</v>
      </c>
      <c r="G3150" s="41" t="s">
        <v>2934</v>
      </c>
    </row>
    <row r="3151" spans="1:7" x14ac:dyDescent="0.25">
      <c r="A3151" s="41" t="s">
        <v>6409</v>
      </c>
      <c r="B3151" s="41" t="s">
        <v>6407</v>
      </c>
      <c r="C3151" s="41" t="s">
        <v>2928</v>
      </c>
      <c r="D3151" s="41" t="s">
        <v>6406</v>
      </c>
      <c r="E3151" s="41" t="s">
        <v>2929</v>
      </c>
      <c r="F3151" s="41" t="s">
        <v>2930</v>
      </c>
      <c r="G3151" s="41" t="s">
        <v>2931</v>
      </c>
    </row>
    <row r="3152" spans="1:7" x14ac:dyDescent="0.25">
      <c r="A3152" s="41" t="s">
        <v>6410</v>
      </c>
      <c r="B3152" s="41" t="s">
        <v>6407</v>
      </c>
      <c r="C3152" s="41" t="s">
        <v>2928</v>
      </c>
      <c r="D3152" s="41" t="s">
        <v>6406</v>
      </c>
      <c r="E3152" s="41" t="s">
        <v>2929</v>
      </c>
      <c r="F3152" s="41" t="s">
        <v>2949</v>
      </c>
      <c r="G3152" s="41" t="s">
        <v>2950</v>
      </c>
    </row>
    <row r="3153" spans="1:7" x14ac:dyDescent="0.25">
      <c r="A3153" s="41" t="s">
        <v>6411</v>
      </c>
      <c r="B3153" s="41" t="s">
        <v>6412</v>
      </c>
      <c r="C3153" s="41" t="s">
        <v>2928</v>
      </c>
      <c r="D3153" s="41" t="s">
        <v>6411</v>
      </c>
      <c r="E3153" s="41" t="s">
        <v>2929</v>
      </c>
      <c r="F3153" s="41" t="s">
        <v>2930</v>
      </c>
      <c r="G3153" s="41" t="s">
        <v>2931</v>
      </c>
    </row>
    <row r="3154" spans="1:7" x14ac:dyDescent="0.25">
      <c r="A3154" s="41" t="s">
        <v>6413</v>
      </c>
      <c r="B3154" s="41" t="s">
        <v>6412</v>
      </c>
      <c r="C3154" s="41" t="s">
        <v>2928</v>
      </c>
      <c r="D3154" s="41" t="s">
        <v>6411</v>
      </c>
      <c r="E3154" s="41" t="s">
        <v>2929</v>
      </c>
      <c r="F3154" s="41" t="s">
        <v>2933</v>
      </c>
      <c r="G3154" s="41" t="s">
        <v>2934</v>
      </c>
    </row>
    <row r="3155" spans="1:7" x14ac:dyDescent="0.25">
      <c r="A3155" s="41" t="s">
        <v>6414</v>
      </c>
      <c r="B3155" s="41" t="s">
        <v>6412</v>
      </c>
      <c r="C3155" s="41" t="s">
        <v>2928</v>
      </c>
      <c r="D3155" s="41" t="s">
        <v>6411</v>
      </c>
      <c r="E3155" s="41" t="s">
        <v>2929</v>
      </c>
      <c r="F3155" s="41" t="s">
        <v>2933</v>
      </c>
      <c r="G3155" s="41" t="s">
        <v>2934</v>
      </c>
    </row>
    <row r="3156" spans="1:7" x14ac:dyDescent="0.25">
      <c r="A3156" s="41" t="s">
        <v>6415</v>
      </c>
      <c r="B3156" s="41" t="s">
        <v>6412</v>
      </c>
      <c r="C3156" s="41" t="s">
        <v>2928</v>
      </c>
      <c r="D3156" s="41" t="s">
        <v>6411</v>
      </c>
      <c r="E3156" s="41" t="s">
        <v>2929</v>
      </c>
      <c r="F3156" s="41" t="s">
        <v>2930</v>
      </c>
      <c r="G3156" s="41" t="s">
        <v>2931</v>
      </c>
    </row>
    <row r="3157" spans="1:7" x14ac:dyDescent="0.25">
      <c r="A3157" s="41" t="s">
        <v>6416</v>
      </c>
      <c r="B3157" s="41" t="s">
        <v>6412</v>
      </c>
      <c r="C3157" s="41" t="s">
        <v>2928</v>
      </c>
      <c r="D3157" s="41" t="s">
        <v>6411</v>
      </c>
      <c r="E3157" s="41" t="s">
        <v>2929</v>
      </c>
      <c r="F3157" s="41" t="s">
        <v>2949</v>
      </c>
      <c r="G3157" s="41" t="s">
        <v>2950</v>
      </c>
    </row>
    <row r="3158" spans="1:7" x14ac:dyDescent="0.25">
      <c r="A3158" s="41" t="s">
        <v>6417</v>
      </c>
      <c r="B3158" s="41" t="s">
        <v>6412</v>
      </c>
      <c r="C3158" s="41" t="s">
        <v>2928</v>
      </c>
      <c r="D3158" s="41" t="s">
        <v>6411</v>
      </c>
      <c r="E3158" s="41" t="s">
        <v>2929</v>
      </c>
      <c r="F3158" s="41" t="s">
        <v>2949</v>
      </c>
      <c r="G3158" s="41" t="s">
        <v>2950</v>
      </c>
    </row>
    <row r="3159" spans="1:7" x14ac:dyDescent="0.25">
      <c r="A3159" s="41" t="s">
        <v>6418</v>
      </c>
      <c r="B3159" s="41" t="s">
        <v>6412</v>
      </c>
      <c r="C3159" s="41" t="s">
        <v>2928</v>
      </c>
      <c r="D3159" s="41" t="s">
        <v>6411</v>
      </c>
      <c r="E3159" s="41" t="s">
        <v>2929</v>
      </c>
      <c r="F3159" s="41" t="s">
        <v>2949</v>
      </c>
      <c r="G3159" s="41" t="s">
        <v>2950</v>
      </c>
    </row>
    <row r="3160" spans="1:7" x14ac:dyDescent="0.25">
      <c r="A3160" s="41" t="s">
        <v>6419</v>
      </c>
      <c r="B3160" s="41" t="s">
        <v>6420</v>
      </c>
      <c r="C3160" s="41" t="s">
        <v>2928</v>
      </c>
      <c r="D3160" s="41" t="s">
        <v>6419</v>
      </c>
      <c r="E3160" s="41" t="s">
        <v>2929</v>
      </c>
      <c r="F3160" s="41" t="s">
        <v>2930</v>
      </c>
      <c r="G3160" s="41" t="s">
        <v>2931</v>
      </c>
    </row>
    <row r="3161" spans="1:7" x14ac:dyDescent="0.25">
      <c r="A3161" s="41" t="s">
        <v>6421</v>
      </c>
      <c r="B3161" s="41" t="s">
        <v>6420</v>
      </c>
      <c r="C3161" s="41" t="s">
        <v>2928</v>
      </c>
      <c r="D3161" s="41" t="s">
        <v>6419</v>
      </c>
      <c r="E3161" s="41" t="s">
        <v>2929</v>
      </c>
      <c r="F3161" s="41" t="s">
        <v>2933</v>
      </c>
      <c r="G3161" s="41" t="s">
        <v>2934</v>
      </c>
    </row>
    <row r="3162" spans="1:7" x14ac:dyDescent="0.25">
      <c r="A3162" s="41" t="s">
        <v>6422</v>
      </c>
      <c r="B3162" s="41" t="s">
        <v>6420</v>
      </c>
      <c r="C3162" s="41" t="s">
        <v>2928</v>
      </c>
      <c r="D3162" s="41" t="s">
        <v>6419</v>
      </c>
      <c r="E3162" s="41" t="s">
        <v>2929</v>
      </c>
      <c r="F3162" s="41" t="s">
        <v>2933</v>
      </c>
      <c r="G3162" s="41" t="s">
        <v>2934</v>
      </c>
    </row>
    <row r="3163" spans="1:7" x14ac:dyDescent="0.25">
      <c r="A3163" s="41" t="s">
        <v>6423</v>
      </c>
      <c r="B3163" s="41" t="s">
        <v>6420</v>
      </c>
      <c r="C3163" s="41" t="s">
        <v>2928</v>
      </c>
      <c r="D3163" s="41" t="s">
        <v>6419</v>
      </c>
      <c r="E3163" s="41" t="s">
        <v>2929</v>
      </c>
      <c r="F3163" s="41" t="s">
        <v>2933</v>
      </c>
      <c r="G3163" s="41" t="s">
        <v>2934</v>
      </c>
    </row>
    <row r="3164" spans="1:7" x14ac:dyDescent="0.25">
      <c r="A3164" s="41" t="s">
        <v>6424</v>
      </c>
      <c r="B3164" s="41" t="s">
        <v>6420</v>
      </c>
      <c r="C3164" s="41" t="s">
        <v>2928</v>
      </c>
      <c r="D3164" s="41" t="s">
        <v>6419</v>
      </c>
      <c r="E3164" s="41" t="s">
        <v>2929</v>
      </c>
      <c r="F3164" s="41" t="s">
        <v>2933</v>
      </c>
      <c r="G3164" s="41" t="s">
        <v>2934</v>
      </c>
    </row>
    <row r="3165" spans="1:7" x14ac:dyDescent="0.25">
      <c r="A3165" s="41" t="s">
        <v>6425</v>
      </c>
      <c r="B3165" s="41" t="s">
        <v>6420</v>
      </c>
      <c r="C3165" s="41" t="s">
        <v>2928</v>
      </c>
      <c r="D3165" s="41" t="s">
        <v>6419</v>
      </c>
      <c r="E3165" s="41" t="s">
        <v>2929</v>
      </c>
      <c r="F3165" s="41" t="s">
        <v>2933</v>
      </c>
      <c r="G3165" s="41" t="s">
        <v>2934</v>
      </c>
    </row>
    <row r="3166" spans="1:7" x14ac:dyDescent="0.25">
      <c r="A3166" s="41" t="s">
        <v>6426</v>
      </c>
      <c r="B3166" s="41" t="s">
        <v>6420</v>
      </c>
      <c r="C3166" s="41" t="s">
        <v>2928</v>
      </c>
      <c r="D3166" s="41" t="s">
        <v>6419</v>
      </c>
      <c r="E3166" s="41" t="s">
        <v>2929</v>
      </c>
      <c r="F3166" s="41" t="s">
        <v>2933</v>
      </c>
      <c r="G3166" s="41" t="s">
        <v>2934</v>
      </c>
    </row>
    <row r="3167" spans="1:7" x14ac:dyDescent="0.25">
      <c r="A3167" s="41" t="s">
        <v>6427</v>
      </c>
      <c r="B3167" s="41" t="s">
        <v>6420</v>
      </c>
      <c r="C3167" s="41" t="s">
        <v>2928</v>
      </c>
      <c r="D3167" s="41" t="s">
        <v>6419</v>
      </c>
      <c r="E3167" s="41" t="s">
        <v>2929</v>
      </c>
      <c r="F3167" s="41" t="s">
        <v>2933</v>
      </c>
      <c r="G3167" s="41" t="s">
        <v>2934</v>
      </c>
    </row>
    <row r="3168" spans="1:7" x14ac:dyDescent="0.25">
      <c r="A3168" s="41" t="s">
        <v>6428</v>
      </c>
      <c r="B3168" s="41" t="s">
        <v>6420</v>
      </c>
      <c r="C3168" s="41" t="s">
        <v>2928</v>
      </c>
      <c r="D3168" s="41" t="s">
        <v>6419</v>
      </c>
      <c r="E3168" s="41" t="s">
        <v>2929</v>
      </c>
      <c r="F3168" s="41" t="s">
        <v>2930</v>
      </c>
      <c r="G3168" s="41" t="s">
        <v>2931</v>
      </c>
    </row>
    <row r="3169" spans="1:7" x14ac:dyDescent="0.25">
      <c r="A3169" s="41" t="s">
        <v>6429</v>
      </c>
      <c r="B3169" s="41" t="s">
        <v>6420</v>
      </c>
      <c r="C3169" s="41" t="s">
        <v>2928</v>
      </c>
      <c r="D3169" s="41" t="s">
        <v>6419</v>
      </c>
      <c r="E3169" s="41" t="s">
        <v>2929</v>
      </c>
      <c r="F3169" s="41" t="s">
        <v>2930</v>
      </c>
      <c r="G3169" s="41" t="s">
        <v>2931</v>
      </c>
    </row>
    <row r="3170" spans="1:7" x14ac:dyDescent="0.25">
      <c r="A3170" s="41" t="s">
        <v>6430</v>
      </c>
      <c r="B3170" s="41" t="s">
        <v>6420</v>
      </c>
      <c r="C3170" s="41" t="s">
        <v>2928</v>
      </c>
      <c r="D3170" s="41" t="s">
        <v>6419</v>
      </c>
      <c r="E3170" s="41" t="s">
        <v>2929</v>
      </c>
      <c r="F3170" s="41" t="s">
        <v>2930</v>
      </c>
      <c r="G3170" s="41" t="s">
        <v>2931</v>
      </c>
    </row>
    <row r="3171" spans="1:7" x14ac:dyDescent="0.25">
      <c r="A3171" s="41" t="s">
        <v>6431</v>
      </c>
      <c r="B3171" s="41" t="s">
        <v>6420</v>
      </c>
      <c r="C3171" s="41" t="s">
        <v>2928</v>
      </c>
      <c r="D3171" s="41" t="s">
        <v>6419</v>
      </c>
      <c r="E3171" s="41" t="s">
        <v>2929</v>
      </c>
      <c r="F3171" s="41" t="s">
        <v>2930</v>
      </c>
      <c r="G3171" s="41" t="s">
        <v>2931</v>
      </c>
    </row>
    <row r="3172" spans="1:7" x14ac:dyDescent="0.25">
      <c r="A3172" s="41" t="s">
        <v>6432</v>
      </c>
      <c r="B3172" s="41" t="s">
        <v>6420</v>
      </c>
      <c r="C3172" s="41" t="s">
        <v>2928</v>
      </c>
      <c r="D3172" s="41" t="s">
        <v>6419</v>
      </c>
      <c r="E3172" s="41" t="s">
        <v>2929</v>
      </c>
      <c r="F3172" s="41" t="s">
        <v>2930</v>
      </c>
      <c r="G3172" s="41" t="s">
        <v>2931</v>
      </c>
    </row>
    <row r="3173" spans="1:7" x14ac:dyDescent="0.25">
      <c r="A3173" s="41" t="s">
        <v>6433</v>
      </c>
      <c r="B3173" s="41" t="s">
        <v>6420</v>
      </c>
      <c r="C3173" s="41" t="s">
        <v>2928</v>
      </c>
      <c r="D3173" s="41" t="s">
        <v>6419</v>
      </c>
      <c r="E3173" s="41" t="s">
        <v>2929</v>
      </c>
      <c r="F3173" s="41" t="s">
        <v>2930</v>
      </c>
      <c r="G3173" s="41" t="s">
        <v>2931</v>
      </c>
    </row>
    <row r="3174" spans="1:7" x14ac:dyDescent="0.25">
      <c r="A3174" s="41" t="s">
        <v>6434</v>
      </c>
      <c r="B3174" s="41" t="s">
        <v>6420</v>
      </c>
      <c r="C3174" s="41" t="s">
        <v>2928</v>
      </c>
      <c r="D3174" s="41" t="s">
        <v>6419</v>
      </c>
      <c r="E3174" s="41" t="s">
        <v>2929</v>
      </c>
      <c r="F3174" s="41" t="s">
        <v>2930</v>
      </c>
      <c r="G3174" s="41" t="s">
        <v>2931</v>
      </c>
    </row>
    <row r="3175" spans="1:7" x14ac:dyDescent="0.25">
      <c r="A3175" s="41" t="s">
        <v>6435</v>
      </c>
      <c r="B3175" s="41" t="s">
        <v>6420</v>
      </c>
      <c r="C3175" s="41" t="s">
        <v>2928</v>
      </c>
      <c r="D3175" s="41" t="s">
        <v>6419</v>
      </c>
      <c r="E3175" s="41" t="s">
        <v>2929</v>
      </c>
      <c r="F3175" s="41" t="s">
        <v>2949</v>
      </c>
      <c r="G3175" s="41" t="s">
        <v>2950</v>
      </c>
    </row>
    <row r="3176" spans="1:7" x14ac:dyDescent="0.25">
      <c r="A3176" s="41" t="s">
        <v>6436</v>
      </c>
      <c r="B3176" s="41" t="s">
        <v>6420</v>
      </c>
      <c r="C3176" s="41" t="s">
        <v>2928</v>
      </c>
      <c r="D3176" s="41" t="s">
        <v>6419</v>
      </c>
      <c r="E3176" s="41" t="s">
        <v>2929</v>
      </c>
      <c r="F3176" s="41" t="s">
        <v>2949</v>
      </c>
      <c r="G3176" s="41" t="s">
        <v>2950</v>
      </c>
    </row>
    <row r="3177" spans="1:7" x14ac:dyDescent="0.25">
      <c r="A3177" s="41" t="s">
        <v>6437</v>
      </c>
      <c r="B3177" s="41" t="s">
        <v>6420</v>
      </c>
      <c r="C3177" s="41" t="s">
        <v>2928</v>
      </c>
      <c r="D3177" s="41" t="s">
        <v>6419</v>
      </c>
      <c r="E3177" s="41" t="s">
        <v>2929</v>
      </c>
      <c r="F3177" s="41" t="s">
        <v>2949</v>
      </c>
      <c r="G3177" s="41" t="s">
        <v>2950</v>
      </c>
    </row>
    <row r="3178" spans="1:7" x14ac:dyDescent="0.25">
      <c r="A3178" s="41" t="s">
        <v>6438</v>
      </c>
      <c r="B3178" s="41" t="s">
        <v>6420</v>
      </c>
      <c r="C3178" s="41" t="s">
        <v>2928</v>
      </c>
      <c r="D3178" s="41" t="s">
        <v>6419</v>
      </c>
      <c r="E3178" s="41" t="s">
        <v>2929</v>
      </c>
      <c r="F3178" s="41" t="s">
        <v>2949</v>
      </c>
      <c r="G3178" s="41" t="s">
        <v>2950</v>
      </c>
    </row>
    <row r="3179" spans="1:7" x14ac:dyDescent="0.25">
      <c r="A3179" s="41" t="s">
        <v>6439</v>
      </c>
      <c r="B3179" s="41" t="s">
        <v>6420</v>
      </c>
      <c r="C3179" s="41" t="s">
        <v>2928</v>
      </c>
      <c r="D3179" s="41" t="s">
        <v>6419</v>
      </c>
      <c r="E3179" s="41" t="s">
        <v>2929</v>
      </c>
      <c r="F3179" s="41" t="s">
        <v>2949</v>
      </c>
      <c r="G3179" s="41" t="s">
        <v>2950</v>
      </c>
    </row>
    <row r="3180" spans="1:7" x14ac:dyDescent="0.25">
      <c r="A3180" s="41" t="s">
        <v>6440</v>
      </c>
      <c r="B3180" s="41" t="s">
        <v>6420</v>
      </c>
      <c r="C3180" s="41" t="s">
        <v>2928</v>
      </c>
      <c r="D3180" s="41" t="s">
        <v>6419</v>
      </c>
      <c r="E3180" s="41" t="s">
        <v>2929</v>
      </c>
      <c r="F3180" s="41" t="s">
        <v>2949</v>
      </c>
      <c r="G3180" s="41" t="s">
        <v>2950</v>
      </c>
    </row>
    <row r="3181" spans="1:7" x14ac:dyDescent="0.25">
      <c r="A3181" s="41" t="s">
        <v>6441</v>
      </c>
      <c r="B3181" s="41" t="s">
        <v>6420</v>
      </c>
      <c r="C3181" s="41" t="s">
        <v>2928</v>
      </c>
      <c r="D3181" s="41" t="s">
        <v>6419</v>
      </c>
      <c r="E3181" s="41" t="s">
        <v>2929</v>
      </c>
      <c r="F3181" s="41" t="s">
        <v>2949</v>
      </c>
      <c r="G3181" s="41" t="s">
        <v>2950</v>
      </c>
    </row>
    <row r="3182" spans="1:7" x14ac:dyDescent="0.25">
      <c r="A3182" s="41" t="s">
        <v>6442</v>
      </c>
      <c r="B3182" s="41" t="s">
        <v>193</v>
      </c>
      <c r="C3182" s="41" t="s">
        <v>2928</v>
      </c>
      <c r="D3182" s="41" t="s">
        <v>6442</v>
      </c>
      <c r="E3182" s="41" t="s">
        <v>2929</v>
      </c>
      <c r="F3182" s="41" t="s">
        <v>2930</v>
      </c>
      <c r="G3182" s="41" t="s">
        <v>2931</v>
      </c>
    </row>
    <row r="3183" spans="1:7" x14ac:dyDescent="0.25">
      <c r="A3183" s="41" t="s">
        <v>6443</v>
      </c>
      <c r="B3183" s="41" t="s">
        <v>193</v>
      </c>
      <c r="C3183" s="41" t="s">
        <v>2928</v>
      </c>
      <c r="D3183" s="41" t="s">
        <v>6442</v>
      </c>
      <c r="E3183" s="41" t="s">
        <v>2929</v>
      </c>
      <c r="F3183" s="41" t="s">
        <v>2933</v>
      </c>
      <c r="G3183" s="41" t="s">
        <v>2934</v>
      </c>
    </row>
    <row r="3184" spans="1:7" x14ac:dyDescent="0.25">
      <c r="A3184" s="41" t="s">
        <v>6444</v>
      </c>
      <c r="B3184" s="41" t="s">
        <v>193</v>
      </c>
      <c r="C3184" s="41" t="s">
        <v>2928</v>
      </c>
      <c r="D3184" s="41" t="s">
        <v>6442</v>
      </c>
      <c r="E3184" s="41" t="s">
        <v>2929</v>
      </c>
      <c r="F3184" s="41" t="s">
        <v>2933</v>
      </c>
      <c r="G3184" s="41" t="s">
        <v>2934</v>
      </c>
    </row>
    <row r="3185" spans="1:7" x14ac:dyDescent="0.25">
      <c r="A3185" s="41" t="s">
        <v>6445</v>
      </c>
      <c r="B3185" s="41" t="s">
        <v>193</v>
      </c>
      <c r="C3185" s="41" t="s">
        <v>2928</v>
      </c>
      <c r="D3185" s="41" t="s">
        <v>6442</v>
      </c>
      <c r="E3185" s="41" t="s">
        <v>2929</v>
      </c>
      <c r="F3185" s="41" t="s">
        <v>2933</v>
      </c>
      <c r="G3185" s="41" t="s">
        <v>2934</v>
      </c>
    </row>
    <row r="3186" spans="1:7" x14ac:dyDescent="0.25">
      <c r="A3186" s="41" t="s">
        <v>6446</v>
      </c>
      <c r="B3186" s="41" t="s">
        <v>193</v>
      </c>
      <c r="C3186" s="41" t="s">
        <v>2928</v>
      </c>
      <c r="D3186" s="41" t="s">
        <v>6442</v>
      </c>
      <c r="E3186" s="41" t="s">
        <v>2929</v>
      </c>
      <c r="F3186" s="41" t="s">
        <v>2933</v>
      </c>
      <c r="G3186" s="41" t="s">
        <v>2934</v>
      </c>
    </row>
    <row r="3187" spans="1:7" x14ac:dyDescent="0.25">
      <c r="A3187" s="41" t="s">
        <v>6447</v>
      </c>
      <c r="B3187" s="41" t="s">
        <v>193</v>
      </c>
      <c r="C3187" s="41" t="s">
        <v>2928</v>
      </c>
      <c r="D3187" s="41" t="s">
        <v>6442</v>
      </c>
      <c r="E3187" s="41" t="s">
        <v>2929</v>
      </c>
      <c r="F3187" s="41" t="s">
        <v>2933</v>
      </c>
      <c r="G3187" s="41" t="s">
        <v>2934</v>
      </c>
    </row>
    <row r="3188" spans="1:7" x14ac:dyDescent="0.25">
      <c r="A3188" s="41" t="s">
        <v>6448</v>
      </c>
      <c r="B3188" s="41" t="s">
        <v>193</v>
      </c>
      <c r="C3188" s="41" t="s">
        <v>2928</v>
      </c>
      <c r="D3188" s="41" t="s">
        <v>6442</v>
      </c>
      <c r="E3188" s="41" t="s">
        <v>2929</v>
      </c>
      <c r="F3188" s="41" t="s">
        <v>2933</v>
      </c>
      <c r="G3188" s="41" t="s">
        <v>2934</v>
      </c>
    </row>
    <row r="3189" spans="1:7" x14ac:dyDescent="0.25">
      <c r="A3189" s="41" t="s">
        <v>6449</v>
      </c>
      <c r="B3189" s="41" t="s">
        <v>193</v>
      </c>
      <c r="C3189" s="41" t="s">
        <v>2928</v>
      </c>
      <c r="D3189" s="41" t="s">
        <v>6442</v>
      </c>
      <c r="E3189" s="41" t="s">
        <v>2929</v>
      </c>
      <c r="F3189" s="41" t="s">
        <v>2933</v>
      </c>
      <c r="G3189" s="41" t="s">
        <v>2934</v>
      </c>
    </row>
    <row r="3190" spans="1:7" x14ac:dyDescent="0.25">
      <c r="A3190" s="41" t="s">
        <v>6450</v>
      </c>
      <c r="B3190" s="41" t="s">
        <v>193</v>
      </c>
      <c r="C3190" s="41" t="s">
        <v>2928</v>
      </c>
      <c r="D3190" s="41" t="s">
        <v>6442</v>
      </c>
      <c r="E3190" s="41" t="s">
        <v>2929</v>
      </c>
      <c r="F3190" s="41" t="s">
        <v>2930</v>
      </c>
      <c r="G3190" s="41" t="s">
        <v>2931</v>
      </c>
    </row>
    <row r="3191" spans="1:7" x14ac:dyDescent="0.25">
      <c r="A3191" s="41" t="s">
        <v>6451</v>
      </c>
      <c r="B3191" s="41" t="s">
        <v>193</v>
      </c>
      <c r="C3191" s="41" t="s">
        <v>2928</v>
      </c>
      <c r="D3191" s="41" t="s">
        <v>6442</v>
      </c>
      <c r="E3191" s="41" t="s">
        <v>2929</v>
      </c>
      <c r="F3191" s="41" t="s">
        <v>2930</v>
      </c>
      <c r="G3191" s="41" t="s">
        <v>2931</v>
      </c>
    </row>
    <row r="3192" spans="1:7" x14ac:dyDescent="0.25">
      <c r="A3192" s="41" t="s">
        <v>6452</v>
      </c>
      <c r="B3192" s="41" t="s">
        <v>193</v>
      </c>
      <c r="C3192" s="41" t="s">
        <v>2928</v>
      </c>
      <c r="D3192" s="41" t="s">
        <v>6442</v>
      </c>
      <c r="E3192" s="41" t="s">
        <v>2929</v>
      </c>
      <c r="F3192" s="41" t="s">
        <v>2930</v>
      </c>
      <c r="G3192" s="41" t="s">
        <v>2931</v>
      </c>
    </row>
    <row r="3193" spans="1:7" x14ac:dyDescent="0.25">
      <c r="A3193" s="41" t="s">
        <v>6453</v>
      </c>
      <c r="B3193" s="41" t="s">
        <v>193</v>
      </c>
      <c r="C3193" s="41" t="s">
        <v>2928</v>
      </c>
      <c r="D3193" s="41" t="s">
        <v>6442</v>
      </c>
      <c r="E3193" s="41" t="s">
        <v>2929</v>
      </c>
      <c r="F3193" s="41" t="s">
        <v>2930</v>
      </c>
      <c r="G3193" s="41" t="s">
        <v>2931</v>
      </c>
    </row>
    <row r="3194" spans="1:7" x14ac:dyDescent="0.25">
      <c r="A3194" s="41" t="s">
        <v>6454</v>
      </c>
      <c r="B3194" s="41" t="s">
        <v>193</v>
      </c>
      <c r="C3194" s="41" t="s">
        <v>2928</v>
      </c>
      <c r="D3194" s="41" t="s">
        <v>6442</v>
      </c>
      <c r="E3194" s="41" t="s">
        <v>2929</v>
      </c>
      <c r="F3194" s="41" t="s">
        <v>2930</v>
      </c>
      <c r="G3194" s="41" t="s">
        <v>2931</v>
      </c>
    </row>
    <row r="3195" spans="1:7" x14ac:dyDescent="0.25">
      <c r="A3195" s="41" t="s">
        <v>6455</v>
      </c>
      <c r="B3195" s="41" t="s">
        <v>193</v>
      </c>
      <c r="C3195" s="41" t="s">
        <v>2928</v>
      </c>
      <c r="D3195" s="41" t="s">
        <v>6442</v>
      </c>
      <c r="E3195" s="41" t="s">
        <v>2929</v>
      </c>
      <c r="F3195" s="41" t="s">
        <v>2930</v>
      </c>
      <c r="G3195" s="41" t="s">
        <v>2931</v>
      </c>
    </row>
    <row r="3196" spans="1:7" x14ac:dyDescent="0.25">
      <c r="A3196" s="41" t="s">
        <v>6456</v>
      </c>
      <c r="B3196" s="41" t="s">
        <v>193</v>
      </c>
      <c r="C3196" s="41" t="s">
        <v>2928</v>
      </c>
      <c r="D3196" s="41" t="s">
        <v>6442</v>
      </c>
      <c r="E3196" s="41" t="s">
        <v>2929</v>
      </c>
      <c r="F3196" s="41" t="s">
        <v>2930</v>
      </c>
      <c r="G3196" s="41" t="s">
        <v>2931</v>
      </c>
    </row>
    <row r="3197" spans="1:7" x14ac:dyDescent="0.25">
      <c r="A3197" s="41" t="s">
        <v>6457</v>
      </c>
      <c r="B3197" s="41" t="s">
        <v>193</v>
      </c>
      <c r="C3197" s="41" t="s">
        <v>2928</v>
      </c>
      <c r="D3197" s="41" t="s">
        <v>6442</v>
      </c>
      <c r="E3197" s="41" t="s">
        <v>2929</v>
      </c>
      <c r="F3197" s="41" t="s">
        <v>2949</v>
      </c>
      <c r="G3197" s="41" t="s">
        <v>2950</v>
      </c>
    </row>
    <row r="3198" spans="1:7" x14ac:dyDescent="0.25">
      <c r="A3198" s="41" t="s">
        <v>6458</v>
      </c>
      <c r="B3198" s="41" t="s">
        <v>193</v>
      </c>
      <c r="C3198" s="41" t="s">
        <v>2928</v>
      </c>
      <c r="D3198" s="41" t="s">
        <v>6442</v>
      </c>
      <c r="E3198" s="41" t="s">
        <v>2929</v>
      </c>
      <c r="F3198" s="41" t="s">
        <v>2949</v>
      </c>
      <c r="G3198" s="41" t="s">
        <v>2950</v>
      </c>
    </row>
    <row r="3199" spans="1:7" x14ac:dyDescent="0.25">
      <c r="A3199" s="41" t="s">
        <v>6459</v>
      </c>
      <c r="B3199" s="41" t="s">
        <v>193</v>
      </c>
      <c r="C3199" s="41" t="s">
        <v>2928</v>
      </c>
      <c r="D3199" s="41" t="s">
        <v>6442</v>
      </c>
      <c r="E3199" s="41" t="s">
        <v>2929</v>
      </c>
      <c r="F3199" s="41" t="s">
        <v>2949</v>
      </c>
      <c r="G3199" s="41" t="s">
        <v>2950</v>
      </c>
    </row>
    <row r="3200" spans="1:7" x14ac:dyDescent="0.25">
      <c r="A3200" s="41" t="s">
        <v>6460</v>
      </c>
      <c r="B3200" s="41" t="s">
        <v>193</v>
      </c>
      <c r="C3200" s="41" t="s">
        <v>2928</v>
      </c>
      <c r="D3200" s="41" t="s">
        <v>6442</v>
      </c>
      <c r="E3200" s="41" t="s">
        <v>2929</v>
      </c>
      <c r="F3200" s="41" t="s">
        <v>2949</v>
      </c>
      <c r="G3200" s="41" t="s">
        <v>2950</v>
      </c>
    </row>
    <row r="3201" spans="1:7" x14ac:dyDescent="0.25">
      <c r="A3201" s="41" t="s">
        <v>6461</v>
      </c>
      <c r="B3201" s="41" t="s">
        <v>193</v>
      </c>
      <c r="C3201" s="41" t="s">
        <v>2928</v>
      </c>
      <c r="D3201" s="41" t="s">
        <v>6442</v>
      </c>
      <c r="E3201" s="41" t="s">
        <v>2929</v>
      </c>
      <c r="F3201" s="41" t="s">
        <v>2949</v>
      </c>
      <c r="G3201" s="41" t="s">
        <v>2950</v>
      </c>
    </row>
    <row r="3202" spans="1:7" x14ac:dyDescent="0.25">
      <c r="A3202" s="41" t="s">
        <v>6462</v>
      </c>
      <c r="B3202" s="41" t="s">
        <v>193</v>
      </c>
      <c r="C3202" s="41" t="s">
        <v>2928</v>
      </c>
      <c r="D3202" s="41" t="s">
        <v>6442</v>
      </c>
      <c r="E3202" s="41" t="s">
        <v>2929</v>
      </c>
      <c r="F3202" s="41" t="s">
        <v>2949</v>
      </c>
      <c r="G3202" s="41" t="s">
        <v>2950</v>
      </c>
    </row>
    <row r="3203" spans="1:7" x14ac:dyDescent="0.25">
      <c r="A3203" s="41" t="s">
        <v>6463</v>
      </c>
      <c r="B3203" s="41" t="s">
        <v>193</v>
      </c>
      <c r="C3203" s="41" t="s">
        <v>2928</v>
      </c>
      <c r="D3203" s="41" t="s">
        <v>6442</v>
      </c>
      <c r="E3203" s="41" t="s">
        <v>2929</v>
      </c>
      <c r="F3203" s="41" t="s">
        <v>2949</v>
      </c>
      <c r="G3203" s="41" t="s">
        <v>2950</v>
      </c>
    </row>
    <row r="3204" spans="1:7" x14ac:dyDescent="0.25">
      <c r="A3204" s="41" t="s">
        <v>6464</v>
      </c>
      <c r="B3204" s="41" t="s">
        <v>208</v>
      </c>
      <c r="C3204" s="41" t="s">
        <v>2928</v>
      </c>
      <c r="D3204" s="41" t="s">
        <v>6464</v>
      </c>
      <c r="E3204" s="41" t="s">
        <v>2929</v>
      </c>
      <c r="F3204" s="41" t="s">
        <v>2930</v>
      </c>
      <c r="G3204" s="41" t="s">
        <v>2931</v>
      </c>
    </row>
    <row r="3205" spans="1:7" x14ac:dyDescent="0.25">
      <c r="A3205" s="41" t="s">
        <v>6465</v>
      </c>
      <c r="B3205" s="41" t="s">
        <v>208</v>
      </c>
      <c r="C3205" s="41" t="s">
        <v>2928</v>
      </c>
      <c r="D3205" s="41" t="s">
        <v>6464</v>
      </c>
      <c r="E3205" s="41" t="s">
        <v>2929</v>
      </c>
      <c r="F3205" s="41" t="s">
        <v>2933</v>
      </c>
      <c r="G3205" s="41" t="s">
        <v>2934</v>
      </c>
    </row>
    <row r="3206" spans="1:7" x14ac:dyDescent="0.25">
      <c r="A3206" s="41" t="s">
        <v>6466</v>
      </c>
      <c r="B3206" s="41" t="s">
        <v>208</v>
      </c>
      <c r="C3206" s="41" t="s">
        <v>2928</v>
      </c>
      <c r="D3206" s="41" t="s">
        <v>6464</v>
      </c>
      <c r="E3206" s="41" t="s">
        <v>2929</v>
      </c>
      <c r="F3206" s="41" t="s">
        <v>2933</v>
      </c>
      <c r="G3206" s="41" t="s">
        <v>2934</v>
      </c>
    </row>
    <row r="3207" spans="1:7" x14ac:dyDescent="0.25">
      <c r="A3207" s="41" t="s">
        <v>6467</v>
      </c>
      <c r="B3207" s="41" t="s">
        <v>208</v>
      </c>
      <c r="C3207" s="41" t="s">
        <v>2928</v>
      </c>
      <c r="D3207" s="41" t="s">
        <v>6464</v>
      </c>
      <c r="E3207" s="41" t="s">
        <v>2929</v>
      </c>
      <c r="F3207" s="41" t="s">
        <v>2933</v>
      </c>
      <c r="G3207" s="41" t="s">
        <v>2934</v>
      </c>
    </row>
    <row r="3208" spans="1:7" x14ac:dyDescent="0.25">
      <c r="A3208" s="41" t="s">
        <v>6468</v>
      </c>
      <c r="B3208" s="41" t="s">
        <v>208</v>
      </c>
      <c r="C3208" s="41" t="s">
        <v>2928</v>
      </c>
      <c r="D3208" s="41" t="s">
        <v>6464</v>
      </c>
      <c r="E3208" s="41" t="s">
        <v>2929</v>
      </c>
      <c r="F3208" s="41" t="s">
        <v>2933</v>
      </c>
      <c r="G3208" s="41" t="s">
        <v>2934</v>
      </c>
    </row>
    <row r="3209" spans="1:7" x14ac:dyDescent="0.25">
      <c r="A3209" s="41" t="s">
        <v>6469</v>
      </c>
      <c r="B3209" s="41" t="s">
        <v>208</v>
      </c>
      <c r="C3209" s="41" t="s">
        <v>2928</v>
      </c>
      <c r="D3209" s="41" t="s">
        <v>6464</v>
      </c>
      <c r="E3209" s="41" t="s">
        <v>2929</v>
      </c>
      <c r="F3209" s="41" t="s">
        <v>2933</v>
      </c>
      <c r="G3209" s="41" t="s">
        <v>2934</v>
      </c>
    </row>
    <row r="3210" spans="1:7" x14ac:dyDescent="0.25">
      <c r="A3210" s="41" t="s">
        <v>6470</v>
      </c>
      <c r="B3210" s="41" t="s">
        <v>208</v>
      </c>
      <c r="C3210" s="41" t="s">
        <v>2928</v>
      </c>
      <c r="D3210" s="41" t="s">
        <v>6464</v>
      </c>
      <c r="E3210" s="41" t="s">
        <v>2929</v>
      </c>
      <c r="F3210" s="41" t="s">
        <v>2933</v>
      </c>
      <c r="G3210" s="41" t="s">
        <v>2934</v>
      </c>
    </row>
    <row r="3211" spans="1:7" x14ac:dyDescent="0.25">
      <c r="A3211" s="41" t="s">
        <v>6471</v>
      </c>
      <c r="B3211" s="41" t="s">
        <v>208</v>
      </c>
      <c r="C3211" s="41" t="s">
        <v>2928</v>
      </c>
      <c r="D3211" s="41" t="s">
        <v>6464</v>
      </c>
      <c r="E3211" s="41" t="s">
        <v>2929</v>
      </c>
      <c r="F3211" s="41" t="s">
        <v>2933</v>
      </c>
      <c r="G3211" s="41" t="s">
        <v>2934</v>
      </c>
    </row>
    <row r="3212" spans="1:7" x14ac:dyDescent="0.25">
      <c r="A3212" s="41" t="s">
        <v>6472</v>
      </c>
      <c r="B3212" s="41" t="s">
        <v>208</v>
      </c>
      <c r="C3212" s="41" t="s">
        <v>2928</v>
      </c>
      <c r="D3212" s="41" t="s">
        <v>6464</v>
      </c>
      <c r="E3212" s="41" t="s">
        <v>2929</v>
      </c>
      <c r="F3212" s="41" t="s">
        <v>2930</v>
      </c>
      <c r="G3212" s="41" t="s">
        <v>2931</v>
      </c>
    </row>
    <row r="3213" spans="1:7" x14ac:dyDescent="0.25">
      <c r="A3213" s="41" t="s">
        <v>6473</v>
      </c>
      <c r="B3213" s="41" t="s">
        <v>208</v>
      </c>
      <c r="C3213" s="41" t="s">
        <v>2928</v>
      </c>
      <c r="D3213" s="41" t="s">
        <v>6464</v>
      </c>
      <c r="E3213" s="41" t="s">
        <v>2929</v>
      </c>
      <c r="F3213" s="41" t="s">
        <v>2930</v>
      </c>
      <c r="G3213" s="41" t="s">
        <v>2931</v>
      </c>
    </row>
    <row r="3214" spans="1:7" x14ac:dyDescent="0.25">
      <c r="A3214" s="41" t="s">
        <v>6474</v>
      </c>
      <c r="B3214" s="41" t="s">
        <v>208</v>
      </c>
      <c r="C3214" s="41" t="s">
        <v>2928</v>
      </c>
      <c r="D3214" s="41" t="s">
        <v>6464</v>
      </c>
      <c r="E3214" s="41" t="s">
        <v>2929</v>
      </c>
      <c r="F3214" s="41" t="s">
        <v>2930</v>
      </c>
      <c r="G3214" s="41" t="s">
        <v>2931</v>
      </c>
    </row>
    <row r="3215" spans="1:7" x14ac:dyDescent="0.25">
      <c r="A3215" s="41" t="s">
        <v>6475</v>
      </c>
      <c r="B3215" s="41" t="s">
        <v>208</v>
      </c>
      <c r="C3215" s="41" t="s">
        <v>2928</v>
      </c>
      <c r="D3215" s="41" t="s">
        <v>6464</v>
      </c>
      <c r="E3215" s="41" t="s">
        <v>2929</v>
      </c>
      <c r="F3215" s="41" t="s">
        <v>2930</v>
      </c>
      <c r="G3215" s="41" t="s">
        <v>2931</v>
      </c>
    </row>
    <row r="3216" spans="1:7" x14ac:dyDescent="0.25">
      <c r="A3216" s="41" t="s">
        <v>6476</v>
      </c>
      <c r="B3216" s="41" t="s">
        <v>208</v>
      </c>
      <c r="C3216" s="41" t="s">
        <v>2928</v>
      </c>
      <c r="D3216" s="41" t="s">
        <v>6464</v>
      </c>
      <c r="E3216" s="41" t="s">
        <v>2929</v>
      </c>
      <c r="F3216" s="41" t="s">
        <v>2930</v>
      </c>
      <c r="G3216" s="41" t="s">
        <v>2931</v>
      </c>
    </row>
    <row r="3217" spans="1:7" x14ac:dyDescent="0.25">
      <c r="A3217" s="41" t="s">
        <v>6477</v>
      </c>
      <c r="B3217" s="41" t="s">
        <v>208</v>
      </c>
      <c r="C3217" s="41" t="s">
        <v>2928</v>
      </c>
      <c r="D3217" s="41" t="s">
        <v>6464</v>
      </c>
      <c r="E3217" s="41" t="s">
        <v>2929</v>
      </c>
      <c r="F3217" s="41" t="s">
        <v>2930</v>
      </c>
      <c r="G3217" s="41" t="s">
        <v>2931</v>
      </c>
    </row>
    <row r="3218" spans="1:7" x14ac:dyDescent="0.25">
      <c r="A3218" s="41" t="s">
        <v>6478</v>
      </c>
      <c r="B3218" s="41" t="s">
        <v>208</v>
      </c>
      <c r="C3218" s="41" t="s">
        <v>2928</v>
      </c>
      <c r="D3218" s="41" t="s">
        <v>6464</v>
      </c>
      <c r="E3218" s="41" t="s">
        <v>2929</v>
      </c>
      <c r="F3218" s="41" t="s">
        <v>2930</v>
      </c>
      <c r="G3218" s="41" t="s">
        <v>2931</v>
      </c>
    </row>
    <row r="3219" spans="1:7" x14ac:dyDescent="0.25">
      <c r="A3219" s="41" t="s">
        <v>6479</v>
      </c>
      <c r="B3219" s="41" t="s">
        <v>208</v>
      </c>
      <c r="C3219" s="41" t="s">
        <v>2928</v>
      </c>
      <c r="D3219" s="41" t="s">
        <v>6464</v>
      </c>
      <c r="E3219" s="41" t="s">
        <v>2929</v>
      </c>
      <c r="F3219" s="41" t="s">
        <v>2949</v>
      </c>
      <c r="G3219" s="41" t="s">
        <v>2950</v>
      </c>
    </row>
    <row r="3220" spans="1:7" x14ac:dyDescent="0.25">
      <c r="A3220" s="41" t="s">
        <v>6480</v>
      </c>
      <c r="B3220" s="41" t="s">
        <v>208</v>
      </c>
      <c r="C3220" s="41" t="s">
        <v>2928</v>
      </c>
      <c r="D3220" s="41" t="s">
        <v>6464</v>
      </c>
      <c r="E3220" s="41" t="s">
        <v>2929</v>
      </c>
      <c r="F3220" s="41" t="s">
        <v>2949</v>
      </c>
      <c r="G3220" s="41" t="s">
        <v>2950</v>
      </c>
    </row>
    <row r="3221" spans="1:7" x14ac:dyDescent="0.25">
      <c r="A3221" s="41" t="s">
        <v>6481</v>
      </c>
      <c r="B3221" s="41" t="s">
        <v>208</v>
      </c>
      <c r="C3221" s="41" t="s">
        <v>2928</v>
      </c>
      <c r="D3221" s="41" t="s">
        <v>6464</v>
      </c>
      <c r="E3221" s="41" t="s">
        <v>2929</v>
      </c>
      <c r="F3221" s="41" t="s">
        <v>2949</v>
      </c>
      <c r="G3221" s="41" t="s">
        <v>2950</v>
      </c>
    </row>
    <row r="3222" spans="1:7" x14ac:dyDescent="0.25">
      <c r="A3222" s="41" t="s">
        <v>6482</v>
      </c>
      <c r="B3222" s="41" t="s">
        <v>208</v>
      </c>
      <c r="C3222" s="41" t="s">
        <v>2928</v>
      </c>
      <c r="D3222" s="41" t="s">
        <v>6464</v>
      </c>
      <c r="E3222" s="41" t="s">
        <v>2929</v>
      </c>
      <c r="F3222" s="41" t="s">
        <v>2949</v>
      </c>
      <c r="G3222" s="41" t="s">
        <v>2950</v>
      </c>
    </row>
    <row r="3223" spans="1:7" x14ac:dyDescent="0.25">
      <c r="A3223" s="41" t="s">
        <v>6483</v>
      </c>
      <c r="B3223" s="41" t="s">
        <v>208</v>
      </c>
      <c r="C3223" s="41" t="s">
        <v>2928</v>
      </c>
      <c r="D3223" s="41" t="s">
        <v>6464</v>
      </c>
      <c r="E3223" s="41" t="s">
        <v>2929</v>
      </c>
      <c r="F3223" s="41" t="s">
        <v>2949</v>
      </c>
      <c r="G3223" s="41" t="s">
        <v>2950</v>
      </c>
    </row>
    <row r="3224" spans="1:7" x14ac:dyDescent="0.25">
      <c r="A3224" s="41" t="s">
        <v>6484</v>
      </c>
      <c r="B3224" s="41" t="s">
        <v>208</v>
      </c>
      <c r="C3224" s="41" t="s">
        <v>2928</v>
      </c>
      <c r="D3224" s="41" t="s">
        <v>6464</v>
      </c>
      <c r="E3224" s="41" t="s">
        <v>2929</v>
      </c>
      <c r="F3224" s="41" t="s">
        <v>2949</v>
      </c>
      <c r="G3224" s="41" t="s">
        <v>2950</v>
      </c>
    </row>
    <row r="3225" spans="1:7" x14ac:dyDescent="0.25">
      <c r="A3225" s="41" t="s">
        <v>6485</v>
      </c>
      <c r="B3225" s="41" t="s">
        <v>208</v>
      </c>
      <c r="C3225" s="41" t="s">
        <v>2928</v>
      </c>
      <c r="D3225" s="41" t="s">
        <v>6464</v>
      </c>
      <c r="E3225" s="41" t="s">
        <v>2929</v>
      </c>
      <c r="F3225" s="41" t="s">
        <v>2949</v>
      </c>
      <c r="G3225" s="41" t="s">
        <v>2950</v>
      </c>
    </row>
    <row r="3226" spans="1:7" x14ac:dyDescent="0.25">
      <c r="A3226" s="41" t="s">
        <v>6486</v>
      </c>
      <c r="B3226" s="41" t="s">
        <v>6487</v>
      </c>
      <c r="C3226" s="41" t="s">
        <v>2928</v>
      </c>
      <c r="D3226" s="41" t="s">
        <v>6486</v>
      </c>
      <c r="E3226" s="41" t="s">
        <v>2929</v>
      </c>
      <c r="F3226" s="41" t="s">
        <v>2930</v>
      </c>
      <c r="G3226" s="41" t="s">
        <v>2931</v>
      </c>
    </row>
    <row r="3227" spans="1:7" x14ac:dyDescent="0.25">
      <c r="A3227" s="41" t="s">
        <v>6488</v>
      </c>
      <c r="B3227" s="41" t="s">
        <v>6487</v>
      </c>
      <c r="C3227" s="41" t="s">
        <v>2928</v>
      </c>
      <c r="D3227" s="41" t="s">
        <v>6486</v>
      </c>
      <c r="E3227" s="41" t="s">
        <v>2929</v>
      </c>
      <c r="F3227" s="41" t="s">
        <v>2933</v>
      </c>
      <c r="G3227" s="41" t="s">
        <v>2934</v>
      </c>
    </row>
    <row r="3228" spans="1:7" x14ac:dyDescent="0.25">
      <c r="A3228" s="41" t="s">
        <v>6489</v>
      </c>
      <c r="B3228" s="41" t="s">
        <v>6487</v>
      </c>
      <c r="C3228" s="41" t="s">
        <v>2928</v>
      </c>
      <c r="D3228" s="41" t="s">
        <v>6486</v>
      </c>
      <c r="E3228" s="41" t="s">
        <v>2929</v>
      </c>
      <c r="F3228" s="41" t="s">
        <v>2933</v>
      </c>
      <c r="G3228" s="41" t="s">
        <v>2934</v>
      </c>
    </row>
    <row r="3229" spans="1:7" x14ac:dyDescent="0.25">
      <c r="A3229" s="41" t="s">
        <v>6490</v>
      </c>
      <c r="B3229" s="41" t="s">
        <v>6487</v>
      </c>
      <c r="C3229" s="41" t="s">
        <v>2928</v>
      </c>
      <c r="D3229" s="41" t="s">
        <v>6486</v>
      </c>
      <c r="E3229" s="41" t="s">
        <v>2929</v>
      </c>
      <c r="F3229" s="41" t="s">
        <v>2933</v>
      </c>
      <c r="G3229" s="41" t="s">
        <v>2934</v>
      </c>
    </row>
    <row r="3230" spans="1:7" x14ac:dyDescent="0.25">
      <c r="A3230" s="41" t="s">
        <v>6491</v>
      </c>
      <c r="B3230" s="41" t="s">
        <v>6487</v>
      </c>
      <c r="C3230" s="41" t="s">
        <v>2928</v>
      </c>
      <c r="D3230" s="41" t="s">
        <v>6486</v>
      </c>
      <c r="E3230" s="41" t="s">
        <v>2929</v>
      </c>
      <c r="F3230" s="41" t="s">
        <v>2930</v>
      </c>
      <c r="G3230" s="41" t="s">
        <v>2931</v>
      </c>
    </row>
    <row r="3231" spans="1:7" x14ac:dyDescent="0.25">
      <c r="A3231" s="41" t="s">
        <v>6492</v>
      </c>
      <c r="B3231" s="41" t="s">
        <v>6487</v>
      </c>
      <c r="C3231" s="41" t="s">
        <v>2928</v>
      </c>
      <c r="D3231" s="41" t="s">
        <v>6486</v>
      </c>
      <c r="E3231" s="41" t="s">
        <v>2929</v>
      </c>
      <c r="F3231" s="41" t="s">
        <v>2930</v>
      </c>
      <c r="G3231" s="41" t="s">
        <v>2931</v>
      </c>
    </row>
    <row r="3232" spans="1:7" x14ac:dyDescent="0.25">
      <c r="A3232" s="41" t="s">
        <v>6493</v>
      </c>
      <c r="B3232" s="41" t="s">
        <v>6487</v>
      </c>
      <c r="C3232" s="41" t="s">
        <v>2928</v>
      </c>
      <c r="D3232" s="41" t="s">
        <v>6486</v>
      </c>
      <c r="E3232" s="41" t="s">
        <v>2929</v>
      </c>
      <c r="F3232" s="41" t="s">
        <v>2930</v>
      </c>
      <c r="G3232" s="41" t="s">
        <v>2931</v>
      </c>
    </row>
    <row r="3233" spans="1:7" x14ac:dyDescent="0.25">
      <c r="A3233" s="41" t="s">
        <v>6494</v>
      </c>
      <c r="B3233" s="41" t="s">
        <v>6487</v>
      </c>
      <c r="C3233" s="41" t="s">
        <v>2928</v>
      </c>
      <c r="D3233" s="41" t="s">
        <v>6486</v>
      </c>
      <c r="E3233" s="41" t="s">
        <v>2929</v>
      </c>
      <c r="F3233" s="41" t="s">
        <v>2930</v>
      </c>
      <c r="G3233" s="41" t="s">
        <v>2931</v>
      </c>
    </row>
    <row r="3234" spans="1:7" x14ac:dyDescent="0.25">
      <c r="A3234" s="41" t="s">
        <v>6495</v>
      </c>
      <c r="B3234" s="41" t="s">
        <v>6487</v>
      </c>
      <c r="C3234" s="41" t="s">
        <v>2928</v>
      </c>
      <c r="D3234" s="41" t="s">
        <v>6486</v>
      </c>
      <c r="E3234" s="41" t="s">
        <v>2929</v>
      </c>
      <c r="F3234" s="41" t="s">
        <v>2949</v>
      </c>
      <c r="G3234" s="41" t="s">
        <v>2950</v>
      </c>
    </row>
    <row r="3235" spans="1:7" x14ac:dyDescent="0.25">
      <c r="A3235" s="41" t="s">
        <v>6496</v>
      </c>
      <c r="B3235" s="41" t="s">
        <v>6487</v>
      </c>
      <c r="C3235" s="41" t="s">
        <v>2928</v>
      </c>
      <c r="D3235" s="41" t="s">
        <v>6486</v>
      </c>
      <c r="E3235" s="41" t="s">
        <v>2929</v>
      </c>
      <c r="F3235" s="41" t="s">
        <v>2949</v>
      </c>
      <c r="G3235" s="41" t="s">
        <v>2950</v>
      </c>
    </row>
    <row r="3236" spans="1:7" x14ac:dyDescent="0.25">
      <c r="A3236" s="41" t="s">
        <v>6497</v>
      </c>
      <c r="B3236" s="41" t="s">
        <v>6498</v>
      </c>
      <c r="C3236" s="41" t="s">
        <v>2928</v>
      </c>
      <c r="D3236" s="41" t="s">
        <v>6497</v>
      </c>
      <c r="E3236" s="41" t="s">
        <v>2929</v>
      </c>
      <c r="F3236" s="41" t="s">
        <v>2930</v>
      </c>
      <c r="G3236" s="41" t="s">
        <v>2931</v>
      </c>
    </row>
    <row r="3237" spans="1:7" x14ac:dyDescent="0.25">
      <c r="A3237" s="41" t="s">
        <v>6499</v>
      </c>
      <c r="B3237" s="41" t="s">
        <v>6498</v>
      </c>
      <c r="C3237" s="41" t="s">
        <v>2928</v>
      </c>
      <c r="D3237" s="41" t="s">
        <v>6497</v>
      </c>
      <c r="E3237" s="41" t="s">
        <v>4532</v>
      </c>
      <c r="F3237" s="41" t="s">
        <v>2933</v>
      </c>
      <c r="G3237" s="41" t="s">
        <v>2934</v>
      </c>
    </row>
    <row r="3238" spans="1:7" x14ac:dyDescent="0.25">
      <c r="A3238" s="41" t="s">
        <v>6500</v>
      </c>
      <c r="B3238" s="41" t="s">
        <v>6498</v>
      </c>
      <c r="C3238" s="41" t="s">
        <v>2928</v>
      </c>
      <c r="D3238" s="41" t="s">
        <v>6497</v>
      </c>
      <c r="E3238" s="41" t="s">
        <v>2929</v>
      </c>
      <c r="F3238" s="41" t="s">
        <v>2933</v>
      </c>
      <c r="G3238" s="41" t="s">
        <v>2934</v>
      </c>
    </row>
    <row r="3239" spans="1:7" x14ac:dyDescent="0.25">
      <c r="A3239" s="41" t="s">
        <v>6501</v>
      </c>
      <c r="B3239" s="41" t="s">
        <v>6498</v>
      </c>
      <c r="C3239" s="41" t="s">
        <v>2928</v>
      </c>
      <c r="D3239" s="41" t="s">
        <v>6497</v>
      </c>
      <c r="E3239" s="41" t="s">
        <v>2929</v>
      </c>
      <c r="F3239" s="41" t="s">
        <v>2930</v>
      </c>
      <c r="G3239" s="41" t="s">
        <v>2931</v>
      </c>
    </row>
    <row r="3240" spans="1:7" x14ac:dyDescent="0.25">
      <c r="A3240" s="41" t="s">
        <v>6502</v>
      </c>
      <c r="B3240" s="41" t="s">
        <v>6498</v>
      </c>
      <c r="C3240" s="41" t="s">
        <v>2928</v>
      </c>
      <c r="D3240" s="41" t="s">
        <v>6497</v>
      </c>
      <c r="E3240" s="41" t="s">
        <v>2929</v>
      </c>
      <c r="F3240" s="41" t="s">
        <v>2949</v>
      </c>
      <c r="G3240" s="41" t="s">
        <v>2950</v>
      </c>
    </row>
    <row r="3241" spans="1:7" x14ac:dyDescent="0.25">
      <c r="A3241" s="41" t="s">
        <v>6503</v>
      </c>
      <c r="B3241" s="41" t="s">
        <v>6498</v>
      </c>
      <c r="C3241" s="41" t="s">
        <v>2928</v>
      </c>
      <c r="D3241" s="41" t="s">
        <v>6497</v>
      </c>
      <c r="E3241" s="41" t="s">
        <v>2929</v>
      </c>
      <c r="F3241" s="41" t="s">
        <v>2949</v>
      </c>
      <c r="G3241" s="41" t="s">
        <v>2950</v>
      </c>
    </row>
    <row r="3242" spans="1:7" x14ac:dyDescent="0.25">
      <c r="A3242" s="41" t="s">
        <v>6504</v>
      </c>
      <c r="B3242" s="41" t="s">
        <v>6498</v>
      </c>
      <c r="C3242" s="41" t="s">
        <v>2928</v>
      </c>
      <c r="D3242" s="41" t="s">
        <v>6497</v>
      </c>
      <c r="E3242" s="41" t="s">
        <v>2929</v>
      </c>
      <c r="F3242" s="41" t="s">
        <v>2949</v>
      </c>
      <c r="G3242" s="41" t="s">
        <v>2950</v>
      </c>
    </row>
    <row r="3243" spans="1:7" x14ac:dyDescent="0.25">
      <c r="A3243" s="41" t="s">
        <v>6505</v>
      </c>
      <c r="B3243" s="41" t="s">
        <v>6506</v>
      </c>
      <c r="C3243" s="41" t="s">
        <v>2928</v>
      </c>
      <c r="D3243" s="41" t="s">
        <v>6505</v>
      </c>
      <c r="E3243" s="41" t="s">
        <v>2929</v>
      </c>
      <c r="F3243" s="41" t="s">
        <v>2930</v>
      </c>
      <c r="G3243" s="41" t="s">
        <v>2931</v>
      </c>
    </row>
    <row r="3244" spans="1:7" x14ac:dyDescent="0.25">
      <c r="A3244" s="41" t="s">
        <v>6507</v>
      </c>
      <c r="B3244" s="41" t="s">
        <v>6506</v>
      </c>
      <c r="C3244" s="41" t="s">
        <v>2928</v>
      </c>
      <c r="D3244" s="41" t="s">
        <v>6505</v>
      </c>
      <c r="E3244" s="41" t="s">
        <v>2929</v>
      </c>
      <c r="F3244" s="41" t="s">
        <v>2933</v>
      </c>
      <c r="G3244" s="41" t="s">
        <v>2934</v>
      </c>
    </row>
    <row r="3245" spans="1:7" x14ac:dyDescent="0.25">
      <c r="A3245" s="41" t="s">
        <v>6508</v>
      </c>
      <c r="B3245" s="41" t="s">
        <v>6506</v>
      </c>
      <c r="C3245" s="41" t="s">
        <v>2928</v>
      </c>
      <c r="D3245" s="41" t="s">
        <v>6505</v>
      </c>
      <c r="E3245" s="41" t="s">
        <v>2929</v>
      </c>
      <c r="F3245" s="41" t="s">
        <v>2933</v>
      </c>
      <c r="G3245" s="41" t="s">
        <v>2934</v>
      </c>
    </row>
    <row r="3246" spans="1:7" x14ac:dyDescent="0.25">
      <c r="A3246" s="41" t="s">
        <v>6509</v>
      </c>
      <c r="B3246" s="41" t="s">
        <v>6506</v>
      </c>
      <c r="C3246" s="41" t="s">
        <v>2928</v>
      </c>
      <c r="D3246" s="41" t="s">
        <v>6505</v>
      </c>
      <c r="E3246" s="41" t="s">
        <v>2929</v>
      </c>
      <c r="F3246" s="41" t="s">
        <v>2930</v>
      </c>
      <c r="G3246" s="41" t="s">
        <v>2931</v>
      </c>
    </row>
    <row r="3247" spans="1:7" x14ac:dyDescent="0.25">
      <c r="A3247" s="41" t="s">
        <v>6510</v>
      </c>
      <c r="B3247" s="41" t="s">
        <v>6506</v>
      </c>
      <c r="C3247" s="41" t="s">
        <v>2928</v>
      </c>
      <c r="D3247" s="41" t="s">
        <v>6505</v>
      </c>
      <c r="E3247" s="41" t="s">
        <v>2929</v>
      </c>
      <c r="F3247" s="41" t="s">
        <v>2949</v>
      </c>
      <c r="G3247" s="41" t="s">
        <v>2950</v>
      </c>
    </row>
    <row r="3248" spans="1:7" x14ac:dyDescent="0.25">
      <c r="A3248" s="41" t="s">
        <v>6511</v>
      </c>
      <c r="B3248" s="41" t="s">
        <v>6506</v>
      </c>
      <c r="C3248" s="41" t="s">
        <v>2928</v>
      </c>
      <c r="D3248" s="41" t="s">
        <v>6505</v>
      </c>
      <c r="E3248" s="41" t="s">
        <v>2929</v>
      </c>
      <c r="F3248" s="41" t="s">
        <v>2949</v>
      </c>
      <c r="G3248" s="41" t="s">
        <v>2950</v>
      </c>
    </row>
    <row r="3249" spans="1:7" x14ac:dyDescent="0.25">
      <c r="A3249" s="41" t="s">
        <v>6512</v>
      </c>
      <c r="B3249" s="41" t="s">
        <v>6506</v>
      </c>
      <c r="C3249" s="41" t="s">
        <v>2928</v>
      </c>
      <c r="D3249" s="41" t="s">
        <v>6505</v>
      </c>
      <c r="E3249" s="41" t="s">
        <v>2929</v>
      </c>
      <c r="F3249" s="41" t="s">
        <v>2949</v>
      </c>
      <c r="G3249" s="41" t="s">
        <v>2950</v>
      </c>
    </row>
    <row r="3250" spans="1:7" x14ac:dyDescent="0.25">
      <c r="A3250" s="41" t="s">
        <v>6513</v>
      </c>
      <c r="B3250" s="41" t="s">
        <v>6514</v>
      </c>
      <c r="C3250" s="41" t="s">
        <v>2928</v>
      </c>
      <c r="D3250" s="41" t="s">
        <v>6513</v>
      </c>
      <c r="E3250" s="41" t="s">
        <v>2929</v>
      </c>
      <c r="F3250" s="41" t="s">
        <v>2930</v>
      </c>
      <c r="G3250" s="41" t="s">
        <v>2931</v>
      </c>
    </row>
    <row r="3251" spans="1:7" x14ac:dyDescent="0.25">
      <c r="A3251" s="41" t="s">
        <v>6515</v>
      </c>
      <c r="B3251" s="41" t="s">
        <v>6514</v>
      </c>
      <c r="C3251" s="41" t="s">
        <v>2928</v>
      </c>
      <c r="D3251" s="41" t="s">
        <v>6513</v>
      </c>
      <c r="E3251" s="41" t="s">
        <v>2929</v>
      </c>
      <c r="F3251" s="41" t="s">
        <v>2933</v>
      </c>
      <c r="G3251" s="41" t="s">
        <v>2934</v>
      </c>
    </row>
    <row r="3252" spans="1:7" x14ac:dyDescent="0.25">
      <c r="A3252" s="41" t="s">
        <v>6516</v>
      </c>
      <c r="B3252" s="41" t="s">
        <v>6514</v>
      </c>
      <c r="C3252" s="41" t="s">
        <v>2928</v>
      </c>
      <c r="D3252" s="41" t="s">
        <v>6513</v>
      </c>
      <c r="E3252" s="41" t="s">
        <v>2929</v>
      </c>
      <c r="F3252" s="41" t="s">
        <v>2933</v>
      </c>
      <c r="G3252" s="41" t="s">
        <v>2934</v>
      </c>
    </row>
    <row r="3253" spans="1:7" x14ac:dyDescent="0.25">
      <c r="A3253" s="41" t="s">
        <v>6517</v>
      </c>
      <c r="B3253" s="41" t="s">
        <v>6514</v>
      </c>
      <c r="C3253" s="41" t="s">
        <v>2928</v>
      </c>
      <c r="D3253" s="41" t="s">
        <v>6513</v>
      </c>
      <c r="E3253" s="41" t="s">
        <v>2929</v>
      </c>
      <c r="F3253" s="41" t="s">
        <v>2930</v>
      </c>
      <c r="G3253" s="41" t="s">
        <v>2931</v>
      </c>
    </row>
    <row r="3254" spans="1:7" x14ac:dyDescent="0.25">
      <c r="A3254" s="41" t="s">
        <v>6518</v>
      </c>
      <c r="B3254" s="41" t="s">
        <v>6514</v>
      </c>
      <c r="C3254" s="41" t="s">
        <v>2928</v>
      </c>
      <c r="D3254" s="41" t="s">
        <v>6513</v>
      </c>
      <c r="E3254" s="41" t="s">
        <v>2929</v>
      </c>
      <c r="F3254" s="41" t="s">
        <v>2949</v>
      </c>
      <c r="G3254" s="41" t="s">
        <v>2950</v>
      </c>
    </row>
    <row r="3255" spans="1:7" x14ac:dyDescent="0.25">
      <c r="A3255" s="41" t="s">
        <v>6519</v>
      </c>
      <c r="B3255" s="41" t="s">
        <v>6514</v>
      </c>
      <c r="C3255" s="41" t="s">
        <v>2928</v>
      </c>
      <c r="D3255" s="41" t="s">
        <v>6513</v>
      </c>
      <c r="E3255" s="41" t="s">
        <v>2929</v>
      </c>
      <c r="F3255" s="41" t="s">
        <v>2949</v>
      </c>
      <c r="G3255" s="41" t="s">
        <v>2950</v>
      </c>
    </row>
    <row r="3256" spans="1:7" x14ac:dyDescent="0.25">
      <c r="A3256" s="41" t="s">
        <v>6520</v>
      </c>
      <c r="B3256" s="41" t="s">
        <v>6514</v>
      </c>
      <c r="C3256" s="41" t="s">
        <v>2928</v>
      </c>
      <c r="D3256" s="41" t="s">
        <v>6513</v>
      </c>
      <c r="E3256" s="41" t="s">
        <v>2929</v>
      </c>
      <c r="F3256" s="41" t="s">
        <v>2949</v>
      </c>
      <c r="G3256" s="41" t="s">
        <v>2950</v>
      </c>
    </row>
    <row r="3257" spans="1:7" x14ac:dyDescent="0.25">
      <c r="A3257" s="41" t="s">
        <v>6521</v>
      </c>
      <c r="B3257" s="41" t="s">
        <v>6522</v>
      </c>
      <c r="C3257" s="41" t="s">
        <v>2928</v>
      </c>
      <c r="D3257" s="41" t="s">
        <v>6521</v>
      </c>
      <c r="E3257" s="41" t="s">
        <v>2929</v>
      </c>
      <c r="F3257" s="41" t="s">
        <v>2930</v>
      </c>
      <c r="G3257" s="41" t="s">
        <v>2931</v>
      </c>
    </row>
    <row r="3258" spans="1:7" x14ac:dyDescent="0.25">
      <c r="A3258" s="41" t="s">
        <v>6523</v>
      </c>
      <c r="B3258" s="41" t="s">
        <v>6522</v>
      </c>
      <c r="C3258" s="41" t="s">
        <v>2928</v>
      </c>
      <c r="D3258" s="41" t="s">
        <v>6521</v>
      </c>
      <c r="E3258" s="41" t="s">
        <v>2929</v>
      </c>
      <c r="F3258" s="41" t="s">
        <v>2933</v>
      </c>
      <c r="G3258" s="41" t="s">
        <v>2934</v>
      </c>
    </row>
    <row r="3259" spans="1:7" x14ac:dyDescent="0.25">
      <c r="A3259" s="41" t="s">
        <v>6524</v>
      </c>
      <c r="B3259" s="41" t="s">
        <v>6522</v>
      </c>
      <c r="C3259" s="41" t="s">
        <v>2928</v>
      </c>
      <c r="D3259" s="41" t="s">
        <v>6521</v>
      </c>
      <c r="E3259" s="41" t="s">
        <v>2929</v>
      </c>
      <c r="F3259" s="41" t="s">
        <v>2933</v>
      </c>
      <c r="G3259" s="41" t="s">
        <v>2934</v>
      </c>
    </row>
    <row r="3260" spans="1:7" x14ac:dyDescent="0.25">
      <c r="A3260" s="41" t="s">
        <v>6525</v>
      </c>
      <c r="B3260" s="41" t="s">
        <v>6522</v>
      </c>
      <c r="C3260" s="41" t="s">
        <v>2928</v>
      </c>
      <c r="D3260" s="41" t="s">
        <v>6521</v>
      </c>
      <c r="E3260" s="41" t="s">
        <v>2929</v>
      </c>
      <c r="F3260" s="41" t="s">
        <v>2930</v>
      </c>
      <c r="G3260" s="41" t="s">
        <v>2931</v>
      </c>
    </row>
    <row r="3261" spans="1:7" x14ac:dyDescent="0.25">
      <c r="A3261" s="41" t="s">
        <v>6526</v>
      </c>
      <c r="B3261" s="41" t="s">
        <v>6522</v>
      </c>
      <c r="C3261" s="41" t="s">
        <v>2928</v>
      </c>
      <c r="D3261" s="41" t="s">
        <v>6521</v>
      </c>
      <c r="E3261" s="41" t="s">
        <v>2929</v>
      </c>
      <c r="F3261" s="41" t="s">
        <v>2949</v>
      </c>
      <c r="G3261" s="41" t="s">
        <v>2950</v>
      </c>
    </row>
    <row r="3262" spans="1:7" x14ac:dyDescent="0.25">
      <c r="A3262" s="41" t="s">
        <v>6527</v>
      </c>
      <c r="B3262" s="41" t="s">
        <v>6522</v>
      </c>
      <c r="C3262" s="41" t="s">
        <v>2928</v>
      </c>
      <c r="D3262" s="41" t="s">
        <v>6521</v>
      </c>
      <c r="E3262" s="41" t="s">
        <v>2929</v>
      </c>
      <c r="F3262" s="41" t="s">
        <v>2949</v>
      </c>
      <c r="G3262" s="41" t="s">
        <v>2950</v>
      </c>
    </row>
    <row r="3263" spans="1:7" x14ac:dyDescent="0.25">
      <c r="A3263" s="41" t="s">
        <v>6528</v>
      </c>
      <c r="B3263" s="41" t="s">
        <v>6522</v>
      </c>
      <c r="C3263" s="41" t="s">
        <v>2928</v>
      </c>
      <c r="D3263" s="41" t="s">
        <v>6521</v>
      </c>
      <c r="E3263" s="41" t="s">
        <v>2929</v>
      </c>
      <c r="F3263" s="41" t="s">
        <v>2949</v>
      </c>
      <c r="G3263" s="41" t="s">
        <v>2950</v>
      </c>
    </row>
    <row r="3264" spans="1:7" x14ac:dyDescent="0.25">
      <c r="A3264" s="41" t="s">
        <v>6529</v>
      </c>
      <c r="B3264" s="41" t="s">
        <v>6530</v>
      </c>
      <c r="C3264" s="41" t="s">
        <v>2928</v>
      </c>
      <c r="D3264" s="41" t="s">
        <v>6529</v>
      </c>
      <c r="E3264" s="41" t="s">
        <v>2929</v>
      </c>
      <c r="F3264" s="41" t="s">
        <v>2930</v>
      </c>
      <c r="G3264" s="41" t="s">
        <v>2931</v>
      </c>
    </row>
    <row r="3265" spans="1:7" x14ac:dyDescent="0.25">
      <c r="A3265" s="41" t="s">
        <v>6531</v>
      </c>
      <c r="B3265" s="41" t="s">
        <v>6530</v>
      </c>
      <c r="C3265" s="41" t="s">
        <v>2928</v>
      </c>
      <c r="D3265" s="41" t="s">
        <v>6529</v>
      </c>
      <c r="E3265" s="41" t="s">
        <v>2929</v>
      </c>
      <c r="F3265" s="41" t="s">
        <v>2933</v>
      </c>
      <c r="G3265" s="41" t="s">
        <v>2934</v>
      </c>
    </row>
    <row r="3266" spans="1:7" x14ac:dyDescent="0.25">
      <c r="A3266" s="41" t="s">
        <v>6532</v>
      </c>
      <c r="B3266" s="41" t="s">
        <v>6530</v>
      </c>
      <c r="C3266" s="41" t="s">
        <v>2928</v>
      </c>
      <c r="D3266" s="41" t="s">
        <v>6529</v>
      </c>
      <c r="E3266" s="41" t="s">
        <v>2929</v>
      </c>
      <c r="F3266" s="41" t="s">
        <v>2933</v>
      </c>
      <c r="G3266" s="41" t="s">
        <v>2934</v>
      </c>
    </row>
    <row r="3267" spans="1:7" x14ac:dyDescent="0.25">
      <c r="A3267" s="41" t="s">
        <v>6533</v>
      </c>
      <c r="B3267" s="41" t="s">
        <v>6530</v>
      </c>
      <c r="C3267" s="41" t="s">
        <v>2928</v>
      </c>
      <c r="D3267" s="41" t="s">
        <v>6529</v>
      </c>
      <c r="E3267" s="41" t="s">
        <v>2929</v>
      </c>
      <c r="F3267" s="41" t="s">
        <v>2930</v>
      </c>
      <c r="G3267" s="41" t="s">
        <v>2931</v>
      </c>
    </row>
    <row r="3268" spans="1:7" x14ac:dyDescent="0.25">
      <c r="A3268" s="41" t="s">
        <v>6534</v>
      </c>
      <c r="B3268" s="41" t="s">
        <v>6530</v>
      </c>
      <c r="C3268" s="41" t="s">
        <v>2928</v>
      </c>
      <c r="D3268" s="41" t="s">
        <v>6529</v>
      </c>
      <c r="E3268" s="41" t="s">
        <v>2929</v>
      </c>
      <c r="F3268" s="41" t="s">
        <v>2949</v>
      </c>
      <c r="G3268" s="41" t="s">
        <v>2950</v>
      </c>
    </row>
    <row r="3269" spans="1:7" x14ac:dyDescent="0.25">
      <c r="A3269" s="41" t="s">
        <v>6535</v>
      </c>
      <c r="B3269" s="41" t="s">
        <v>6530</v>
      </c>
      <c r="C3269" s="41" t="s">
        <v>2928</v>
      </c>
      <c r="D3269" s="41" t="s">
        <v>6529</v>
      </c>
      <c r="E3269" s="41" t="s">
        <v>2929</v>
      </c>
      <c r="F3269" s="41" t="s">
        <v>2949</v>
      </c>
      <c r="G3269" s="41" t="s">
        <v>2950</v>
      </c>
    </row>
    <row r="3270" spans="1:7" x14ac:dyDescent="0.25">
      <c r="A3270" s="41" t="s">
        <v>6536</v>
      </c>
      <c r="B3270" s="41" t="s">
        <v>6530</v>
      </c>
      <c r="C3270" s="41" t="s">
        <v>2928</v>
      </c>
      <c r="D3270" s="41" t="s">
        <v>6529</v>
      </c>
      <c r="E3270" s="41" t="s">
        <v>2929</v>
      </c>
      <c r="F3270" s="41" t="s">
        <v>2949</v>
      </c>
      <c r="G3270" s="41" t="s">
        <v>2950</v>
      </c>
    </row>
    <row r="3271" spans="1:7" x14ac:dyDescent="0.25">
      <c r="A3271" s="41" t="s">
        <v>6537</v>
      </c>
      <c r="B3271" s="41" t="s">
        <v>6538</v>
      </c>
      <c r="C3271" s="41" t="s">
        <v>95</v>
      </c>
      <c r="D3271" s="41" t="s">
        <v>6539</v>
      </c>
      <c r="E3271" s="41" t="s">
        <v>2984</v>
      </c>
      <c r="F3271" s="41" t="s">
        <v>2933</v>
      </c>
      <c r="G3271" s="41" t="s">
        <v>2934</v>
      </c>
    </row>
    <row r="3272" spans="1:7" x14ac:dyDescent="0.25">
      <c r="A3272" s="41" t="s">
        <v>6540</v>
      </c>
      <c r="B3272" s="41" t="s">
        <v>6538</v>
      </c>
      <c r="C3272" s="41" t="s">
        <v>95</v>
      </c>
      <c r="D3272" s="41" t="s">
        <v>6539</v>
      </c>
      <c r="E3272" s="41" t="s">
        <v>2929</v>
      </c>
      <c r="F3272" s="41" t="s">
        <v>2949</v>
      </c>
      <c r="G3272" s="41" t="s">
        <v>2950</v>
      </c>
    </row>
    <row r="3273" spans="1:7" x14ac:dyDescent="0.25">
      <c r="A3273" s="41" t="s">
        <v>6541</v>
      </c>
      <c r="B3273" s="41" t="s">
        <v>6538</v>
      </c>
      <c r="C3273" s="41" t="s">
        <v>95</v>
      </c>
      <c r="D3273" s="41" t="s">
        <v>6539</v>
      </c>
      <c r="E3273" s="41" t="s">
        <v>2929</v>
      </c>
      <c r="F3273" s="41" t="s">
        <v>2930</v>
      </c>
      <c r="G3273" s="41" t="s">
        <v>2950</v>
      </c>
    </row>
    <row r="3274" spans="1:7" x14ac:dyDescent="0.25">
      <c r="A3274" s="41" t="s">
        <v>6542</v>
      </c>
      <c r="B3274" s="41" t="s">
        <v>6543</v>
      </c>
      <c r="C3274" s="41" t="s">
        <v>1239</v>
      </c>
      <c r="D3274" s="41" t="s">
        <v>6544</v>
      </c>
      <c r="E3274" s="41" t="s">
        <v>2929</v>
      </c>
      <c r="F3274" s="41" t="s">
        <v>2933</v>
      </c>
      <c r="G3274" s="41" t="s">
        <v>2934</v>
      </c>
    </row>
    <row r="3275" spans="1:7" x14ac:dyDescent="0.25">
      <c r="A3275" s="41" t="s">
        <v>6545</v>
      </c>
      <c r="B3275" s="41" t="s">
        <v>6543</v>
      </c>
      <c r="C3275" s="41" t="s">
        <v>1239</v>
      </c>
      <c r="D3275" s="41" t="s">
        <v>6544</v>
      </c>
      <c r="E3275" s="41" t="s">
        <v>2984</v>
      </c>
      <c r="F3275" s="41" t="s">
        <v>2933</v>
      </c>
      <c r="G3275" s="41" t="s">
        <v>2934</v>
      </c>
    </row>
    <row r="3276" spans="1:7" x14ac:dyDescent="0.25">
      <c r="A3276" s="41" t="s">
        <v>6546</v>
      </c>
      <c r="B3276" s="41" t="s">
        <v>6543</v>
      </c>
      <c r="C3276" s="41" t="s">
        <v>1239</v>
      </c>
      <c r="D3276" s="41" t="s">
        <v>6544</v>
      </c>
      <c r="E3276" s="41" t="s">
        <v>2929</v>
      </c>
      <c r="F3276" s="41" t="s">
        <v>2930</v>
      </c>
      <c r="G3276" s="41" t="s">
        <v>2931</v>
      </c>
    </row>
    <row r="3277" spans="1:7" x14ac:dyDescent="0.25">
      <c r="A3277" s="41" t="s">
        <v>6547</v>
      </c>
      <c r="B3277" s="41" t="s">
        <v>6543</v>
      </c>
      <c r="C3277" s="41" t="s">
        <v>1239</v>
      </c>
      <c r="D3277" s="41" t="s">
        <v>6544</v>
      </c>
      <c r="E3277" s="41" t="s">
        <v>2929</v>
      </c>
      <c r="F3277" s="41" t="s">
        <v>2949</v>
      </c>
      <c r="G3277" s="41" t="s">
        <v>2950</v>
      </c>
    </row>
    <row r="3278" spans="1:7" x14ac:dyDescent="0.25">
      <c r="A3278" s="41" t="s">
        <v>6548</v>
      </c>
      <c r="B3278" s="41" t="s">
        <v>6543</v>
      </c>
      <c r="C3278" s="41" t="s">
        <v>1239</v>
      </c>
      <c r="D3278" s="41" t="s">
        <v>6544</v>
      </c>
      <c r="E3278" s="41" t="s">
        <v>2929</v>
      </c>
      <c r="F3278" s="41" t="s">
        <v>2949</v>
      </c>
      <c r="G3278" s="41" t="s">
        <v>2950</v>
      </c>
    </row>
    <row r="3279" spans="1:7" x14ac:dyDescent="0.25">
      <c r="A3279" s="41" t="s">
        <v>6549</v>
      </c>
      <c r="B3279" s="41" t="s">
        <v>6543</v>
      </c>
      <c r="C3279" s="41" t="s">
        <v>1239</v>
      </c>
      <c r="D3279" s="41" t="s">
        <v>6544</v>
      </c>
      <c r="E3279" s="41" t="s">
        <v>2929</v>
      </c>
      <c r="F3279" s="41" t="s">
        <v>2949</v>
      </c>
      <c r="G3279" s="41" t="s">
        <v>2950</v>
      </c>
    </row>
    <row r="3280" spans="1:7" x14ac:dyDescent="0.25">
      <c r="A3280" s="41" t="s">
        <v>6550</v>
      </c>
      <c r="B3280" s="41" t="s">
        <v>6551</v>
      </c>
      <c r="C3280" s="41" t="s">
        <v>2928</v>
      </c>
      <c r="D3280" s="41" t="s">
        <v>6550</v>
      </c>
      <c r="E3280" s="41" t="s">
        <v>4532</v>
      </c>
      <c r="F3280" s="41" t="s">
        <v>2930</v>
      </c>
      <c r="G3280" s="41" t="s">
        <v>2931</v>
      </c>
    </row>
    <row r="3281" spans="1:7" x14ac:dyDescent="0.25">
      <c r="A3281" s="41" t="s">
        <v>6552</v>
      </c>
      <c r="B3281" s="41" t="s">
        <v>6551</v>
      </c>
      <c r="C3281" s="41" t="s">
        <v>2928</v>
      </c>
      <c r="D3281" s="41" t="s">
        <v>6550</v>
      </c>
      <c r="E3281" s="41" t="s">
        <v>2929</v>
      </c>
      <c r="F3281" s="41" t="s">
        <v>2933</v>
      </c>
      <c r="G3281" s="41" t="s">
        <v>2934</v>
      </c>
    </row>
    <row r="3282" spans="1:7" x14ac:dyDescent="0.25">
      <c r="A3282" s="41" t="s">
        <v>6553</v>
      </c>
      <c r="B3282" s="41" t="s">
        <v>6551</v>
      </c>
      <c r="C3282" s="41" t="s">
        <v>2928</v>
      </c>
      <c r="D3282" s="41" t="s">
        <v>6550</v>
      </c>
      <c r="E3282" s="41" t="s">
        <v>2929</v>
      </c>
      <c r="F3282" s="41" t="s">
        <v>2933</v>
      </c>
      <c r="G3282" s="41" t="s">
        <v>2934</v>
      </c>
    </row>
    <row r="3283" spans="1:7" x14ac:dyDescent="0.25">
      <c r="A3283" s="41" t="s">
        <v>6554</v>
      </c>
      <c r="B3283" s="41" t="s">
        <v>6551</v>
      </c>
      <c r="C3283" s="41" t="s">
        <v>2928</v>
      </c>
      <c r="D3283" s="41" t="s">
        <v>6550</v>
      </c>
      <c r="E3283" s="41" t="s">
        <v>2929</v>
      </c>
      <c r="F3283" s="41" t="s">
        <v>2933</v>
      </c>
      <c r="G3283" s="41" t="s">
        <v>2934</v>
      </c>
    </row>
    <row r="3284" spans="1:7" x14ac:dyDescent="0.25">
      <c r="A3284" s="41" t="s">
        <v>6555</v>
      </c>
      <c r="B3284" s="41" t="s">
        <v>6551</v>
      </c>
      <c r="C3284" s="41" t="s">
        <v>2928</v>
      </c>
      <c r="D3284" s="41" t="s">
        <v>6550</v>
      </c>
      <c r="E3284" s="41" t="s">
        <v>2929</v>
      </c>
      <c r="F3284" s="41" t="s">
        <v>2930</v>
      </c>
      <c r="G3284" s="41" t="s">
        <v>2931</v>
      </c>
    </row>
    <row r="3285" spans="1:7" x14ac:dyDescent="0.25">
      <c r="A3285" s="41" t="s">
        <v>6556</v>
      </c>
      <c r="B3285" s="41" t="s">
        <v>6551</v>
      </c>
      <c r="C3285" s="41" t="s">
        <v>2928</v>
      </c>
      <c r="D3285" s="41" t="s">
        <v>6550</v>
      </c>
      <c r="E3285" s="41" t="s">
        <v>2929</v>
      </c>
      <c r="F3285" s="41" t="s">
        <v>2930</v>
      </c>
      <c r="G3285" s="41" t="s">
        <v>2931</v>
      </c>
    </row>
    <row r="3286" spans="1:7" x14ac:dyDescent="0.25">
      <c r="A3286" s="41" t="s">
        <v>6557</v>
      </c>
      <c r="B3286" s="41" t="s">
        <v>6551</v>
      </c>
      <c r="C3286" s="41" t="s">
        <v>2928</v>
      </c>
      <c r="D3286" s="41" t="s">
        <v>6550</v>
      </c>
      <c r="E3286" s="41" t="s">
        <v>2929</v>
      </c>
      <c r="F3286" s="41" t="s">
        <v>2930</v>
      </c>
      <c r="G3286" s="41" t="s">
        <v>2931</v>
      </c>
    </row>
    <row r="3287" spans="1:7" x14ac:dyDescent="0.25">
      <c r="A3287" s="41" t="s">
        <v>6558</v>
      </c>
      <c r="B3287" s="41" t="s">
        <v>6551</v>
      </c>
      <c r="C3287" s="41" t="s">
        <v>2928</v>
      </c>
      <c r="D3287" s="41" t="s">
        <v>6550</v>
      </c>
      <c r="E3287" s="41" t="s">
        <v>2929</v>
      </c>
      <c r="F3287" s="41" t="s">
        <v>2930</v>
      </c>
      <c r="G3287" s="41" t="s">
        <v>2931</v>
      </c>
    </row>
    <row r="3288" spans="1:7" x14ac:dyDescent="0.25">
      <c r="A3288" s="41" t="s">
        <v>6559</v>
      </c>
      <c r="B3288" s="41" t="s">
        <v>6551</v>
      </c>
      <c r="C3288" s="41" t="s">
        <v>2928</v>
      </c>
      <c r="D3288" s="41" t="s">
        <v>6550</v>
      </c>
      <c r="E3288" s="41" t="s">
        <v>2929</v>
      </c>
      <c r="F3288" s="41" t="s">
        <v>2949</v>
      </c>
      <c r="G3288" s="41" t="s">
        <v>2950</v>
      </c>
    </row>
    <row r="3289" spans="1:7" x14ac:dyDescent="0.25">
      <c r="A3289" s="41" t="s">
        <v>6560</v>
      </c>
      <c r="B3289" s="41" t="s">
        <v>6551</v>
      </c>
      <c r="C3289" s="41" t="s">
        <v>2928</v>
      </c>
      <c r="D3289" s="41" t="s">
        <v>6550</v>
      </c>
      <c r="E3289" s="41" t="s">
        <v>2929</v>
      </c>
      <c r="F3289" s="41" t="s">
        <v>2949</v>
      </c>
      <c r="G3289" s="41" t="s">
        <v>2950</v>
      </c>
    </row>
    <row r="3290" spans="1:7" x14ac:dyDescent="0.25">
      <c r="A3290" s="41" t="s">
        <v>6561</v>
      </c>
      <c r="B3290" s="41" t="s">
        <v>6562</v>
      </c>
      <c r="C3290" s="41" t="s">
        <v>2928</v>
      </c>
      <c r="D3290" s="41" t="s">
        <v>6561</v>
      </c>
      <c r="E3290" s="41" t="s">
        <v>2929</v>
      </c>
      <c r="F3290" s="41" t="s">
        <v>2930</v>
      </c>
      <c r="G3290" s="41" t="s">
        <v>2931</v>
      </c>
    </row>
    <row r="3291" spans="1:7" x14ac:dyDescent="0.25">
      <c r="A3291" s="41" t="s">
        <v>6563</v>
      </c>
      <c r="B3291" s="41" t="s">
        <v>6562</v>
      </c>
      <c r="C3291" s="41" t="s">
        <v>2928</v>
      </c>
      <c r="D3291" s="41" t="s">
        <v>6561</v>
      </c>
      <c r="E3291" s="41" t="s">
        <v>2929</v>
      </c>
      <c r="F3291" s="41" t="s">
        <v>2933</v>
      </c>
      <c r="G3291" s="41" t="s">
        <v>2934</v>
      </c>
    </row>
    <row r="3292" spans="1:7" x14ac:dyDescent="0.25">
      <c r="A3292" s="41" t="s">
        <v>6564</v>
      </c>
      <c r="B3292" s="41" t="s">
        <v>6562</v>
      </c>
      <c r="C3292" s="41" t="s">
        <v>2928</v>
      </c>
      <c r="D3292" s="41" t="s">
        <v>6561</v>
      </c>
      <c r="E3292" s="41" t="s">
        <v>2929</v>
      </c>
      <c r="F3292" s="41" t="s">
        <v>2930</v>
      </c>
      <c r="G3292" s="41" t="s">
        <v>2931</v>
      </c>
    </row>
    <row r="3293" spans="1:7" x14ac:dyDescent="0.25">
      <c r="A3293" s="41" t="s">
        <v>6565</v>
      </c>
      <c r="B3293" s="41" t="s">
        <v>6562</v>
      </c>
      <c r="C3293" s="41" t="s">
        <v>2928</v>
      </c>
      <c r="D3293" s="41" t="s">
        <v>6561</v>
      </c>
      <c r="E3293" s="41" t="s">
        <v>2929</v>
      </c>
      <c r="F3293" s="41" t="s">
        <v>2930</v>
      </c>
      <c r="G3293" s="41" t="s">
        <v>2931</v>
      </c>
    </row>
    <row r="3294" spans="1:7" x14ac:dyDescent="0.25">
      <c r="A3294" s="41" t="s">
        <v>6566</v>
      </c>
      <c r="B3294" s="41" t="s">
        <v>6562</v>
      </c>
      <c r="C3294" s="41" t="s">
        <v>2928</v>
      </c>
      <c r="D3294" s="41" t="s">
        <v>6561</v>
      </c>
      <c r="E3294" s="41" t="s">
        <v>2929</v>
      </c>
      <c r="F3294" s="41" t="s">
        <v>2949</v>
      </c>
      <c r="G3294" s="41" t="s">
        <v>2950</v>
      </c>
    </row>
    <row r="3295" spans="1:7" x14ac:dyDescent="0.25">
      <c r="A3295" s="41" t="s">
        <v>6567</v>
      </c>
      <c r="B3295" s="41" t="s">
        <v>6562</v>
      </c>
      <c r="C3295" s="41" t="s">
        <v>2928</v>
      </c>
      <c r="D3295" s="41" t="s">
        <v>6567</v>
      </c>
      <c r="E3295" s="41" t="s">
        <v>2929</v>
      </c>
      <c r="F3295" s="41" t="s">
        <v>2930</v>
      </c>
      <c r="G3295" s="41" t="s">
        <v>2931</v>
      </c>
    </row>
    <row r="3296" spans="1:7" x14ac:dyDescent="0.25">
      <c r="A3296" s="41" t="s">
        <v>6568</v>
      </c>
      <c r="B3296" s="41" t="s">
        <v>6562</v>
      </c>
      <c r="C3296" s="41" t="s">
        <v>2928</v>
      </c>
      <c r="D3296" s="41" t="s">
        <v>6567</v>
      </c>
      <c r="E3296" s="41" t="s">
        <v>2929</v>
      </c>
      <c r="F3296" s="41" t="s">
        <v>2933</v>
      </c>
      <c r="G3296" s="41" t="s">
        <v>2934</v>
      </c>
    </row>
    <row r="3297" spans="1:7" x14ac:dyDescent="0.25">
      <c r="A3297" s="41" t="s">
        <v>6569</v>
      </c>
      <c r="B3297" s="41" t="s">
        <v>6562</v>
      </c>
      <c r="C3297" s="41" t="s">
        <v>2928</v>
      </c>
      <c r="D3297" s="41" t="s">
        <v>6567</v>
      </c>
      <c r="E3297" s="41" t="s">
        <v>2929</v>
      </c>
      <c r="F3297" s="41" t="s">
        <v>2930</v>
      </c>
      <c r="G3297" s="41" t="s">
        <v>2931</v>
      </c>
    </row>
    <row r="3298" spans="1:7" x14ac:dyDescent="0.25">
      <c r="A3298" s="41" t="s">
        <v>6570</v>
      </c>
      <c r="B3298" s="41" t="s">
        <v>6562</v>
      </c>
      <c r="C3298" s="41" t="s">
        <v>2928</v>
      </c>
      <c r="D3298" s="41" t="s">
        <v>6567</v>
      </c>
      <c r="E3298" s="41" t="s">
        <v>2929</v>
      </c>
      <c r="F3298" s="41" t="s">
        <v>2930</v>
      </c>
      <c r="G3298" s="41" t="s">
        <v>2931</v>
      </c>
    </row>
    <row r="3299" spans="1:7" x14ac:dyDescent="0.25">
      <c r="A3299" s="41" t="s">
        <v>6571</v>
      </c>
      <c r="B3299" s="41" t="s">
        <v>6562</v>
      </c>
      <c r="C3299" s="41" t="s">
        <v>2928</v>
      </c>
      <c r="D3299" s="41" t="s">
        <v>6567</v>
      </c>
      <c r="E3299" s="41" t="s">
        <v>2929</v>
      </c>
      <c r="F3299" s="41" t="s">
        <v>2949</v>
      </c>
      <c r="G3299" s="41" t="s">
        <v>2950</v>
      </c>
    </row>
    <row r="3300" spans="1:7" x14ac:dyDescent="0.25">
      <c r="A3300" s="41" t="s">
        <v>6572</v>
      </c>
      <c r="B3300" s="41" t="s">
        <v>6573</v>
      </c>
      <c r="C3300" s="41" t="s">
        <v>2928</v>
      </c>
      <c r="D3300" s="41" t="s">
        <v>6572</v>
      </c>
      <c r="E3300" s="41" t="s">
        <v>2929</v>
      </c>
      <c r="F3300" s="41" t="s">
        <v>2930</v>
      </c>
      <c r="G3300" s="41" t="s">
        <v>2931</v>
      </c>
    </row>
    <row r="3301" spans="1:7" x14ac:dyDescent="0.25">
      <c r="A3301" s="41" t="s">
        <v>6574</v>
      </c>
      <c r="B3301" s="41" t="s">
        <v>6573</v>
      </c>
      <c r="C3301" s="41" t="s">
        <v>2928</v>
      </c>
      <c r="D3301" s="41" t="s">
        <v>6572</v>
      </c>
      <c r="E3301" s="41" t="s">
        <v>2929</v>
      </c>
      <c r="F3301" s="41" t="s">
        <v>2933</v>
      </c>
      <c r="G3301" s="41" t="s">
        <v>2934</v>
      </c>
    </row>
    <row r="3302" spans="1:7" x14ac:dyDescent="0.25">
      <c r="A3302" s="41" t="s">
        <v>6575</v>
      </c>
      <c r="B3302" s="41" t="s">
        <v>6573</v>
      </c>
      <c r="C3302" s="41" t="s">
        <v>2928</v>
      </c>
      <c r="D3302" s="41" t="s">
        <v>6572</v>
      </c>
      <c r="E3302" s="41" t="s">
        <v>2929</v>
      </c>
      <c r="F3302" s="41" t="s">
        <v>2930</v>
      </c>
      <c r="G3302" s="41" t="s">
        <v>2931</v>
      </c>
    </row>
    <row r="3303" spans="1:7" x14ac:dyDescent="0.25">
      <c r="A3303" s="41" t="s">
        <v>6576</v>
      </c>
      <c r="B3303" s="41" t="s">
        <v>6573</v>
      </c>
      <c r="C3303" s="41" t="s">
        <v>2928</v>
      </c>
      <c r="D3303" s="41" t="s">
        <v>6572</v>
      </c>
      <c r="E3303" s="41" t="s">
        <v>2929</v>
      </c>
      <c r="F3303" s="41" t="s">
        <v>2930</v>
      </c>
      <c r="G3303" s="41" t="s">
        <v>2931</v>
      </c>
    </row>
    <row r="3304" spans="1:7" x14ac:dyDescent="0.25">
      <c r="A3304" s="41" t="s">
        <v>6577</v>
      </c>
      <c r="B3304" s="41" t="s">
        <v>6573</v>
      </c>
      <c r="C3304" s="41" t="s">
        <v>2928</v>
      </c>
      <c r="D3304" s="41" t="s">
        <v>6572</v>
      </c>
      <c r="E3304" s="41" t="s">
        <v>2929</v>
      </c>
      <c r="F3304" s="41" t="s">
        <v>2949</v>
      </c>
      <c r="G3304" s="41" t="s">
        <v>2950</v>
      </c>
    </row>
    <row r="3305" spans="1:7" x14ac:dyDescent="0.25">
      <c r="A3305" s="41" t="s">
        <v>6578</v>
      </c>
      <c r="B3305" s="41" t="s">
        <v>6579</v>
      </c>
      <c r="C3305" s="41" t="s">
        <v>2928</v>
      </c>
      <c r="D3305" s="41" t="s">
        <v>6578</v>
      </c>
      <c r="E3305" s="41" t="s">
        <v>2929</v>
      </c>
      <c r="F3305" s="41" t="s">
        <v>2930</v>
      </c>
      <c r="G3305" s="41" t="s">
        <v>2931</v>
      </c>
    </row>
    <row r="3306" spans="1:7" x14ac:dyDescent="0.25">
      <c r="A3306" s="41" t="s">
        <v>6580</v>
      </c>
      <c r="B3306" s="41" t="s">
        <v>6579</v>
      </c>
      <c r="C3306" s="41" t="s">
        <v>2928</v>
      </c>
      <c r="D3306" s="41" t="s">
        <v>6578</v>
      </c>
      <c r="E3306" s="41" t="s">
        <v>2929</v>
      </c>
      <c r="F3306" s="41" t="s">
        <v>2933</v>
      </c>
      <c r="G3306" s="41" t="s">
        <v>2934</v>
      </c>
    </row>
    <row r="3307" spans="1:7" x14ac:dyDescent="0.25">
      <c r="A3307" s="41" t="s">
        <v>6581</v>
      </c>
      <c r="B3307" s="41" t="s">
        <v>6579</v>
      </c>
      <c r="C3307" s="41" t="s">
        <v>2928</v>
      </c>
      <c r="D3307" s="41" t="s">
        <v>6578</v>
      </c>
      <c r="E3307" s="41" t="s">
        <v>2929</v>
      </c>
      <c r="F3307" s="41" t="s">
        <v>2930</v>
      </c>
      <c r="G3307" s="41" t="s">
        <v>2931</v>
      </c>
    </row>
    <row r="3308" spans="1:7" x14ac:dyDescent="0.25">
      <c r="A3308" s="41" t="s">
        <v>6582</v>
      </c>
      <c r="B3308" s="41" t="s">
        <v>6579</v>
      </c>
      <c r="C3308" s="41" t="s">
        <v>2928</v>
      </c>
      <c r="D3308" s="41" t="s">
        <v>6578</v>
      </c>
      <c r="E3308" s="41" t="s">
        <v>2929</v>
      </c>
      <c r="F3308" s="41" t="s">
        <v>2930</v>
      </c>
      <c r="G3308" s="41" t="s">
        <v>2931</v>
      </c>
    </row>
    <row r="3309" spans="1:7" x14ac:dyDescent="0.25">
      <c r="A3309" s="41" t="s">
        <v>6583</v>
      </c>
      <c r="B3309" s="41" t="s">
        <v>6579</v>
      </c>
      <c r="C3309" s="41" t="s">
        <v>2928</v>
      </c>
      <c r="D3309" s="41" t="s">
        <v>6578</v>
      </c>
      <c r="E3309" s="41" t="s">
        <v>2929</v>
      </c>
      <c r="F3309" s="41" t="s">
        <v>2949</v>
      </c>
      <c r="G3309" s="41" t="s">
        <v>2950</v>
      </c>
    </row>
    <row r="3310" spans="1:7" x14ac:dyDescent="0.25">
      <c r="A3310" s="41" t="s">
        <v>6584</v>
      </c>
      <c r="B3310" s="41" t="s">
        <v>6585</v>
      </c>
      <c r="C3310" s="41" t="s">
        <v>2928</v>
      </c>
      <c r="D3310" s="41" t="s">
        <v>6584</v>
      </c>
      <c r="E3310" s="41" t="s">
        <v>2929</v>
      </c>
      <c r="F3310" s="41" t="s">
        <v>2930</v>
      </c>
      <c r="G3310" s="41" t="s">
        <v>2931</v>
      </c>
    </row>
    <row r="3311" spans="1:7" x14ac:dyDescent="0.25">
      <c r="A3311" s="41" t="s">
        <v>6586</v>
      </c>
      <c r="B3311" s="41" t="s">
        <v>6585</v>
      </c>
      <c r="C3311" s="41" t="s">
        <v>2928</v>
      </c>
      <c r="D3311" s="41" t="s">
        <v>6584</v>
      </c>
      <c r="E3311" s="41" t="s">
        <v>2929</v>
      </c>
      <c r="F3311" s="41" t="s">
        <v>2933</v>
      </c>
      <c r="G3311" s="41" t="s">
        <v>2934</v>
      </c>
    </row>
    <row r="3312" spans="1:7" x14ac:dyDescent="0.25">
      <c r="A3312" s="41" t="s">
        <v>6587</v>
      </c>
      <c r="B3312" s="41" t="s">
        <v>6585</v>
      </c>
      <c r="C3312" s="41" t="s">
        <v>2928</v>
      </c>
      <c r="D3312" s="41" t="s">
        <v>6584</v>
      </c>
      <c r="E3312" s="41" t="s">
        <v>2929</v>
      </c>
      <c r="F3312" s="41" t="s">
        <v>2930</v>
      </c>
      <c r="G3312" s="41" t="s">
        <v>2931</v>
      </c>
    </row>
    <row r="3313" spans="1:7" x14ac:dyDescent="0.25">
      <c r="A3313" s="41" t="s">
        <v>6588</v>
      </c>
      <c r="B3313" s="41" t="s">
        <v>6585</v>
      </c>
      <c r="C3313" s="41" t="s">
        <v>2928</v>
      </c>
      <c r="D3313" s="41" t="s">
        <v>6584</v>
      </c>
      <c r="E3313" s="41" t="s">
        <v>2929</v>
      </c>
      <c r="F3313" s="41" t="s">
        <v>2930</v>
      </c>
      <c r="G3313" s="41" t="s">
        <v>2931</v>
      </c>
    </row>
    <row r="3314" spans="1:7" x14ac:dyDescent="0.25">
      <c r="A3314" s="41" t="s">
        <v>6589</v>
      </c>
      <c r="B3314" s="41" t="s">
        <v>6585</v>
      </c>
      <c r="C3314" s="41" t="s">
        <v>2928</v>
      </c>
      <c r="D3314" s="41" t="s">
        <v>6584</v>
      </c>
      <c r="E3314" s="41" t="s">
        <v>2929</v>
      </c>
      <c r="F3314" s="41" t="s">
        <v>2949</v>
      </c>
      <c r="G3314" s="41" t="s">
        <v>2950</v>
      </c>
    </row>
    <row r="3315" spans="1:7" x14ac:dyDescent="0.25">
      <c r="A3315" s="41" t="s">
        <v>6590</v>
      </c>
      <c r="B3315" s="41" t="s">
        <v>6591</v>
      </c>
      <c r="C3315" s="41" t="s">
        <v>2928</v>
      </c>
      <c r="D3315" s="41" t="s">
        <v>6590</v>
      </c>
      <c r="E3315" s="41" t="s">
        <v>2929</v>
      </c>
      <c r="F3315" s="41" t="s">
        <v>2930</v>
      </c>
      <c r="G3315" s="41" t="s">
        <v>2931</v>
      </c>
    </row>
    <row r="3316" spans="1:7" x14ac:dyDescent="0.25">
      <c r="A3316" s="41" t="s">
        <v>6592</v>
      </c>
      <c r="B3316" s="41" t="s">
        <v>6591</v>
      </c>
      <c r="C3316" s="41" t="s">
        <v>2928</v>
      </c>
      <c r="D3316" s="41" t="s">
        <v>6590</v>
      </c>
      <c r="E3316" s="41" t="s">
        <v>2929</v>
      </c>
      <c r="F3316" s="41" t="s">
        <v>2933</v>
      </c>
      <c r="G3316" s="41" t="s">
        <v>2934</v>
      </c>
    </row>
    <row r="3317" spans="1:7" x14ac:dyDescent="0.25">
      <c r="A3317" s="41" t="s">
        <v>6593</v>
      </c>
      <c r="B3317" s="41" t="s">
        <v>6591</v>
      </c>
      <c r="C3317" s="41" t="s">
        <v>2928</v>
      </c>
      <c r="D3317" s="41" t="s">
        <v>6590</v>
      </c>
      <c r="E3317" s="41" t="s">
        <v>2929</v>
      </c>
      <c r="F3317" s="41" t="s">
        <v>2930</v>
      </c>
      <c r="G3317" s="41" t="s">
        <v>2931</v>
      </c>
    </row>
    <row r="3318" spans="1:7" x14ac:dyDescent="0.25">
      <c r="A3318" s="41" t="s">
        <v>6594</v>
      </c>
      <c r="B3318" s="41" t="s">
        <v>6591</v>
      </c>
      <c r="C3318" s="41" t="s">
        <v>2928</v>
      </c>
      <c r="D3318" s="41" t="s">
        <v>6590</v>
      </c>
      <c r="E3318" s="41" t="s">
        <v>2929</v>
      </c>
      <c r="F3318" s="41" t="s">
        <v>2930</v>
      </c>
      <c r="G3318" s="41" t="s">
        <v>2931</v>
      </c>
    </row>
    <row r="3319" spans="1:7" x14ac:dyDescent="0.25">
      <c r="A3319" s="41" t="s">
        <v>6595</v>
      </c>
      <c r="B3319" s="41" t="s">
        <v>6591</v>
      </c>
      <c r="C3319" s="41" t="s">
        <v>2928</v>
      </c>
      <c r="D3319" s="41" t="s">
        <v>6590</v>
      </c>
      <c r="E3319" s="41" t="s">
        <v>2929</v>
      </c>
      <c r="F3319" s="41" t="s">
        <v>2949</v>
      </c>
      <c r="G3319" s="41" t="s">
        <v>2950</v>
      </c>
    </row>
    <row r="3320" spans="1:7" x14ac:dyDescent="0.25">
      <c r="A3320" s="41" t="s">
        <v>6596</v>
      </c>
      <c r="B3320" s="41" t="s">
        <v>6597</v>
      </c>
      <c r="C3320" s="41" t="s">
        <v>2928</v>
      </c>
      <c r="D3320" s="41" t="s">
        <v>6596</v>
      </c>
      <c r="E3320" s="41" t="s">
        <v>2929</v>
      </c>
      <c r="F3320" s="41" t="s">
        <v>2930</v>
      </c>
      <c r="G3320" s="41" t="s">
        <v>2931</v>
      </c>
    </row>
    <row r="3321" spans="1:7" x14ac:dyDescent="0.25">
      <c r="A3321" s="41" t="s">
        <v>6598</v>
      </c>
      <c r="B3321" s="41" t="s">
        <v>6597</v>
      </c>
      <c r="C3321" s="41" t="s">
        <v>2928</v>
      </c>
      <c r="D3321" s="41" t="s">
        <v>6596</v>
      </c>
      <c r="E3321" s="41" t="s">
        <v>2929</v>
      </c>
      <c r="F3321" s="41" t="s">
        <v>2933</v>
      </c>
      <c r="G3321" s="41" t="s">
        <v>2934</v>
      </c>
    </row>
    <row r="3322" spans="1:7" x14ac:dyDescent="0.25">
      <c r="A3322" s="41" t="s">
        <v>6599</v>
      </c>
      <c r="B3322" s="41" t="s">
        <v>6597</v>
      </c>
      <c r="C3322" s="41" t="s">
        <v>2928</v>
      </c>
      <c r="D3322" s="41" t="s">
        <v>6596</v>
      </c>
      <c r="E3322" s="41" t="s">
        <v>3756</v>
      </c>
      <c r="F3322" s="41" t="s">
        <v>2930</v>
      </c>
      <c r="G3322" s="41" t="s">
        <v>2931</v>
      </c>
    </row>
    <row r="3323" spans="1:7" x14ac:dyDescent="0.25">
      <c r="A3323" s="41" t="s">
        <v>6600</v>
      </c>
      <c r="B3323" s="41" t="s">
        <v>6597</v>
      </c>
      <c r="C3323" s="41" t="s">
        <v>2928</v>
      </c>
      <c r="D3323" s="41" t="s">
        <v>6596</v>
      </c>
      <c r="E3323" s="41" t="s">
        <v>2929</v>
      </c>
      <c r="F3323" s="41" t="s">
        <v>2949</v>
      </c>
      <c r="G3323" s="41" t="s">
        <v>2950</v>
      </c>
    </row>
    <row r="3324" spans="1:7" x14ac:dyDescent="0.25">
      <c r="A3324" s="41" t="s">
        <v>6601</v>
      </c>
      <c r="B3324" s="41" t="s">
        <v>6597</v>
      </c>
      <c r="C3324" s="41" t="s">
        <v>2928</v>
      </c>
      <c r="D3324" s="41" t="s">
        <v>6601</v>
      </c>
      <c r="E3324" s="41" t="s">
        <v>2929</v>
      </c>
      <c r="F3324" s="41" t="s">
        <v>2930</v>
      </c>
      <c r="G3324" s="41" t="s">
        <v>2931</v>
      </c>
    </row>
    <row r="3325" spans="1:7" x14ac:dyDescent="0.25">
      <c r="A3325" s="41" t="s">
        <v>6602</v>
      </c>
      <c r="B3325" s="41" t="s">
        <v>6597</v>
      </c>
      <c r="C3325" s="41" t="s">
        <v>2928</v>
      </c>
      <c r="D3325" s="41" t="s">
        <v>6601</v>
      </c>
      <c r="E3325" s="41" t="s">
        <v>2929</v>
      </c>
      <c r="F3325" s="41" t="s">
        <v>2933</v>
      </c>
      <c r="G3325" s="41" t="s">
        <v>2934</v>
      </c>
    </row>
    <row r="3326" spans="1:7" x14ac:dyDescent="0.25">
      <c r="A3326" s="41" t="s">
        <v>6603</v>
      </c>
      <c r="B3326" s="41" t="s">
        <v>6597</v>
      </c>
      <c r="C3326" s="41" t="s">
        <v>2928</v>
      </c>
      <c r="D3326" s="41" t="s">
        <v>6601</v>
      </c>
      <c r="E3326" s="41" t="s">
        <v>2929</v>
      </c>
      <c r="F3326" s="41" t="s">
        <v>2930</v>
      </c>
      <c r="G3326" s="41" t="s">
        <v>2931</v>
      </c>
    </row>
    <row r="3327" spans="1:7" x14ac:dyDescent="0.25">
      <c r="A3327" s="41" t="s">
        <v>6604</v>
      </c>
      <c r="B3327" s="41" t="s">
        <v>6597</v>
      </c>
      <c r="C3327" s="41" t="s">
        <v>2928</v>
      </c>
      <c r="D3327" s="41" t="s">
        <v>6601</v>
      </c>
      <c r="E3327" s="41" t="s">
        <v>2929</v>
      </c>
      <c r="F3327" s="41" t="s">
        <v>2949</v>
      </c>
      <c r="G3327" s="41" t="s">
        <v>2950</v>
      </c>
    </row>
    <row r="3328" spans="1:7" x14ac:dyDescent="0.25">
      <c r="A3328" s="41" t="s">
        <v>6605</v>
      </c>
      <c r="B3328" s="41" t="s">
        <v>6606</v>
      </c>
      <c r="C3328" s="41" t="s">
        <v>2928</v>
      </c>
      <c r="D3328" s="41" t="s">
        <v>6605</v>
      </c>
      <c r="E3328" s="41" t="s">
        <v>2929</v>
      </c>
      <c r="F3328" s="41" t="s">
        <v>2930</v>
      </c>
      <c r="G3328" s="41" t="s">
        <v>2931</v>
      </c>
    </row>
    <row r="3329" spans="1:7" x14ac:dyDescent="0.25">
      <c r="A3329" s="41" t="s">
        <v>6607</v>
      </c>
      <c r="B3329" s="41" t="s">
        <v>6606</v>
      </c>
      <c r="C3329" s="41" t="s">
        <v>2928</v>
      </c>
      <c r="D3329" s="41" t="s">
        <v>6605</v>
      </c>
      <c r="E3329" s="41" t="s">
        <v>2929</v>
      </c>
      <c r="F3329" s="41" t="s">
        <v>2933</v>
      </c>
      <c r="G3329" s="41" t="s">
        <v>2934</v>
      </c>
    </row>
    <row r="3330" spans="1:7" x14ac:dyDescent="0.25">
      <c r="A3330" s="41" t="s">
        <v>6608</v>
      </c>
      <c r="B3330" s="41" t="s">
        <v>6606</v>
      </c>
      <c r="C3330" s="41" t="s">
        <v>2928</v>
      </c>
      <c r="D3330" s="41" t="s">
        <v>6605</v>
      </c>
      <c r="E3330" s="41" t="s">
        <v>2929</v>
      </c>
      <c r="F3330" s="41" t="s">
        <v>2930</v>
      </c>
      <c r="G3330" s="41" t="s">
        <v>2931</v>
      </c>
    </row>
    <row r="3331" spans="1:7" x14ac:dyDescent="0.25">
      <c r="A3331" s="41" t="s">
        <v>6609</v>
      </c>
      <c r="B3331" s="41" t="s">
        <v>6606</v>
      </c>
      <c r="C3331" s="41" t="s">
        <v>2928</v>
      </c>
      <c r="D3331" s="41" t="s">
        <v>6605</v>
      </c>
      <c r="E3331" s="41" t="s">
        <v>2929</v>
      </c>
      <c r="F3331" s="41" t="s">
        <v>2949</v>
      </c>
      <c r="G3331" s="41" t="s">
        <v>2950</v>
      </c>
    </row>
    <row r="3332" spans="1:7" x14ac:dyDescent="0.25">
      <c r="A3332" s="41" t="s">
        <v>6610</v>
      </c>
      <c r="B3332" s="41" t="s">
        <v>6606</v>
      </c>
      <c r="C3332" s="41" t="s">
        <v>2928</v>
      </c>
      <c r="D3332" s="41" t="s">
        <v>6605</v>
      </c>
      <c r="E3332" s="41" t="s">
        <v>2929</v>
      </c>
      <c r="F3332" s="41" t="s">
        <v>2949</v>
      </c>
      <c r="G3332" s="41" t="s">
        <v>2950</v>
      </c>
    </row>
    <row r="3333" spans="1:7" x14ac:dyDescent="0.25">
      <c r="A3333" s="41" t="s">
        <v>6611</v>
      </c>
      <c r="B3333" s="41" t="s">
        <v>6606</v>
      </c>
      <c r="C3333" s="41" t="s">
        <v>2928</v>
      </c>
      <c r="D3333" s="41" t="s">
        <v>6605</v>
      </c>
      <c r="E3333" s="41" t="s">
        <v>2929</v>
      </c>
      <c r="F3333" s="41" t="s">
        <v>2949</v>
      </c>
      <c r="G3333" s="41" t="s">
        <v>2950</v>
      </c>
    </row>
    <row r="3334" spans="1:7" x14ac:dyDescent="0.25">
      <c r="A3334" s="41" t="s">
        <v>6612</v>
      </c>
      <c r="B3334" s="41" t="s">
        <v>6613</v>
      </c>
      <c r="C3334" s="41" t="s">
        <v>2928</v>
      </c>
      <c r="D3334" s="41" t="s">
        <v>6612</v>
      </c>
      <c r="E3334" s="41" t="s">
        <v>2929</v>
      </c>
      <c r="F3334" s="41" t="s">
        <v>2930</v>
      </c>
      <c r="G3334" s="41" t="s">
        <v>2931</v>
      </c>
    </row>
    <row r="3335" spans="1:7" x14ac:dyDescent="0.25">
      <c r="A3335" s="41" t="s">
        <v>6614</v>
      </c>
      <c r="B3335" s="41" t="s">
        <v>6613</v>
      </c>
      <c r="C3335" s="41" t="s">
        <v>2928</v>
      </c>
      <c r="D3335" s="41" t="s">
        <v>6612</v>
      </c>
      <c r="E3335" s="41" t="s">
        <v>2929</v>
      </c>
      <c r="F3335" s="41" t="s">
        <v>2933</v>
      </c>
      <c r="G3335" s="41" t="s">
        <v>2934</v>
      </c>
    </row>
    <row r="3336" spans="1:7" x14ac:dyDescent="0.25">
      <c r="A3336" s="41" t="s">
        <v>6615</v>
      </c>
      <c r="B3336" s="41" t="s">
        <v>6613</v>
      </c>
      <c r="C3336" s="41" t="s">
        <v>2928</v>
      </c>
      <c r="D3336" s="41" t="s">
        <v>6612</v>
      </c>
      <c r="E3336" s="41" t="s">
        <v>2929</v>
      </c>
      <c r="F3336" s="41" t="s">
        <v>2930</v>
      </c>
      <c r="G3336" s="41" t="s">
        <v>2931</v>
      </c>
    </row>
    <row r="3337" spans="1:7" x14ac:dyDescent="0.25">
      <c r="A3337" s="41" t="s">
        <v>6616</v>
      </c>
      <c r="B3337" s="41" t="s">
        <v>6613</v>
      </c>
      <c r="C3337" s="41" t="s">
        <v>2928</v>
      </c>
      <c r="D3337" s="41" t="s">
        <v>6612</v>
      </c>
      <c r="E3337" s="41" t="s">
        <v>2929</v>
      </c>
      <c r="F3337" s="41" t="s">
        <v>2949</v>
      </c>
      <c r="G3337" s="41" t="s">
        <v>2950</v>
      </c>
    </row>
    <row r="3338" spans="1:7" x14ac:dyDescent="0.25">
      <c r="A3338" s="41" t="s">
        <v>6617</v>
      </c>
      <c r="B3338" s="41" t="s">
        <v>6613</v>
      </c>
      <c r="C3338" s="41" t="s">
        <v>2928</v>
      </c>
      <c r="D3338" s="41" t="s">
        <v>6612</v>
      </c>
      <c r="E3338" s="41" t="s">
        <v>2929</v>
      </c>
      <c r="F3338" s="41" t="s">
        <v>2949</v>
      </c>
      <c r="G3338" s="41" t="s">
        <v>2950</v>
      </c>
    </row>
    <row r="3339" spans="1:7" x14ac:dyDescent="0.25">
      <c r="A3339" s="41" t="s">
        <v>6618</v>
      </c>
      <c r="B3339" s="41" t="s">
        <v>6613</v>
      </c>
      <c r="C3339" s="41" t="s">
        <v>2928</v>
      </c>
      <c r="D3339" s="41" t="s">
        <v>6612</v>
      </c>
      <c r="E3339" s="41" t="s">
        <v>2929</v>
      </c>
      <c r="F3339" s="41" t="s">
        <v>2949</v>
      </c>
      <c r="G3339" s="41" t="s">
        <v>2950</v>
      </c>
    </row>
    <row r="3340" spans="1:7" x14ac:dyDescent="0.25">
      <c r="A3340" s="41" t="s">
        <v>6619</v>
      </c>
      <c r="B3340" s="41" t="s">
        <v>6620</v>
      </c>
      <c r="C3340" s="41" t="s">
        <v>2928</v>
      </c>
      <c r="D3340" s="41" t="s">
        <v>6619</v>
      </c>
      <c r="E3340" s="41" t="s">
        <v>2929</v>
      </c>
      <c r="F3340" s="41" t="s">
        <v>2930</v>
      </c>
      <c r="G3340" s="41" t="s">
        <v>2931</v>
      </c>
    </row>
    <row r="3341" spans="1:7" x14ac:dyDescent="0.25">
      <c r="A3341" s="41" t="s">
        <v>6621</v>
      </c>
      <c r="B3341" s="41" t="s">
        <v>6620</v>
      </c>
      <c r="C3341" s="41" t="s">
        <v>2928</v>
      </c>
      <c r="D3341" s="41" t="s">
        <v>6619</v>
      </c>
      <c r="E3341" s="41" t="s">
        <v>2929</v>
      </c>
      <c r="F3341" s="41" t="s">
        <v>2933</v>
      </c>
      <c r="G3341" s="41" t="s">
        <v>2934</v>
      </c>
    </row>
    <row r="3342" spans="1:7" x14ac:dyDescent="0.25">
      <c r="A3342" s="41" t="s">
        <v>6622</v>
      </c>
      <c r="B3342" s="41" t="s">
        <v>6620</v>
      </c>
      <c r="C3342" s="41" t="s">
        <v>2928</v>
      </c>
      <c r="D3342" s="41" t="s">
        <v>6619</v>
      </c>
      <c r="E3342" s="41" t="s">
        <v>2929</v>
      </c>
      <c r="F3342" s="41" t="s">
        <v>2930</v>
      </c>
      <c r="G3342" s="41" t="s">
        <v>2931</v>
      </c>
    </row>
    <row r="3343" spans="1:7" x14ac:dyDescent="0.25">
      <c r="A3343" s="41" t="s">
        <v>6623</v>
      </c>
      <c r="B3343" s="41" t="s">
        <v>6620</v>
      </c>
      <c r="C3343" s="41" t="s">
        <v>2928</v>
      </c>
      <c r="D3343" s="41" t="s">
        <v>6619</v>
      </c>
      <c r="E3343" s="41" t="s">
        <v>2929</v>
      </c>
      <c r="F3343" s="41" t="s">
        <v>2949</v>
      </c>
      <c r="G3343" s="41" t="s">
        <v>2950</v>
      </c>
    </row>
    <row r="3344" spans="1:7" x14ac:dyDescent="0.25">
      <c r="A3344" s="41" t="s">
        <v>6624</v>
      </c>
      <c r="B3344" s="41" t="s">
        <v>6620</v>
      </c>
      <c r="C3344" s="41" t="s">
        <v>2928</v>
      </c>
      <c r="D3344" s="41" t="s">
        <v>6619</v>
      </c>
      <c r="E3344" s="41" t="s">
        <v>2929</v>
      </c>
      <c r="F3344" s="41" t="s">
        <v>2949</v>
      </c>
      <c r="G3344" s="41" t="s">
        <v>2950</v>
      </c>
    </row>
    <row r="3345" spans="1:7" x14ac:dyDescent="0.25">
      <c r="A3345" s="41" t="s">
        <v>6625</v>
      </c>
      <c r="B3345" s="41" t="s">
        <v>6620</v>
      </c>
      <c r="C3345" s="41" t="s">
        <v>2928</v>
      </c>
      <c r="D3345" s="41" t="s">
        <v>6619</v>
      </c>
      <c r="E3345" s="41" t="s">
        <v>2929</v>
      </c>
      <c r="F3345" s="41" t="s">
        <v>2949</v>
      </c>
      <c r="G3345" s="41" t="s">
        <v>2950</v>
      </c>
    </row>
    <row r="3346" spans="1:7" x14ac:dyDescent="0.25">
      <c r="A3346" s="41" t="s">
        <v>6626</v>
      </c>
      <c r="B3346" s="41" t="s">
        <v>6627</v>
      </c>
      <c r="C3346" s="41" t="s">
        <v>2928</v>
      </c>
      <c r="D3346" s="41" t="s">
        <v>6626</v>
      </c>
      <c r="E3346" s="41" t="s">
        <v>2929</v>
      </c>
      <c r="F3346" s="41" t="s">
        <v>2930</v>
      </c>
      <c r="G3346" s="41" t="s">
        <v>2931</v>
      </c>
    </row>
    <row r="3347" spans="1:7" x14ac:dyDescent="0.25">
      <c r="A3347" s="41" t="s">
        <v>6628</v>
      </c>
      <c r="B3347" s="41" t="s">
        <v>6627</v>
      </c>
      <c r="C3347" s="41" t="s">
        <v>2928</v>
      </c>
      <c r="D3347" s="41" t="s">
        <v>6626</v>
      </c>
      <c r="E3347" s="41" t="s">
        <v>2929</v>
      </c>
      <c r="F3347" s="41" t="s">
        <v>2933</v>
      </c>
      <c r="G3347" s="41" t="s">
        <v>2934</v>
      </c>
    </row>
    <row r="3348" spans="1:7" x14ac:dyDescent="0.25">
      <c r="A3348" s="41" t="s">
        <v>6629</v>
      </c>
      <c r="B3348" s="41" t="s">
        <v>6627</v>
      </c>
      <c r="C3348" s="41" t="s">
        <v>2928</v>
      </c>
      <c r="D3348" s="41" t="s">
        <v>6626</v>
      </c>
      <c r="E3348" s="41" t="s">
        <v>2929</v>
      </c>
      <c r="F3348" s="41" t="s">
        <v>2930</v>
      </c>
      <c r="G3348" s="41" t="s">
        <v>2931</v>
      </c>
    </row>
    <row r="3349" spans="1:7" x14ac:dyDescent="0.25">
      <c r="A3349" s="41" t="s">
        <v>6630</v>
      </c>
      <c r="B3349" s="41" t="s">
        <v>6627</v>
      </c>
      <c r="C3349" s="41" t="s">
        <v>2928</v>
      </c>
      <c r="D3349" s="41" t="s">
        <v>6626</v>
      </c>
      <c r="E3349" s="41" t="s">
        <v>2929</v>
      </c>
      <c r="F3349" s="41" t="s">
        <v>2949</v>
      </c>
      <c r="G3349" s="41" t="s">
        <v>2950</v>
      </c>
    </row>
    <row r="3350" spans="1:7" x14ac:dyDescent="0.25">
      <c r="A3350" s="41" t="s">
        <v>6631</v>
      </c>
      <c r="B3350" s="41" t="s">
        <v>6627</v>
      </c>
      <c r="C3350" s="41" t="s">
        <v>2928</v>
      </c>
      <c r="D3350" s="41" t="s">
        <v>6626</v>
      </c>
      <c r="E3350" s="41" t="s">
        <v>2929</v>
      </c>
      <c r="F3350" s="41" t="s">
        <v>2949</v>
      </c>
      <c r="G3350" s="41" t="s">
        <v>2950</v>
      </c>
    </row>
    <row r="3351" spans="1:7" x14ac:dyDescent="0.25">
      <c r="A3351" s="41" t="s">
        <v>6632</v>
      </c>
      <c r="B3351" s="41" t="s">
        <v>6627</v>
      </c>
      <c r="C3351" s="41" t="s">
        <v>2928</v>
      </c>
      <c r="D3351" s="41" t="s">
        <v>6626</v>
      </c>
      <c r="E3351" s="41" t="s">
        <v>2929</v>
      </c>
      <c r="F3351" s="41" t="s">
        <v>2949</v>
      </c>
      <c r="G3351" s="41" t="s">
        <v>2950</v>
      </c>
    </row>
    <row r="3352" spans="1:7" x14ac:dyDescent="0.25">
      <c r="A3352" s="41" t="s">
        <v>6633</v>
      </c>
      <c r="B3352" s="41" t="s">
        <v>6634</v>
      </c>
      <c r="C3352" s="41" t="s">
        <v>2928</v>
      </c>
      <c r="D3352" s="41" t="s">
        <v>6633</v>
      </c>
      <c r="E3352" s="41" t="s">
        <v>2929</v>
      </c>
      <c r="F3352" s="41" t="s">
        <v>2930</v>
      </c>
      <c r="G3352" s="41" t="s">
        <v>2931</v>
      </c>
    </row>
    <row r="3353" spans="1:7" x14ac:dyDescent="0.25">
      <c r="A3353" s="41" t="s">
        <v>6635</v>
      </c>
      <c r="B3353" s="41" t="s">
        <v>6634</v>
      </c>
      <c r="C3353" s="41" t="s">
        <v>2928</v>
      </c>
      <c r="D3353" s="41" t="s">
        <v>6633</v>
      </c>
      <c r="E3353" s="41" t="s">
        <v>2929</v>
      </c>
      <c r="F3353" s="41" t="s">
        <v>2933</v>
      </c>
      <c r="G3353" s="41" t="s">
        <v>2934</v>
      </c>
    </row>
    <row r="3354" spans="1:7" x14ac:dyDescent="0.25">
      <c r="A3354" s="41" t="s">
        <v>6636</v>
      </c>
      <c r="B3354" s="41" t="s">
        <v>6634</v>
      </c>
      <c r="C3354" s="41" t="s">
        <v>2928</v>
      </c>
      <c r="D3354" s="41" t="s">
        <v>6633</v>
      </c>
      <c r="E3354" s="41" t="s">
        <v>2929</v>
      </c>
      <c r="F3354" s="41" t="s">
        <v>2930</v>
      </c>
      <c r="G3354" s="41" t="s">
        <v>2931</v>
      </c>
    </row>
    <row r="3355" spans="1:7" x14ac:dyDescent="0.25">
      <c r="A3355" s="41" t="s">
        <v>6637</v>
      </c>
      <c r="B3355" s="41" t="s">
        <v>6634</v>
      </c>
      <c r="C3355" s="41" t="s">
        <v>2928</v>
      </c>
      <c r="D3355" s="41" t="s">
        <v>6633</v>
      </c>
      <c r="E3355" s="41" t="s">
        <v>2929</v>
      </c>
      <c r="F3355" s="41" t="s">
        <v>2949</v>
      </c>
      <c r="G3355" s="41" t="s">
        <v>2950</v>
      </c>
    </row>
    <row r="3356" spans="1:7" x14ac:dyDescent="0.25">
      <c r="A3356" s="41" t="s">
        <v>6638</v>
      </c>
      <c r="B3356" s="41" t="s">
        <v>6634</v>
      </c>
      <c r="C3356" s="41" t="s">
        <v>2928</v>
      </c>
      <c r="D3356" s="41" t="s">
        <v>6638</v>
      </c>
      <c r="E3356" s="41" t="s">
        <v>2929</v>
      </c>
      <c r="F3356" s="41" t="s">
        <v>2930</v>
      </c>
      <c r="G3356" s="41" t="s">
        <v>2931</v>
      </c>
    </row>
    <row r="3357" spans="1:7" x14ac:dyDescent="0.25">
      <c r="A3357" s="41" t="s">
        <v>6639</v>
      </c>
      <c r="B3357" s="41" t="s">
        <v>6634</v>
      </c>
      <c r="C3357" s="41" t="s">
        <v>2928</v>
      </c>
      <c r="D3357" s="41" t="s">
        <v>6638</v>
      </c>
      <c r="E3357" s="41" t="s">
        <v>2929</v>
      </c>
      <c r="F3357" s="41" t="s">
        <v>2933</v>
      </c>
      <c r="G3357" s="41" t="s">
        <v>2934</v>
      </c>
    </row>
    <row r="3358" spans="1:7" x14ac:dyDescent="0.25">
      <c r="A3358" s="41" t="s">
        <v>6640</v>
      </c>
      <c r="B3358" s="41" t="s">
        <v>6634</v>
      </c>
      <c r="C3358" s="41" t="s">
        <v>2928</v>
      </c>
      <c r="D3358" s="41" t="s">
        <v>6638</v>
      </c>
      <c r="E3358" s="41" t="s">
        <v>2929</v>
      </c>
      <c r="F3358" s="41" t="s">
        <v>2930</v>
      </c>
      <c r="G3358" s="41" t="s">
        <v>2931</v>
      </c>
    </row>
    <row r="3359" spans="1:7" x14ac:dyDescent="0.25">
      <c r="A3359" s="41" t="s">
        <v>6641</v>
      </c>
      <c r="B3359" s="41" t="s">
        <v>6634</v>
      </c>
      <c r="C3359" s="41" t="s">
        <v>2928</v>
      </c>
      <c r="D3359" s="41" t="s">
        <v>6638</v>
      </c>
      <c r="E3359" s="41" t="s">
        <v>2929</v>
      </c>
      <c r="F3359" s="41" t="s">
        <v>2949</v>
      </c>
      <c r="G3359" s="41" t="s">
        <v>2950</v>
      </c>
    </row>
    <row r="3360" spans="1:7" x14ac:dyDescent="0.25">
      <c r="A3360" s="41" t="s">
        <v>6642</v>
      </c>
      <c r="B3360" s="41" t="s">
        <v>6643</v>
      </c>
      <c r="C3360" s="41" t="s">
        <v>2928</v>
      </c>
      <c r="D3360" s="41" t="s">
        <v>6642</v>
      </c>
      <c r="E3360" s="41" t="s">
        <v>2929</v>
      </c>
      <c r="F3360" s="41" t="s">
        <v>2930</v>
      </c>
      <c r="G3360" s="41" t="s">
        <v>2931</v>
      </c>
    </row>
    <row r="3361" spans="1:7" x14ac:dyDescent="0.25">
      <c r="A3361" s="41" t="s">
        <v>6644</v>
      </c>
      <c r="B3361" s="41" t="s">
        <v>6643</v>
      </c>
      <c r="C3361" s="41" t="s">
        <v>2928</v>
      </c>
      <c r="D3361" s="41" t="s">
        <v>6642</v>
      </c>
      <c r="E3361" s="41" t="s">
        <v>2929</v>
      </c>
      <c r="F3361" s="41" t="s">
        <v>2933</v>
      </c>
      <c r="G3361" s="41" t="s">
        <v>2934</v>
      </c>
    </row>
    <row r="3362" spans="1:7" x14ac:dyDescent="0.25">
      <c r="A3362" s="41" t="s">
        <v>6645</v>
      </c>
      <c r="B3362" s="41" t="s">
        <v>6643</v>
      </c>
      <c r="C3362" s="41" t="s">
        <v>2928</v>
      </c>
      <c r="D3362" s="41" t="s">
        <v>6642</v>
      </c>
      <c r="E3362" s="41" t="s">
        <v>2929</v>
      </c>
      <c r="F3362" s="41" t="s">
        <v>2930</v>
      </c>
      <c r="G3362" s="41" t="s">
        <v>2931</v>
      </c>
    </row>
    <row r="3363" spans="1:7" x14ac:dyDescent="0.25">
      <c r="A3363" s="41" t="s">
        <v>6646</v>
      </c>
      <c r="B3363" s="41" t="s">
        <v>6643</v>
      </c>
      <c r="C3363" s="41" t="s">
        <v>2928</v>
      </c>
      <c r="D3363" s="41" t="s">
        <v>6642</v>
      </c>
      <c r="E3363" s="41" t="s">
        <v>2929</v>
      </c>
      <c r="F3363" s="41" t="s">
        <v>2949</v>
      </c>
      <c r="G3363" s="41" t="s">
        <v>2950</v>
      </c>
    </row>
    <row r="3364" spans="1:7" x14ac:dyDescent="0.25">
      <c r="A3364" s="41" t="s">
        <v>6647</v>
      </c>
      <c r="B3364" s="41" t="s">
        <v>6643</v>
      </c>
      <c r="C3364" s="41" t="s">
        <v>2928</v>
      </c>
      <c r="D3364" s="41" t="s">
        <v>6642</v>
      </c>
      <c r="E3364" s="41" t="s">
        <v>2929</v>
      </c>
      <c r="F3364" s="41" t="s">
        <v>2949</v>
      </c>
      <c r="G3364" s="41" t="s">
        <v>2950</v>
      </c>
    </row>
    <row r="3365" spans="1:7" x14ac:dyDescent="0.25">
      <c r="A3365" s="41" t="s">
        <v>6648</v>
      </c>
      <c r="B3365" s="41" t="s">
        <v>6643</v>
      </c>
      <c r="C3365" s="41" t="s">
        <v>2928</v>
      </c>
      <c r="D3365" s="41" t="s">
        <v>6648</v>
      </c>
      <c r="E3365" s="41" t="s">
        <v>2929</v>
      </c>
      <c r="F3365" s="41" t="s">
        <v>2930</v>
      </c>
      <c r="G3365" s="41" t="s">
        <v>2931</v>
      </c>
    </row>
    <row r="3366" spans="1:7" x14ac:dyDescent="0.25">
      <c r="A3366" s="41" t="s">
        <v>6649</v>
      </c>
      <c r="B3366" s="41" t="s">
        <v>6643</v>
      </c>
      <c r="C3366" s="41" t="s">
        <v>2928</v>
      </c>
      <c r="D3366" s="41" t="s">
        <v>6648</v>
      </c>
      <c r="E3366" s="41" t="s">
        <v>2929</v>
      </c>
      <c r="F3366" s="41" t="s">
        <v>2933</v>
      </c>
      <c r="G3366" s="41" t="s">
        <v>2934</v>
      </c>
    </row>
    <row r="3367" spans="1:7" x14ac:dyDescent="0.25">
      <c r="A3367" s="41" t="s">
        <v>6650</v>
      </c>
      <c r="B3367" s="41" t="s">
        <v>6643</v>
      </c>
      <c r="C3367" s="41" t="s">
        <v>2928</v>
      </c>
      <c r="D3367" s="41" t="s">
        <v>6648</v>
      </c>
      <c r="E3367" s="41" t="s">
        <v>2929</v>
      </c>
      <c r="F3367" s="41" t="s">
        <v>2930</v>
      </c>
      <c r="G3367" s="41" t="s">
        <v>2931</v>
      </c>
    </row>
    <row r="3368" spans="1:7" x14ac:dyDescent="0.25">
      <c r="A3368" s="41" t="s">
        <v>6651</v>
      </c>
      <c r="B3368" s="41" t="s">
        <v>6643</v>
      </c>
      <c r="C3368" s="41" t="s">
        <v>2928</v>
      </c>
      <c r="D3368" s="41" t="s">
        <v>6648</v>
      </c>
      <c r="E3368" s="41" t="s">
        <v>2929</v>
      </c>
      <c r="F3368" s="41" t="s">
        <v>2949</v>
      </c>
      <c r="G3368" s="41" t="s">
        <v>2950</v>
      </c>
    </row>
    <row r="3369" spans="1:7" x14ac:dyDescent="0.25">
      <c r="A3369" s="41" t="s">
        <v>6652</v>
      </c>
      <c r="B3369" s="41" t="s">
        <v>6643</v>
      </c>
      <c r="C3369" s="41" t="s">
        <v>2928</v>
      </c>
      <c r="D3369" s="41" t="s">
        <v>6648</v>
      </c>
      <c r="E3369" s="41" t="s">
        <v>2929</v>
      </c>
      <c r="F3369" s="41" t="s">
        <v>2949</v>
      </c>
      <c r="G3369" s="41" t="s">
        <v>2950</v>
      </c>
    </row>
    <row r="3370" spans="1:7" x14ac:dyDescent="0.25">
      <c r="A3370" s="41" t="s">
        <v>6653</v>
      </c>
      <c r="B3370" s="41" t="s">
        <v>6654</v>
      </c>
      <c r="C3370" s="41" t="s">
        <v>2928</v>
      </c>
      <c r="D3370" s="41" t="s">
        <v>6653</v>
      </c>
      <c r="E3370" s="41" t="s">
        <v>2929</v>
      </c>
      <c r="F3370" s="41" t="s">
        <v>2930</v>
      </c>
      <c r="G3370" s="41" t="s">
        <v>2931</v>
      </c>
    </row>
    <row r="3371" spans="1:7" x14ac:dyDescent="0.25">
      <c r="A3371" s="41" t="s">
        <v>6655</v>
      </c>
      <c r="B3371" s="41" t="s">
        <v>6654</v>
      </c>
      <c r="C3371" s="41" t="s">
        <v>2928</v>
      </c>
      <c r="D3371" s="41" t="s">
        <v>6653</v>
      </c>
      <c r="E3371" s="41" t="s">
        <v>2929</v>
      </c>
      <c r="F3371" s="41" t="s">
        <v>2933</v>
      </c>
      <c r="G3371" s="41" t="s">
        <v>2934</v>
      </c>
    </row>
    <row r="3372" spans="1:7" x14ac:dyDescent="0.25">
      <c r="A3372" s="41" t="s">
        <v>6656</v>
      </c>
      <c r="B3372" s="41" t="s">
        <v>6654</v>
      </c>
      <c r="C3372" s="41" t="s">
        <v>2928</v>
      </c>
      <c r="D3372" s="41" t="s">
        <v>6653</v>
      </c>
      <c r="E3372" s="41" t="s">
        <v>2929</v>
      </c>
      <c r="F3372" s="41" t="s">
        <v>2930</v>
      </c>
      <c r="G3372" s="41" t="s">
        <v>2931</v>
      </c>
    </row>
    <row r="3373" spans="1:7" x14ac:dyDescent="0.25">
      <c r="A3373" s="41" t="s">
        <v>6657</v>
      </c>
      <c r="B3373" s="41" t="s">
        <v>6654</v>
      </c>
      <c r="C3373" s="41" t="s">
        <v>2928</v>
      </c>
      <c r="D3373" s="41" t="s">
        <v>6653</v>
      </c>
      <c r="E3373" s="41" t="s">
        <v>2929</v>
      </c>
      <c r="F3373" s="41" t="s">
        <v>2949</v>
      </c>
      <c r="G3373" s="41" t="s">
        <v>2950</v>
      </c>
    </row>
    <row r="3374" spans="1:7" x14ac:dyDescent="0.25">
      <c r="A3374" s="41" t="s">
        <v>6658</v>
      </c>
      <c r="B3374" s="41" t="s">
        <v>6654</v>
      </c>
      <c r="C3374" s="41" t="s">
        <v>2928</v>
      </c>
      <c r="D3374" s="41" t="s">
        <v>6653</v>
      </c>
      <c r="E3374" s="41" t="s">
        <v>2929</v>
      </c>
      <c r="F3374" s="41" t="s">
        <v>2949</v>
      </c>
      <c r="G3374" s="41" t="s">
        <v>2950</v>
      </c>
    </row>
    <row r="3375" spans="1:7" x14ac:dyDescent="0.25">
      <c r="A3375" s="41" t="s">
        <v>6659</v>
      </c>
      <c r="B3375" s="41" t="s">
        <v>6660</v>
      </c>
      <c r="C3375" s="41" t="s">
        <v>2928</v>
      </c>
      <c r="D3375" s="41" t="s">
        <v>6659</v>
      </c>
      <c r="E3375" s="41" t="s">
        <v>2929</v>
      </c>
      <c r="F3375" s="41" t="s">
        <v>2930</v>
      </c>
      <c r="G3375" s="41" t="s">
        <v>2931</v>
      </c>
    </row>
    <row r="3376" spans="1:7" x14ac:dyDescent="0.25">
      <c r="A3376" s="41" t="s">
        <v>6661</v>
      </c>
      <c r="B3376" s="41" t="s">
        <v>6660</v>
      </c>
      <c r="C3376" s="41" t="s">
        <v>2928</v>
      </c>
      <c r="D3376" s="41" t="s">
        <v>6659</v>
      </c>
      <c r="E3376" s="41" t="s">
        <v>2929</v>
      </c>
      <c r="F3376" s="41" t="s">
        <v>2933</v>
      </c>
      <c r="G3376" s="41" t="s">
        <v>2934</v>
      </c>
    </row>
    <row r="3377" spans="1:7" x14ac:dyDescent="0.25">
      <c r="A3377" s="41" t="s">
        <v>6662</v>
      </c>
      <c r="B3377" s="41" t="s">
        <v>6660</v>
      </c>
      <c r="C3377" s="41" t="s">
        <v>2928</v>
      </c>
      <c r="D3377" s="41" t="s">
        <v>6659</v>
      </c>
      <c r="E3377" s="41" t="s">
        <v>2929</v>
      </c>
      <c r="F3377" s="41" t="s">
        <v>2930</v>
      </c>
      <c r="G3377" s="41" t="s">
        <v>2931</v>
      </c>
    </row>
    <row r="3378" spans="1:7" x14ac:dyDescent="0.25">
      <c r="A3378" s="41" t="s">
        <v>6663</v>
      </c>
      <c r="B3378" s="41" t="s">
        <v>6660</v>
      </c>
      <c r="C3378" s="41" t="s">
        <v>2928</v>
      </c>
      <c r="D3378" s="41" t="s">
        <v>6659</v>
      </c>
      <c r="E3378" s="41" t="s">
        <v>2929</v>
      </c>
      <c r="F3378" s="41" t="s">
        <v>2949</v>
      </c>
      <c r="G3378" s="41" t="s">
        <v>2950</v>
      </c>
    </row>
    <row r="3379" spans="1:7" x14ac:dyDescent="0.25">
      <c r="A3379" s="41" t="s">
        <v>6664</v>
      </c>
      <c r="B3379" s="41" t="s">
        <v>6660</v>
      </c>
      <c r="C3379" s="41" t="s">
        <v>2928</v>
      </c>
      <c r="D3379" s="41" t="s">
        <v>6659</v>
      </c>
      <c r="E3379" s="41" t="s">
        <v>2929</v>
      </c>
      <c r="F3379" s="41" t="s">
        <v>2949</v>
      </c>
      <c r="G3379" s="41" t="s">
        <v>2950</v>
      </c>
    </row>
    <row r="3380" spans="1:7" x14ac:dyDescent="0.25">
      <c r="A3380" s="41" t="s">
        <v>6665</v>
      </c>
      <c r="B3380" s="41" t="s">
        <v>6666</v>
      </c>
      <c r="C3380" s="41" t="s">
        <v>2928</v>
      </c>
      <c r="D3380" s="41" t="s">
        <v>6665</v>
      </c>
      <c r="E3380" s="41" t="s">
        <v>2929</v>
      </c>
      <c r="F3380" s="41" t="s">
        <v>2930</v>
      </c>
      <c r="G3380" s="41" t="s">
        <v>2931</v>
      </c>
    </row>
    <row r="3381" spans="1:7" x14ac:dyDescent="0.25">
      <c r="A3381" s="41" t="s">
        <v>6667</v>
      </c>
      <c r="B3381" s="41" t="s">
        <v>6666</v>
      </c>
      <c r="C3381" s="41" t="s">
        <v>2928</v>
      </c>
      <c r="D3381" s="41" t="s">
        <v>6665</v>
      </c>
      <c r="E3381" s="41" t="s">
        <v>2929</v>
      </c>
      <c r="F3381" s="41" t="s">
        <v>2933</v>
      </c>
      <c r="G3381" s="41" t="s">
        <v>2934</v>
      </c>
    </row>
    <row r="3382" spans="1:7" x14ac:dyDescent="0.25">
      <c r="A3382" s="41" t="s">
        <v>6668</v>
      </c>
      <c r="B3382" s="41" t="s">
        <v>6666</v>
      </c>
      <c r="C3382" s="41" t="s">
        <v>2928</v>
      </c>
      <c r="D3382" s="41" t="s">
        <v>6665</v>
      </c>
      <c r="E3382" s="41" t="s">
        <v>2929</v>
      </c>
      <c r="F3382" s="41" t="s">
        <v>2930</v>
      </c>
      <c r="G3382" s="41" t="s">
        <v>2931</v>
      </c>
    </row>
    <row r="3383" spans="1:7" x14ac:dyDescent="0.25">
      <c r="A3383" s="41" t="s">
        <v>6669</v>
      </c>
      <c r="B3383" s="41" t="s">
        <v>6666</v>
      </c>
      <c r="C3383" s="41" t="s">
        <v>2928</v>
      </c>
      <c r="D3383" s="41" t="s">
        <v>6665</v>
      </c>
      <c r="E3383" s="41" t="s">
        <v>2929</v>
      </c>
      <c r="F3383" s="41" t="s">
        <v>2949</v>
      </c>
      <c r="G3383" s="41" t="s">
        <v>2950</v>
      </c>
    </row>
    <row r="3384" spans="1:7" x14ac:dyDescent="0.25">
      <c r="A3384" s="41" t="s">
        <v>6670</v>
      </c>
      <c r="B3384" s="41" t="s">
        <v>6671</v>
      </c>
      <c r="C3384" s="41" t="s">
        <v>2928</v>
      </c>
      <c r="D3384" s="41" t="s">
        <v>6670</v>
      </c>
      <c r="E3384" s="41" t="s">
        <v>2929</v>
      </c>
      <c r="F3384" s="41" t="s">
        <v>2930</v>
      </c>
      <c r="G3384" s="41" t="s">
        <v>2931</v>
      </c>
    </row>
    <row r="3385" spans="1:7" x14ac:dyDescent="0.25">
      <c r="A3385" s="41" t="s">
        <v>6672</v>
      </c>
      <c r="B3385" s="41" t="s">
        <v>6671</v>
      </c>
      <c r="C3385" s="41" t="s">
        <v>2928</v>
      </c>
      <c r="D3385" s="41" t="s">
        <v>6670</v>
      </c>
      <c r="E3385" s="41" t="s">
        <v>2929</v>
      </c>
      <c r="F3385" s="41" t="s">
        <v>2933</v>
      </c>
      <c r="G3385" s="41" t="s">
        <v>2934</v>
      </c>
    </row>
    <row r="3386" spans="1:7" x14ac:dyDescent="0.25">
      <c r="A3386" s="41" t="s">
        <v>6673</v>
      </c>
      <c r="B3386" s="41" t="s">
        <v>6671</v>
      </c>
      <c r="C3386" s="41" t="s">
        <v>2928</v>
      </c>
      <c r="D3386" s="41" t="s">
        <v>6670</v>
      </c>
      <c r="E3386" s="41" t="s">
        <v>2929</v>
      </c>
      <c r="F3386" s="41" t="s">
        <v>2930</v>
      </c>
      <c r="G3386" s="41" t="s">
        <v>2931</v>
      </c>
    </row>
    <row r="3387" spans="1:7" x14ac:dyDescent="0.25">
      <c r="A3387" s="41" t="s">
        <v>6674</v>
      </c>
      <c r="B3387" s="41" t="s">
        <v>6671</v>
      </c>
      <c r="C3387" s="41" t="s">
        <v>2928</v>
      </c>
      <c r="D3387" s="41" t="s">
        <v>6670</v>
      </c>
      <c r="E3387" s="41" t="s">
        <v>2929</v>
      </c>
      <c r="F3387" s="41" t="s">
        <v>2949</v>
      </c>
      <c r="G3387" s="41" t="s">
        <v>2950</v>
      </c>
    </row>
    <row r="3388" spans="1:7" x14ac:dyDescent="0.25">
      <c r="A3388" s="41" t="s">
        <v>6675</v>
      </c>
      <c r="B3388" s="41" t="s">
        <v>6676</v>
      </c>
      <c r="C3388" s="41" t="s">
        <v>2928</v>
      </c>
      <c r="D3388" s="41" t="s">
        <v>6675</v>
      </c>
      <c r="E3388" s="41" t="s">
        <v>2929</v>
      </c>
      <c r="F3388" s="41" t="s">
        <v>2930</v>
      </c>
      <c r="G3388" s="41" t="s">
        <v>2931</v>
      </c>
    </row>
    <row r="3389" spans="1:7" x14ac:dyDescent="0.25">
      <c r="A3389" s="41" t="s">
        <v>6677</v>
      </c>
      <c r="B3389" s="41" t="s">
        <v>6676</v>
      </c>
      <c r="C3389" s="41" t="s">
        <v>2928</v>
      </c>
      <c r="D3389" s="41" t="s">
        <v>6675</v>
      </c>
      <c r="E3389" s="41" t="s">
        <v>2929</v>
      </c>
      <c r="F3389" s="41" t="s">
        <v>2933</v>
      </c>
      <c r="G3389" s="41" t="s">
        <v>2934</v>
      </c>
    </row>
    <row r="3390" spans="1:7" x14ac:dyDescent="0.25">
      <c r="A3390" s="41" t="s">
        <v>6678</v>
      </c>
      <c r="B3390" s="41" t="s">
        <v>6676</v>
      </c>
      <c r="C3390" s="41" t="s">
        <v>2928</v>
      </c>
      <c r="D3390" s="41" t="s">
        <v>6675</v>
      </c>
      <c r="E3390" s="41" t="s">
        <v>2929</v>
      </c>
      <c r="F3390" s="41" t="s">
        <v>2930</v>
      </c>
      <c r="G3390" s="41" t="s">
        <v>2931</v>
      </c>
    </row>
    <row r="3391" spans="1:7" x14ac:dyDescent="0.25">
      <c r="A3391" s="41" t="s">
        <v>6679</v>
      </c>
      <c r="B3391" s="41" t="s">
        <v>6676</v>
      </c>
      <c r="C3391" s="41" t="s">
        <v>2928</v>
      </c>
      <c r="D3391" s="41" t="s">
        <v>6675</v>
      </c>
      <c r="E3391" s="41" t="s">
        <v>2929</v>
      </c>
      <c r="F3391" s="41" t="s">
        <v>2949</v>
      </c>
      <c r="G3391" s="41" t="s">
        <v>2950</v>
      </c>
    </row>
    <row r="3392" spans="1:7" x14ac:dyDescent="0.25">
      <c r="A3392" s="41" t="s">
        <v>6680</v>
      </c>
      <c r="B3392" s="41" t="s">
        <v>6681</v>
      </c>
      <c r="C3392" s="41" t="s">
        <v>2928</v>
      </c>
      <c r="D3392" s="41" t="s">
        <v>6680</v>
      </c>
      <c r="E3392" s="41" t="s">
        <v>2929</v>
      </c>
      <c r="F3392" s="41" t="s">
        <v>2930</v>
      </c>
      <c r="G3392" s="41" t="s">
        <v>2931</v>
      </c>
    </row>
    <row r="3393" spans="1:7" x14ac:dyDescent="0.25">
      <c r="A3393" s="41" t="s">
        <v>6682</v>
      </c>
      <c r="B3393" s="41" t="s">
        <v>6681</v>
      </c>
      <c r="C3393" s="41" t="s">
        <v>2928</v>
      </c>
      <c r="D3393" s="41" t="s">
        <v>6680</v>
      </c>
      <c r="E3393" s="41" t="s">
        <v>2929</v>
      </c>
      <c r="F3393" s="41" t="s">
        <v>2933</v>
      </c>
      <c r="G3393" s="41" t="s">
        <v>2934</v>
      </c>
    </row>
    <row r="3394" spans="1:7" x14ac:dyDescent="0.25">
      <c r="A3394" s="41" t="s">
        <v>6683</v>
      </c>
      <c r="B3394" s="41" t="s">
        <v>6681</v>
      </c>
      <c r="C3394" s="41" t="s">
        <v>2928</v>
      </c>
      <c r="D3394" s="41" t="s">
        <v>6680</v>
      </c>
      <c r="E3394" s="41" t="s">
        <v>2929</v>
      </c>
      <c r="F3394" s="41" t="s">
        <v>2930</v>
      </c>
      <c r="G3394" s="41" t="s">
        <v>2931</v>
      </c>
    </row>
    <row r="3395" spans="1:7" x14ac:dyDescent="0.25">
      <c r="A3395" s="41" t="s">
        <v>6684</v>
      </c>
      <c r="B3395" s="41" t="s">
        <v>6681</v>
      </c>
      <c r="C3395" s="41" t="s">
        <v>2928</v>
      </c>
      <c r="D3395" s="41" t="s">
        <v>6680</v>
      </c>
      <c r="E3395" s="41" t="s">
        <v>2929</v>
      </c>
      <c r="F3395" s="41" t="s">
        <v>2949</v>
      </c>
      <c r="G3395" s="41" t="s">
        <v>2950</v>
      </c>
    </row>
    <row r="3396" spans="1:7" x14ac:dyDescent="0.25">
      <c r="A3396" s="41" t="s">
        <v>6685</v>
      </c>
      <c r="B3396" s="41" t="s">
        <v>6686</v>
      </c>
      <c r="C3396" s="41" t="s">
        <v>2928</v>
      </c>
      <c r="D3396" s="41" t="s">
        <v>6685</v>
      </c>
      <c r="E3396" s="41" t="s">
        <v>2929</v>
      </c>
      <c r="F3396" s="41" t="s">
        <v>2930</v>
      </c>
      <c r="G3396" s="41" t="s">
        <v>2931</v>
      </c>
    </row>
    <row r="3397" spans="1:7" x14ac:dyDescent="0.25">
      <c r="A3397" s="41" t="s">
        <v>6687</v>
      </c>
      <c r="B3397" s="41" t="s">
        <v>6686</v>
      </c>
      <c r="C3397" s="41" t="s">
        <v>2928</v>
      </c>
      <c r="D3397" s="41" t="s">
        <v>6685</v>
      </c>
      <c r="E3397" s="41" t="s">
        <v>2929</v>
      </c>
      <c r="F3397" s="41" t="s">
        <v>2933</v>
      </c>
      <c r="G3397" s="41" t="s">
        <v>2934</v>
      </c>
    </row>
    <row r="3398" spans="1:7" x14ac:dyDescent="0.25">
      <c r="A3398" s="41" t="s">
        <v>6688</v>
      </c>
      <c r="B3398" s="41" t="s">
        <v>6686</v>
      </c>
      <c r="C3398" s="41" t="s">
        <v>2928</v>
      </c>
      <c r="D3398" s="41" t="s">
        <v>6685</v>
      </c>
      <c r="E3398" s="41" t="s">
        <v>2929</v>
      </c>
      <c r="F3398" s="41" t="s">
        <v>2930</v>
      </c>
      <c r="G3398" s="41" t="s">
        <v>2931</v>
      </c>
    </row>
    <row r="3399" spans="1:7" x14ac:dyDescent="0.25">
      <c r="A3399" s="41" t="s">
        <v>6689</v>
      </c>
      <c r="B3399" s="41" t="s">
        <v>6686</v>
      </c>
      <c r="C3399" s="41" t="s">
        <v>2928</v>
      </c>
      <c r="D3399" s="41" t="s">
        <v>6685</v>
      </c>
      <c r="E3399" s="41" t="s">
        <v>2929</v>
      </c>
      <c r="F3399" s="41" t="s">
        <v>2949</v>
      </c>
      <c r="G3399" s="41" t="s">
        <v>2950</v>
      </c>
    </row>
    <row r="3400" spans="1:7" x14ac:dyDescent="0.25">
      <c r="A3400" s="41" t="s">
        <v>6690</v>
      </c>
      <c r="B3400" s="41" t="s">
        <v>6691</v>
      </c>
      <c r="C3400" s="41" t="s">
        <v>2928</v>
      </c>
      <c r="D3400" s="41" t="s">
        <v>6690</v>
      </c>
      <c r="E3400" s="41" t="s">
        <v>2929</v>
      </c>
      <c r="F3400" s="41" t="s">
        <v>2930</v>
      </c>
      <c r="G3400" s="41" t="s">
        <v>2931</v>
      </c>
    </row>
    <row r="3401" spans="1:7" x14ac:dyDescent="0.25">
      <c r="A3401" s="41" t="s">
        <v>6692</v>
      </c>
      <c r="B3401" s="41" t="s">
        <v>6691</v>
      </c>
      <c r="C3401" s="41" t="s">
        <v>2928</v>
      </c>
      <c r="D3401" s="41" t="s">
        <v>6690</v>
      </c>
      <c r="E3401" s="41" t="s">
        <v>2929</v>
      </c>
      <c r="F3401" s="41" t="s">
        <v>2933</v>
      </c>
      <c r="G3401" s="41" t="s">
        <v>2934</v>
      </c>
    </row>
    <row r="3402" spans="1:7" x14ac:dyDescent="0.25">
      <c r="A3402" s="41" t="s">
        <v>6693</v>
      </c>
      <c r="B3402" s="41" t="s">
        <v>6691</v>
      </c>
      <c r="C3402" s="41" t="s">
        <v>2928</v>
      </c>
      <c r="D3402" s="41" t="s">
        <v>6690</v>
      </c>
      <c r="E3402" s="41" t="s">
        <v>2929</v>
      </c>
      <c r="F3402" s="41" t="s">
        <v>2930</v>
      </c>
      <c r="G3402" s="41" t="s">
        <v>2931</v>
      </c>
    </row>
    <row r="3403" spans="1:7" x14ac:dyDescent="0.25">
      <c r="A3403" s="41" t="s">
        <v>6694</v>
      </c>
      <c r="B3403" s="41" t="s">
        <v>6691</v>
      </c>
      <c r="C3403" s="41" t="s">
        <v>2928</v>
      </c>
      <c r="D3403" s="41" t="s">
        <v>6690</v>
      </c>
      <c r="E3403" s="41" t="s">
        <v>2929</v>
      </c>
      <c r="F3403" s="41" t="s">
        <v>2949</v>
      </c>
      <c r="G3403" s="41" t="s">
        <v>2950</v>
      </c>
    </row>
    <row r="3404" spans="1:7" x14ac:dyDescent="0.25">
      <c r="A3404" s="41" t="s">
        <v>6695</v>
      </c>
      <c r="B3404" s="41" t="s">
        <v>6696</v>
      </c>
      <c r="C3404" s="41" t="s">
        <v>2928</v>
      </c>
      <c r="D3404" s="41" t="s">
        <v>6695</v>
      </c>
      <c r="E3404" s="41" t="s">
        <v>2929</v>
      </c>
      <c r="F3404" s="41" t="s">
        <v>2930</v>
      </c>
      <c r="G3404" s="41" t="s">
        <v>2931</v>
      </c>
    </row>
    <row r="3405" spans="1:7" x14ac:dyDescent="0.25">
      <c r="A3405" s="41" t="s">
        <v>6697</v>
      </c>
      <c r="B3405" s="41" t="s">
        <v>6696</v>
      </c>
      <c r="C3405" s="41" t="s">
        <v>2928</v>
      </c>
      <c r="D3405" s="41" t="s">
        <v>6695</v>
      </c>
      <c r="E3405" s="41" t="s">
        <v>2929</v>
      </c>
      <c r="F3405" s="41" t="s">
        <v>2933</v>
      </c>
      <c r="G3405" s="41" t="s">
        <v>2934</v>
      </c>
    </row>
    <row r="3406" spans="1:7" x14ac:dyDescent="0.25">
      <c r="A3406" s="41" t="s">
        <v>6698</v>
      </c>
      <c r="B3406" s="41" t="s">
        <v>6696</v>
      </c>
      <c r="C3406" s="41" t="s">
        <v>2928</v>
      </c>
      <c r="D3406" s="41" t="s">
        <v>6695</v>
      </c>
      <c r="E3406" s="41" t="s">
        <v>2929</v>
      </c>
      <c r="F3406" s="41" t="s">
        <v>2933</v>
      </c>
      <c r="G3406" s="41" t="s">
        <v>2934</v>
      </c>
    </row>
    <row r="3407" spans="1:7" x14ac:dyDescent="0.25">
      <c r="A3407" s="41" t="s">
        <v>6699</v>
      </c>
      <c r="B3407" s="41" t="s">
        <v>6696</v>
      </c>
      <c r="C3407" s="41" t="s">
        <v>2928</v>
      </c>
      <c r="D3407" s="41" t="s">
        <v>6695</v>
      </c>
      <c r="E3407" s="41" t="s">
        <v>2929</v>
      </c>
      <c r="F3407" s="41" t="s">
        <v>2930</v>
      </c>
      <c r="G3407" s="41" t="s">
        <v>2931</v>
      </c>
    </row>
    <row r="3408" spans="1:7" x14ac:dyDescent="0.25">
      <c r="A3408" s="41" t="s">
        <v>6700</v>
      </c>
      <c r="B3408" s="41" t="s">
        <v>6696</v>
      </c>
      <c r="C3408" s="41" t="s">
        <v>2928</v>
      </c>
      <c r="D3408" s="41" t="s">
        <v>6695</v>
      </c>
      <c r="E3408" s="41" t="s">
        <v>2929</v>
      </c>
      <c r="F3408" s="41" t="s">
        <v>2930</v>
      </c>
      <c r="G3408" s="41" t="s">
        <v>2931</v>
      </c>
    </row>
    <row r="3409" spans="1:7" x14ac:dyDescent="0.25">
      <c r="A3409" s="41" t="s">
        <v>6701</v>
      </c>
      <c r="B3409" s="41" t="s">
        <v>6696</v>
      </c>
      <c r="C3409" s="41" t="s">
        <v>2928</v>
      </c>
      <c r="D3409" s="41" t="s">
        <v>6695</v>
      </c>
      <c r="E3409" s="41" t="s">
        <v>2929</v>
      </c>
      <c r="F3409" s="41" t="s">
        <v>2949</v>
      </c>
      <c r="G3409" s="41" t="s">
        <v>2950</v>
      </c>
    </row>
    <row r="3410" spans="1:7" x14ac:dyDescent="0.25">
      <c r="A3410" s="41" t="s">
        <v>6702</v>
      </c>
      <c r="B3410" s="41" t="s">
        <v>6703</v>
      </c>
      <c r="C3410" s="41" t="s">
        <v>2928</v>
      </c>
      <c r="D3410" s="41" t="s">
        <v>6702</v>
      </c>
      <c r="E3410" s="41" t="s">
        <v>2929</v>
      </c>
      <c r="F3410" s="41" t="s">
        <v>2930</v>
      </c>
      <c r="G3410" s="41" t="s">
        <v>2931</v>
      </c>
    </row>
    <row r="3411" spans="1:7" x14ac:dyDescent="0.25">
      <c r="A3411" s="41" t="s">
        <v>6704</v>
      </c>
      <c r="B3411" s="41" t="s">
        <v>6703</v>
      </c>
      <c r="C3411" s="41" t="s">
        <v>2928</v>
      </c>
      <c r="D3411" s="41" t="s">
        <v>6702</v>
      </c>
      <c r="E3411" s="41" t="s">
        <v>2929</v>
      </c>
      <c r="F3411" s="41" t="s">
        <v>2933</v>
      </c>
      <c r="G3411" s="41" t="s">
        <v>2934</v>
      </c>
    </row>
    <row r="3412" spans="1:7" x14ac:dyDescent="0.25">
      <c r="A3412" s="41" t="s">
        <v>6705</v>
      </c>
      <c r="B3412" s="41" t="s">
        <v>6703</v>
      </c>
      <c r="C3412" s="41" t="s">
        <v>2928</v>
      </c>
      <c r="D3412" s="41" t="s">
        <v>6702</v>
      </c>
      <c r="E3412" s="41" t="s">
        <v>2929</v>
      </c>
      <c r="F3412" s="41" t="s">
        <v>2933</v>
      </c>
      <c r="G3412" s="41" t="s">
        <v>2934</v>
      </c>
    </row>
    <row r="3413" spans="1:7" x14ac:dyDescent="0.25">
      <c r="A3413" s="41" t="s">
        <v>6706</v>
      </c>
      <c r="B3413" s="41" t="s">
        <v>6703</v>
      </c>
      <c r="C3413" s="41" t="s">
        <v>2928</v>
      </c>
      <c r="D3413" s="41" t="s">
        <v>6702</v>
      </c>
      <c r="E3413" s="41" t="s">
        <v>2929</v>
      </c>
      <c r="F3413" s="41" t="s">
        <v>2930</v>
      </c>
      <c r="G3413" s="41" t="s">
        <v>2931</v>
      </c>
    </row>
    <row r="3414" spans="1:7" x14ac:dyDescent="0.25">
      <c r="A3414" s="41" t="s">
        <v>6707</v>
      </c>
      <c r="B3414" s="41" t="s">
        <v>6703</v>
      </c>
      <c r="C3414" s="41" t="s">
        <v>2928</v>
      </c>
      <c r="D3414" s="41" t="s">
        <v>6702</v>
      </c>
      <c r="E3414" s="41" t="s">
        <v>2929</v>
      </c>
      <c r="F3414" s="41" t="s">
        <v>2949</v>
      </c>
      <c r="G3414" s="41" t="s">
        <v>2950</v>
      </c>
    </row>
    <row r="3415" spans="1:7" x14ac:dyDescent="0.25">
      <c r="A3415" s="41" t="s">
        <v>6708</v>
      </c>
      <c r="B3415" s="41" t="s">
        <v>6703</v>
      </c>
      <c r="C3415" s="41" t="s">
        <v>2928</v>
      </c>
      <c r="D3415" s="41" t="s">
        <v>6702</v>
      </c>
      <c r="E3415" s="41" t="s">
        <v>2929</v>
      </c>
      <c r="F3415" s="41" t="s">
        <v>2949</v>
      </c>
      <c r="G3415" s="41" t="s">
        <v>2950</v>
      </c>
    </row>
    <row r="3416" spans="1:7" x14ac:dyDescent="0.25">
      <c r="A3416" s="41" t="s">
        <v>6709</v>
      </c>
      <c r="B3416" s="41" t="s">
        <v>6710</v>
      </c>
      <c r="C3416" s="41" t="s">
        <v>2928</v>
      </c>
      <c r="D3416" s="41" t="s">
        <v>6709</v>
      </c>
      <c r="E3416" s="41" t="s">
        <v>2929</v>
      </c>
      <c r="F3416" s="41" t="s">
        <v>2930</v>
      </c>
      <c r="G3416" s="41" t="s">
        <v>2931</v>
      </c>
    </row>
    <row r="3417" spans="1:7" x14ac:dyDescent="0.25">
      <c r="A3417" s="41" t="s">
        <v>6711</v>
      </c>
      <c r="B3417" s="41" t="s">
        <v>6710</v>
      </c>
      <c r="C3417" s="41" t="s">
        <v>2928</v>
      </c>
      <c r="D3417" s="41" t="s">
        <v>6709</v>
      </c>
      <c r="E3417" s="41" t="s">
        <v>2929</v>
      </c>
      <c r="F3417" s="41" t="s">
        <v>2933</v>
      </c>
      <c r="G3417" s="41" t="s">
        <v>2934</v>
      </c>
    </row>
    <row r="3418" spans="1:7" x14ac:dyDescent="0.25">
      <c r="A3418" s="41" t="s">
        <v>6712</v>
      </c>
      <c r="B3418" s="41" t="s">
        <v>6710</v>
      </c>
      <c r="C3418" s="41" t="s">
        <v>2928</v>
      </c>
      <c r="D3418" s="41" t="s">
        <v>6709</v>
      </c>
      <c r="E3418" s="41" t="s">
        <v>2929</v>
      </c>
      <c r="F3418" s="41" t="s">
        <v>2933</v>
      </c>
      <c r="G3418" s="41" t="s">
        <v>2934</v>
      </c>
    </row>
    <row r="3419" spans="1:7" x14ac:dyDescent="0.25">
      <c r="A3419" s="41" t="s">
        <v>6713</v>
      </c>
      <c r="B3419" s="41" t="s">
        <v>6710</v>
      </c>
      <c r="C3419" s="41" t="s">
        <v>2928</v>
      </c>
      <c r="D3419" s="41" t="s">
        <v>6709</v>
      </c>
      <c r="E3419" s="41" t="s">
        <v>2929</v>
      </c>
      <c r="F3419" s="41" t="s">
        <v>2930</v>
      </c>
      <c r="G3419" s="41" t="s">
        <v>2931</v>
      </c>
    </row>
    <row r="3420" spans="1:7" x14ac:dyDescent="0.25">
      <c r="A3420" s="41" t="s">
        <v>6714</v>
      </c>
      <c r="B3420" s="41" t="s">
        <v>6710</v>
      </c>
      <c r="C3420" s="41" t="s">
        <v>2928</v>
      </c>
      <c r="D3420" s="41" t="s">
        <v>6709</v>
      </c>
      <c r="E3420" s="41" t="s">
        <v>2929</v>
      </c>
      <c r="F3420" s="41" t="s">
        <v>2949</v>
      </c>
      <c r="G3420" s="41" t="s">
        <v>2950</v>
      </c>
    </row>
    <row r="3421" spans="1:7" x14ac:dyDescent="0.25">
      <c r="A3421" s="41" t="s">
        <v>6715</v>
      </c>
      <c r="B3421" s="41" t="s">
        <v>6710</v>
      </c>
      <c r="C3421" s="41" t="s">
        <v>2928</v>
      </c>
      <c r="D3421" s="41" t="s">
        <v>6709</v>
      </c>
      <c r="E3421" s="41" t="s">
        <v>2929</v>
      </c>
      <c r="F3421" s="41" t="s">
        <v>2949</v>
      </c>
      <c r="G3421" s="41" t="s">
        <v>2950</v>
      </c>
    </row>
    <row r="3422" spans="1:7" x14ac:dyDescent="0.25">
      <c r="A3422" s="41" t="s">
        <v>6716</v>
      </c>
      <c r="B3422" s="41" t="s">
        <v>6717</v>
      </c>
      <c r="C3422" s="41" t="s">
        <v>2928</v>
      </c>
      <c r="D3422" s="41" t="s">
        <v>6716</v>
      </c>
      <c r="E3422" s="41" t="s">
        <v>2929</v>
      </c>
      <c r="F3422" s="41" t="s">
        <v>2930</v>
      </c>
      <c r="G3422" s="41" t="s">
        <v>2931</v>
      </c>
    </row>
    <row r="3423" spans="1:7" x14ac:dyDescent="0.25">
      <c r="A3423" s="41" t="s">
        <v>6718</v>
      </c>
      <c r="B3423" s="41" t="s">
        <v>6717</v>
      </c>
      <c r="C3423" s="41" t="s">
        <v>2928</v>
      </c>
      <c r="D3423" s="41" t="s">
        <v>6716</v>
      </c>
      <c r="E3423" s="41" t="s">
        <v>2929</v>
      </c>
      <c r="F3423" s="41" t="s">
        <v>2933</v>
      </c>
      <c r="G3423" s="41" t="s">
        <v>2934</v>
      </c>
    </row>
    <row r="3424" spans="1:7" x14ac:dyDescent="0.25">
      <c r="A3424" s="41" t="s">
        <v>6719</v>
      </c>
      <c r="B3424" s="41" t="s">
        <v>6717</v>
      </c>
      <c r="C3424" s="41" t="s">
        <v>2928</v>
      </c>
      <c r="D3424" s="41" t="s">
        <v>6716</v>
      </c>
      <c r="E3424" s="41" t="s">
        <v>2929</v>
      </c>
      <c r="F3424" s="41" t="s">
        <v>2933</v>
      </c>
      <c r="G3424" s="41" t="s">
        <v>2934</v>
      </c>
    </row>
    <row r="3425" spans="1:7" x14ac:dyDescent="0.25">
      <c r="A3425" s="41" t="s">
        <v>6720</v>
      </c>
      <c r="B3425" s="41" t="s">
        <v>6717</v>
      </c>
      <c r="C3425" s="41" t="s">
        <v>2928</v>
      </c>
      <c r="D3425" s="41" t="s">
        <v>6716</v>
      </c>
      <c r="E3425" s="41" t="s">
        <v>2929</v>
      </c>
      <c r="F3425" s="41" t="s">
        <v>2930</v>
      </c>
      <c r="G3425" s="41" t="s">
        <v>2931</v>
      </c>
    </row>
    <row r="3426" spans="1:7" x14ac:dyDescent="0.25">
      <c r="A3426" s="41" t="s">
        <v>6721</v>
      </c>
      <c r="B3426" s="41" t="s">
        <v>6717</v>
      </c>
      <c r="C3426" s="41" t="s">
        <v>2928</v>
      </c>
      <c r="D3426" s="41" t="s">
        <v>6716</v>
      </c>
      <c r="E3426" s="41" t="s">
        <v>2929</v>
      </c>
      <c r="F3426" s="41" t="s">
        <v>2949</v>
      </c>
      <c r="G3426" s="41" t="s">
        <v>2950</v>
      </c>
    </row>
    <row r="3427" spans="1:7" x14ac:dyDescent="0.25">
      <c r="A3427" s="41" t="s">
        <v>6722</v>
      </c>
      <c r="B3427" s="41" t="s">
        <v>6717</v>
      </c>
      <c r="C3427" s="41" t="s">
        <v>2928</v>
      </c>
      <c r="D3427" s="41" t="s">
        <v>6716</v>
      </c>
      <c r="E3427" s="41" t="s">
        <v>2929</v>
      </c>
      <c r="F3427" s="41" t="s">
        <v>2949</v>
      </c>
      <c r="G3427" s="41" t="s">
        <v>2950</v>
      </c>
    </row>
    <row r="3428" spans="1:7" x14ac:dyDescent="0.25">
      <c r="A3428" s="41" t="s">
        <v>6723</v>
      </c>
      <c r="B3428" s="41" t="s">
        <v>6724</v>
      </c>
      <c r="C3428" s="41" t="s">
        <v>2928</v>
      </c>
      <c r="D3428" s="41" t="s">
        <v>6723</v>
      </c>
      <c r="E3428" s="41" t="s">
        <v>2929</v>
      </c>
      <c r="F3428" s="41" t="s">
        <v>2930</v>
      </c>
      <c r="G3428" s="41" t="s">
        <v>2931</v>
      </c>
    </row>
    <row r="3429" spans="1:7" x14ac:dyDescent="0.25">
      <c r="A3429" s="41" t="s">
        <v>6725</v>
      </c>
      <c r="B3429" s="41" t="s">
        <v>6724</v>
      </c>
      <c r="C3429" s="41" t="s">
        <v>2928</v>
      </c>
      <c r="D3429" s="41" t="s">
        <v>6723</v>
      </c>
      <c r="E3429" s="41" t="s">
        <v>2929</v>
      </c>
      <c r="F3429" s="41" t="s">
        <v>2933</v>
      </c>
      <c r="G3429" s="41" t="s">
        <v>2934</v>
      </c>
    </row>
    <row r="3430" spans="1:7" x14ac:dyDescent="0.25">
      <c r="A3430" s="41" t="s">
        <v>6726</v>
      </c>
      <c r="B3430" s="41" t="s">
        <v>6724</v>
      </c>
      <c r="C3430" s="41" t="s">
        <v>2928</v>
      </c>
      <c r="D3430" s="41" t="s">
        <v>6723</v>
      </c>
      <c r="E3430" s="41" t="s">
        <v>2929</v>
      </c>
      <c r="F3430" s="41" t="s">
        <v>2933</v>
      </c>
      <c r="G3430" s="41" t="s">
        <v>2934</v>
      </c>
    </row>
    <row r="3431" spans="1:7" x14ac:dyDescent="0.25">
      <c r="A3431" s="41" t="s">
        <v>6727</v>
      </c>
      <c r="B3431" s="41" t="s">
        <v>6724</v>
      </c>
      <c r="C3431" s="41" t="s">
        <v>2928</v>
      </c>
      <c r="D3431" s="41" t="s">
        <v>6723</v>
      </c>
      <c r="E3431" s="41" t="s">
        <v>2929</v>
      </c>
      <c r="F3431" s="41" t="s">
        <v>2930</v>
      </c>
      <c r="G3431" s="41" t="s">
        <v>2931</v>
      </c>
    </row>
    <row r="3432" spans="1:7" x14ac:dyDescent="0.25">
      <c r="A3432" s="41" t="s">
        <v>6728</v>
      </c>
      <c r="B3432" s="41" t="s">
        <v>6724</v>
      </c>
      <c r="C3432" s="41" t="s">
        <v>2928</v>
      </c>
      <c r="D3432" s="41" t="s">
        <v>6723</v>
      </c>
      <c r="E3432" s="41" t="s">
        <v>2929</v>
      </c>
      <c r="F3432" s="41" t="s">
        <v>2949</v>
      </c>
      <c r="G3432" s="41" t="s">
        <v>2950</v>
      </c>
    </row>
    <row r="3433" spans="1:7" x14ac:dyDescent="0.25">
      <c r="A3433" s="41" t="s">
        <v>6729</v>
      </c>
      <c r="B3433" s="41" t="s">
        <v>6724</v>
      </c>
      <c r="C3433" s="41" t="s">
        <v>2928</v>
      </c>
      <c r="D3433" s="41" t="s">
        <v>6723</v>
      </c>
      <c r="E3433" s="41" t="s">
        <v>2929</v>
      </c>
      <c r="F3433" s="41" t="s">
        <v>2949</v>
      </c>
      <c r="G3433" s="41" t="s">
        <v>2950</v>
      </c>
    </row>
    <row r="3434" spans="1:7" x14ac:dyDescent="0.25">
      <c r="A3434" s="41" t="s">
        <v>6730</v>
      </c>
      <c r="B3434" s="41" t="s">
        <v>6731</v>
      </c>
      <c r="C3434" s="41" t="s">
        <v>2928</v>
      </c>
      <c r="D3434" s="41" t="s">
        <v>6730</v>
      </c>
      <c r="E3434" s="41" t="s">
        <v>2929</v>
      </c>
      <c r="F3434" s="41" t="s">
        <v>2930</v>
      </c>
      <c r="G3434" s="41" t="s">
        <v>2931</v>
      </c>
    </row>
    <row r="3435" spans="1:7" x14ac:dyDescent="0.25">
      <c r="A3435" s="41" t="s">
        <v>6732</v>
      </c>
      <c r="B3435" s="41" t="s">
        <v>6731</v>
      </c>
      <c r="C3435" s="41" t="s">
        <v>2928</v>
      </c>
      <c r="D3435" s="41" t="s">
        <v>6730</v>
      </c>
      <c r="E3435" s="41" t="s">
        <v>2929</v>
      </c>
      <c r="F3435" s="41" t="s">
        <v>2933</v>
      </c>
      <c r="G3435" s="41" t="s">
        <v>2934</v>
      </c>
    </row>
    <row r="3436" spans="1:7" x14ac:dyDescent="0.25">
      <c r="A3436" s="41" t="s">
        <v>6733</v>
      </c>
      <c r="B3436" s="41" t="s">
        <v>6731</v>
      </c>
      <c r="C3436" s="41" t="s">
        <v>2928</v>
      </c>
      <c r="D3436" s="41" t="s">
        <v>6730</v>
      </c>
      <c r="E3436" s="41" t="s">
        <v>2929</v>
      </c>
      <c r="F3436" s="41" t="s">
        <v>2933</v>
      </c>
      <c r="G3436" s="41" t="s">
        <v>2934</v>
      </c>
    </row>
    <row r="3437" spans="1:7" x14ac:dyDescent="0.25">
      <c r="A3437" s="41" t="s">
        <v>6734</v>
      </c>
      <c r="B3437" s="41" t="s">
        <v>6731</v>
      </c>
      <c r="C3437" s="41" t="s">
        <v>2928</v>
      </c>
      <c r="D3437" s="41" t="s">
        <v>6730</v>
      </c>
      <c r="E3437" s="41" t="s">
        <v>2929</v>
      </c>
      <c r="F3437" s="41" t="s">
        <v>2930</v>
      </c>
      <c r="G3437" s="41" t="s">
        <v>2931</v>
      </c>
    </row>
    <row r="3438" spans="1:7" x14ac:dyDescent="0.25">
      <c r="A3438" s="41" t="s">
        <v>6735</v>
      </c>
      <c r="B3438" s="41" t="s">
        <v>6731</v>
      </c>
      <c r="C3438" s="41" t="s">
        <v>2928</v>
      </c>
      <c r="D3438" s="41" t="s">
        <v>6730</v>
      </c>
      <c r="E3438" s="41" t="s">
        <v>2929</v>
      </c>
      <c r="F3438" s="41" t="s">
        <v>2949</v>
      </c>
      <c r="G3438" s="41" t="s">
        <v>2950</v>
      </c>
    </row>
    <row r="3439" spans="1:7" x14ac:dyDescent="0.25">
      <c r="A3439" s="41" t="s">
        <v>6736</v>
      </c>
      <c r="B3439" s="41" t="s">
        <v>6731</v>
      </c>
      <c r="C3439" s="41" t="s">
        <v>2928</v>
      </c>
      <c r="D3439" s="41" t="s">
        <v>6730</v>
      </c>
      <c r="E3439" s="41" t="s">
        <v>2929</v>
      </c>
      <c r="F3439" s="41" t="s">
        <v>2949</v>
      </c>
      <c r="G3439" s="41" t="s">
        <v>2950</v>
      </c>
    </row>
    <row r="3440" spans="1:7" x14ac:dyDescent="0.25">
      <c r="A3440" s="41" t="s">
        <v>6737</v>
      </c>
      <c r="B3440" s="41" t="s">
        <v>6738</v>
      </c>
      <c r="C3440" s="41" t="s">
        <v>2928</v>
      </c>
      <c r="D3440" s="41" t="s">
        <v>6737</v>
      </c>
      <c r="E3440" s="41" t="s">
        <v>2929</v>
      </c>
      <c r="F3440" s="41" t="s">
        <v>2930</v>
      </c>
      <c r="G3440" s="41" t="s">
        <v>2931</v>
      </c>
    </row>
    <row r="3441" spans="1:7" x14ac:dyDescent="0.25">
      <c r="A3441" s="41" t="s">
        <v>6739</v>
      </c>
      <c r="B3441" s="41" t="s">
        <v>6738</v>
      </c>
      <c r="C3441" s="41" t="s">
        <v>2928</v>
      </c>
      <c r="D3441" s="41" t="s">
        <v>6737</v>
      </c>
      <c r="E3441" s="41" t="s">
        <v>2929</v>
      </c>
      <c r="F3441" s="41" t="s">
        <v>2933</v>
      </c>
      <c r="G3441" s="41" t="s">
        <v>2934</v>
      </c>
    </row>
    <row r="3442" spans="1:7" x14ac:dyDescent="0.25">
      <c r="A3442" s="41" t="s">
        <v>6740</v>
      </c>
      <c r="B3442" s="41" t="s">
        <v>6738</v>
      </c>
      <c r="C3442" s="41" t="s">
        <v>2928</v>
      </c>
      <c r="D3442" s="41" t="s">
        <v>6737</v>
      </c>
      <c r="E3442" s="41" t="s">
        <v>2929</v>
      </c>
      <c r="F3442" s="41" t="s">
        <v>2930</v>
      </c>
      <c r="G3442" s="41" t="s">
        <v>2931</v>
      </c>
    </row>
    <row r="3443" spans="1:7" x14ac:dyDescent="0.25">
      <c r="A3443" s="41" t="s">
        <v>6741</v>
      </c>
      <c r="B3443" s="41" t="s">
        <v>6738</v>
      </c>
      <c r="C3443" s="41" t="s">
        <v>2928</v>
      </c>
      <c r="D3443" s="41" t="s">
        <v>6737</v>
      </c>
      <c r="E3443" s="41" t="s">
        <v>2929</v>
      </c>
      <c r="F3443" s="41" t="s">
        <v>2949</v>
      </c>
      <c r="G3443" s="41" t="s">
        <v>2950</v>
      </c>
    </row>
    <row r="3444" spans="1:7" x14ac:dyDescent="0.25">
      <c r="A3444" s="41" t="s">
        <v>6742</v>
      </c>
      <c r="B3444" s="41" t="s">
        <v>6743</v>
      </c>
      <c r="C3444" s="41" t="s">
        <v>2928</v>
      </c>
      <c r="D3444" s="41" t="s">
        <v>6742</v>
      </c>
      <c r="E3444" s="41" t="s">
        <v>2929</v>
      </c>
      <c r="F3444" s="41" t="s">
        <v>2930</v>
      </c>
      <c r="G3444" s="41" t="s">
        <v>2931</v>
      </c>
    </row>
    <row r="3445" spans="1:7" x14ac:dyDescent="0.25">
      <c r="A3445" s="41" t="s">
        <v>6744</v>
      </c>
      <c r="B3445" s="41" t="s">
        <v>6743</v>
      </c>
      <c r="C3445" s="41" t="s">
        <v>2928</v>
      </c>
      <c r="D3445" s="41" t="s">
        <v>6742</v>
      </c>
      <c r="E3445" s="41" t="s">
        <v>2929</v>
      </c>
      <c r="F3445" s="41" t="s">
        <v>2933</v>
      </c>
      <c r="G3445" s="41" t="s">
        <v>2934</v>
      </c>
    </row>
    <row r="3446" spans="1:7" x14ac:dyDescent="0.25">
      <c r="A3446" s="41" t="s">
        <v>6745</v>
      </c>
      <c r="B3446" s="41" t="s">
        <v>6743</v>
      </c>
      <c r="C3446" s="41" t="s">
        <v>2928</v>
      </c>
      <c r="D3446" s="41" t="s">
        <v>6742</v>
      </c>
      <c r="E3446" s="41" t="s">
        <v>2929</v>
      </c>
      <c r="F3446" s="41" t="s">
        <v>2930</v>
      </c>
      <c r="G3446" s="41" t="s">
        <v>2931</v>
      </c>
    </row>
    <row r="3447" spans="1:7" x14ac:dyDescent="0.25">
      <c r="A3447" s="41" t="s">
        <v>6746</v>
      </c>
      <c r="B3447" s="41" t="s">
        <v>6743</v>
      </c>
      <c r="C3447" s="41" t="s">
        <v>2928</v>
      </c>
      <c r="D3447" s="41" t="s">
        <v>6742</v>
      </c>
      <c r="E3447" s="41" t="s">
        <v>2929</v>
      </c>
      <c r="F3447" s="41" t="s">
        <v>2949</v>
      </c>
      <c r="G3447" s="41" t="s">
        <v>2950</v>
      </c>
    </row>
    <row r="3448" spans="1:7" x14ac:dyDescent="0.25">
      <c r="A3448" s="41" t="s">
        <v>6747</v>
      </c>
      <c r="B3448" s="41" t="s">
        <v>6748</v>
      </c>
      <c r="C3448" s="41" t="s">
        <v>2928</v>
      </c>
      <c r="D3448" s="41" t="s">
        <v>6747</v>
      </c>
      <c r="E3448" s="41" t="s">
        <v>2929</v>
      </c>
      <c r="F3448" s="41" t="s">
        <v>2930</v>
      </c>
      <c r="G3448" s="41" t="s">
        <v>2931</v>
      </c>
    </row>
    <row r="3449" spans="1:7" x14ac:dyDescent="0.25">
      <c r="A3449" s="41" t="s">
        <v>6749</v>
      </c>
      <c r="B3449" s="41" t="s">
        <v>6748</v>
      </c>
      <c r="C3449" s="41" t="s">
        <v>2928</v>
      </c>
      <c r="D3449" s="41" t="s">
        <v>6747</v>
      </c>
      <c r="E3449" s="41" t="s">
        <v>2929</v>
      </c>
      <c r="F3449" s="41" t="s">
        <v>2933</v>
      </c>
      <c r="G3449" s="41" t="s">
        <v>2934</v>
      </c>
    </row>
    <row r="3450" spans="1:7" x14ac:dyDescent="0.25">
      <c r="A3450" s="41" t="s">
        <v>6750</v>
      </c>
      <c r="B3450" s="41" t="s">
        <v>6748</v>
      </c>
      <c r="C3450" s="41" t="s">
        <v>2928</v>
      </c>
      <c r="D3450" s="41" t="s">
        <v>6747</v>
      </c>
      <c r="E3450" s="41" t="s">
        <v>2929</v>
      </c>
      <c r="F3450" s="41" t="s">
        <v>2933</v>
      </c>
      <c r="G3450" s="41" t="s">
        <v>2934</v>
      </c>
    </row>
    <row r="3451" spans="1:7" x14ac:dyDescent="0.25">
      <c r="A3451" s="41" t="s">
        <v>6751</v>
      </c>
      <c r="B3451" s="41" t="s">
        <v>6748</v>
      </c>
      <c r="C3451" s="41" t="s">
        <v>2928</v>
      </c>
      <c r="D3451" s="41" t="s">
        <v>6747</v>
      </c>
      <c r="E3451" s="41" t="s">
        <v>2929</v>
      </c>
      <c r="F3451" s="41" t="s">
        <v>2930</v>
      </c>
      <c r="G3451" s="41" t="s">
        <v>2931</v>
      </c>
    </row>
    <row r="3452" spans="1:7" x14ac:dyDescent="0.25">
      <c r="A3452" s="41" t="s">
        <v>6752</v>
      </c>
      <c r="B3452" s="41" t="s">
        <v>6748</v>
      </c>
      <c r="C3452" s="41" t="s">
        <v>2928</v>
      </c>
      <c r="D3452" s="41" t="s">
        <v>6747</v>
      </c>
      <c r="E3452" s="41" t="s">
        <v>2929</v>
      </c>
      <c r="F3452" s="41" t="s">
        <v>2949</v>
      </c>
      <c r="G3452" s="41" t="s">
        <v>2950</v>
      </c>
    </row>
    <row r="3453" spans="1:7" x14ac:dyDescent="0.25">
      <c r="A3453" s="41" t="s">
        <v>6753</v>
      </c>
      <c r="B3453" s="41" t="s">
        <v>6754</v>
      </c>
      <c r="C3453" s="41" t="s">
        <v>2928</v>
      </c>
      <c r="D3453" s="41" t="s">
        <v>6753</v>
      </c>
      <c r="E3453" s="41" t="s">
        <v>2929</v>
      </c>
      <c r="F3453" s="41" t="s">
        <v>2930</v>
      </c>
      <c r="G3453" s="41" t="s">
        <v>2931</v>
      </c>
    </row>
    <row r="3454" spans="1:7" x14ac:dyDescent="0.25">
      <c r="A3454" s="41" t="s">
        <v>6755</v>
      </c>
      <c r="B3454" s="41" t="s">
        <v>6754</v>
      </c>
      <c r="C3454" s="41" t="s">
        <v>2928</v>
      </c>
      <c r="D3454" s="41" t="s">
        <v>6753</v>
      </c>
      <c r="E3454" s="41" t="s">
        <v>2929</v>
      </c>
      <c r="F3454" s="41" t="s">
        <v>2933</v>
      </c>
      <c r="G3454" s="41" t="s">
        <v>2934</v>
      </c>
    </row>
    <row r="3455" spans="1:7" x14ac:dyDescent="0.25">
      <c r="A3455" s="41" t="s">
        <v>6756</v>
      </c>
      <c r="B3455" s="41" t="s">
        <v>6754</v>
      </c>
      <c r="C3455" s="41" t="s">
        <v>2928</v>
      </c>
      <c r="D3455" s="41" t="s">
        <v>6753</v>
      </c>
      <c r="E3455" s="41" t="s">
        <v>2929</v>
      </c>
      <c r="F3455" s="41" t="s">
        <v>2933</v>
      </c>
      <c r="G3455" s="41" t="s">
        <v>2934</v>
      </c>
    </row>
    <row r="3456" spans="1:7" x14ac:dyDescent="0.25">
      <c r="A3456" s="41" t="s">
        <v>6757</v>
      </c>
      <c r="B3456" s="41" t="s">
        <v>6754</v>
      </c>
      <c r="C3456" s="41" t="s">
        <v>2928</v>
      </c>
      <c r="D3456" s="41" t="s">
        <v>6753</v>
      </c>
      <c r="E3456" s="41" t="s">
        <v>2929</v>
      </c>
      <c r="F3456" s="41" t="s">
        <v>2930</v>
      </c>
      <c r="G3456" s="41" t="s">
        <v>2931</v>
      </c>
    </row>
    <row r="3457" spans="1:7" x14ac:dyDescent="0.25">
      <c r="A3457" s="41" t="s">
        <v>6758</v>
      </c>
      <c r="B3457" s="41" t="s">
        <v>6754</v>
      </c>
      <c r="C3457" s="41" t="s">
        <v>2928</v>
      </c>
      <c r="D3457" s="41" t="s">
        <v>6753</v>
      </c>
      <c r="E3457" s="41" t="s">
        <v>2929</v>
      </c>
      <c r="F3457" s="41" t="s">
        <v>2949</v>
      </c>
      <c r="G3457" s="41" t="s">
        <v>2950</v>
      </c>
    </row>
    <row r="3458" spans="1:7" x14ac:dyDescent="0.25">
      <c r="A3458" s="41" t="s">
        <v>6759</v>
      </c>
      <c r="B3458" s="41" t="s">
        <v>6760</v>
      </c>
      <c r="C3458" s="41" t="s">
        <v>2928</v>
      </c>
      <c r="D3458" s="41" t="s">
        <v>6759</v>
      </c>
      <c r="E3458" s="41" t="s">
        <v>2929</v>
      </c>
      <c r="F3458" s="41" t="s">
        <v>2930</v>
      </c>
      <c r="G3458" s="41" t="s">
        <v>2931</v>
      </c>
    </row>
    <row r="3459" spans="1:7" x14ac:dyDescent="0.25">
      <c r="A3459" s="41" t="s">
        <v>6761</v>
      </c>
      <c r="B3459" s="41" t="s">
        <v>6760</v>
      </c>
      <c r="C3459" s="41" t="s">
        <v>2928</v>
      </c>
      <c r="D3459" s="41" t="s">
        <v>6759</v>
      </c>
      <c r="E3459" s="41" t="s">
        <v>2929</v>
      </c>
      <c r="F3459" s="41" t="s">
        <v>2933</v>
      </c>
      <c r="G3459" s="41" t="s">
        <v>2934</v>
      </c>
    </row>
    <row r="3460" spans="1:7" x14ac:dyDescent="0.25">
      <c r="A3460" s="41" t="s">
        <v>6762</v>
      </c>
      <c r="B3460" s="41" t="s">
        <v>6760</v>
      </c>
      <c r="C3460" s="41" t="s">
        <v>2928</v>
      </c>
      <c r="D3460" s="41" t="s">
        <v>6759</v>
      </c>
      <c r="E3460" s="41" t="s">
        <v>2929</v>
      </c>
      <c r="F3460" s="41" t="s">
        <v>2933</v>
      </c>
      <c r="G3460" s="41" t="s">
        <v>2934</v>
      </c>
    </row>
    <row r="3461" spans="1:7" x14ac:dyDescent="0.25">
      <c r="A3461" s="41" t="s">
        <v>6763</v>
      </c>
      <c r="B3461" s="41" t="s">
        <v>6760</v>
      </c>
      <c r="C3461" s="41" t="s">
        <v>2928</v>
      </c>
      <c r="D3461" s="41" t="s">
        <v>6759</v>
      </c>
      <c r="E3461" s="41" t="s">
        <v>2929</v>
      </c>
      <c r="F3461" s="41" t="s">
        <v>2930</v>
      </c>
      <c r="G3461" s="41" t="s">
        <v>2931</v>
      </c>
    </row>
    <row r="3462" spans="1:7" x14ac:dyDescent="0.25">
      <c r="A3462" s="41" t="s">
        <v>6764</v>
      </c>
      <c r="B3462" s="41" t="s">
        <v>6760</v>
      </c>
      <c r="C3462" s="41" t="s">
        <v>2928</v>
      </c>
      <c r="D3462" s="41" t="s">
        <v>6759</v>
      </c>
      <c r="E3462" s="41" t="s">
        <v>2929</v>
      </c>
      <c r="F3462" s="41" t="s">
        <v>2949</v>
      </c>
      <c r="G3462" s="41" t="s">
        <v>2950</v>
      </c>
    </row>
    <row r="3463" spans="1:7" x14ac:dyDescent="0.25">
      <c r="A3463" s="41" t="s">
        <v>6765</v>
      </c>
      <c r="B3463" s="41" t="s">
        <v>6766</v>
      </c>
      <c r="C3463" s="41" t="s">
        <v>2928</v>
      </c>
      <c r="D3463" s="41" t="s">
        <v>6765</v>
      </c>
      <c r="E3463" s="41" t="s">
        <v>2929</v>
      </c>
      <c r="F3463" s="41" t="s">
        <v>2930</v>
      </c>
      <c r="G3463" s="41" t="s">
        <v>2931</v>
      </c>
    </row>
    <row r="3464" spans="1:7" x14ac:dyDescent="0.25">
      <c r="A3464" s="41" t="s">
        <v>6767</v>
      </c>
      <c r="B3464" s="41" t="s">
        <v>6766</v>
      </c>
      <c r="C3464" s="41" t="s">
        <v>2928</v>
      </c>
      <c r="D3464" s="41" t="s">
        <v>6765</v>
      </c>
      <c r="E3464" s="41" t="s">
        <v>2929</v>
      </c>
      <c r="F3464" s="41" t="s">
        <v>2933</v>
      </c>
      <c r="G3464" s="41" t="s">
        <v>2934</v>
      </c>
    </row>
    <row r="3465" spans="1:7" x14ac:dyDescent="0.25">
      <c r="A3465" s="41" t="s">
        <v>6768</v>
      </c>
      <c r="B3465" s="41" t="s">
        <v>6766</v>
      </c>
      <c r="C3465" s="41" t="s">
        <v>2928</v>
      </c>
      <c r="D3465" s="41" t="s">
        <v>6765</v>
      </c>
      <c r="E3465" s="41" t="s">
        <v>2929</v>
      </c>
      <c r="F3465" s="41" t="s">
        <v>2933</v>
      </c>
      <c r="G3465" s="41" t="s">
        <v>2934</v>
      </c>
    </row>
    <row r="3466" spans="1:7" x14ac:dyDescent="0.25">
      <c r="A3466" s="41" t="s">
        <v>6769</v>
      </c>
      <c r="B3466" s="41" t="s">
        <v>6766</v>
      </c>
      <c r="C3466" s="41" t="s">
        <v>2928</v>
      </c>
      <c r="D3466" s="41" t="s">
        <v>6765</v>
      </c>
      <c r="E3466" s="41" t="s">
        <v>2929</v>
      </c>
      <c r="F3466" s="41" t="s">
        <v>2930</v>
      </c>
      <c r="G3466" s="41" t="s">
        <v>2931</v>
      </c>
    </row>
    <row r="3467" spans="1:7" x14ac:dyDescent="0.25">
      <c r="A3467" s="41" t="s">
        <v>6770</v>
      </c>
      <c r="B3467" s="41" t="s">
        <v>6766</v>
      </c>
      <c r="C3467" s="41" t="s">
        <v>2928</v>
      </c>
      <c r="D3467" s="41" t="s">
        <v>6765</v>
      </c>
      <c r="E3467" s="41" t="s">
        <v>2929</v>
      </c>
      <c r="F3467" s="41" t="s">
        <v>2949</v>
      </c>
      <c r="G3467" s="41" t="s">
        <v>2950</v>
      </c>
    </row>
    <row r="3468" spans="1:7" x14ac:dyDescent="0.25">
      <c r="A3468" s="41" t="s">
        <v>6771</v>
      </c>
      <c r="B3468" s="41" t="s">
        <v>6772</v>
      </c>
      <c r="C3468" s="41" t="s">
        <v>2928</v>
      </c>
      <c r="D3468" s="41" t="s">
        <v>6771</v>
      </c>
      <c r="E3468" s="41" t="s">
        <v>2929</v>
      </c>
      <c r="F3468" s="41" t="s">
        <v>2930</v>
      </c>
      <c r="G3468" s="41" t="s">
        <v>2931</v>
      </c>
    </row>
    <row r="3469" spans="1:7" x14ac:dyDescent="0.25">
      <c r="A3469" s="41" t="s">
        <v>6773</v>
      </c>
      <c r="B3469" s="41" t="s">
        <v>6772</v>
      </c>
      <c r="C3469" s="41" t="s">
        <v>2928</v>
      </c>
      <c r="D3469" s="41" t="s">
        <v>6771</v>
      </c>
      <c r="E3469" s="41" t="s">
        <v>2929</v>
      </c>
      <c r="F3469" s="41" t="s">
        <v>2933</v>
      </c>
      <c r="G3469" s="41" t="s">
        <v>2934</v>
      </c>
    </row>
    <row r="3470" spans="1:7" x14ac:dyDescent="0.25">
      <c r="A3470" s="41" t="s">
        <v>6774</v>
      </c>
      <c r="B3470" s="41" t="s">
        <v>6772</v>
      </c>
      <c r="C3470" s="41" t="s">
        <v>2928</v>
      </c>
      <c r="D3470" s="41" t="s">
        <v>6771</v>
      </c>
      <c r="E3470" s="41" t="s">
        <v>2929</v>
      </c>
      <c r="F3470" s="41" t="s">
        <v>2933</v>
      </c>
      <c r="G3470" s="41" t="s">
        <v>2934</v>
      </c>
    </row>
    <row r="3471" spans="1:7" x14ac:dyDescent="0.25">
      <c r="A3471" s="41" t="s">
        <v>6775</v>
      </c>
      <c r="B3471" s="41" t="s">
        <v>6772</v>
      </c>
      <c r="C3471" s="41" t="s">
        <v>2928</v>
      </c>
      <c r="D3471" s="41" t="s">
        <v>6771</v>
      </c>
      <c r="E3471" s="41" t="s">
        <v>2929</v>
      </c>
      <c r="F3471" s="41" t="s">
        <v>2930</v>
      </c>
      <c r="G3471" s="41" t="s">
        <v>2931</v>
      </c>
    </row>
    <row r="3472" spans="1:7" x14ac:dyDescent="0.25">
      <c r="A3472" s="41" t="s">
        <v>6776</v>
      </c>
      <c r="B3472" s="41" t="s">
        <v>6772</v>
      </c>
      <c r="C3472" s="41" t="s">
        <v>2928</v>
      </c>
      <c r="D3472" s="41" t="s">
        <v>6771</v>
      </c>
      <c r="E3472" s="41" t="s">
        <v>2929</v>
      </c>
      <c r="F3472" s="41" t="s">
        <v>2949</v>
      </c>
      <c r="G3472" s="41" t="s">
        <v>2950</v>
      </c>
    </row>
    <row r="3473" spans="1:7" x14ac:dyDescent="0.25">
      <c r="A3473" s="41" t="s">
        <v>6777</v>
      </c>
      <c r="B3473" s="41" t="s">
        <v>6778</v>
      </c>
      <c r="C3473" s="41" t="s">
        <v>2928</v>
      </c>
      <c r="D3473" s="41" t="s">
        <v>6777</v>
      </c>
      <c r="E3473" s="41" t="s">
        <v>2929</v>
      </c>
      <c r="F3473" s="41" t="s">
        <v>2930</v>
      </c>
      <c r="G3473" s="41" t="s">
        <v>2931</v>
      </c>
    </row>
    <row r="3474" spans="1:7" x14ac:dyDescent="0.25">
      <c r="A3474" s="41" t="s">
        <v>6779</v>
      </c>
      <c r="B3474" s="41" t="s">
        <v>6778</v>
      </c>
      <c r="C3474" s="41" t="s">
        <v>2928</v>
      </c>
      <c r="D3474" s="41" t="s">
        <v>6777</v>
      </c>
      <c r="E3474" s="41" t="s">
        <v>2929</v>
      </c>
      <c r="F3474" s="41" t="s">
        <v>2933</v>
      </c>
      <c r="G3474" s="41" t="s">
        <v>2934</v>
      </c>
    </row>
    <row r="3475" spans="1:7" x14ac:dyDescent="0.25">
      <c r="A3475" s="41" t="s">
        <v>6780</v>
      </c>
      <c r="B3475" s="41" t="s">
        <v>6778</v>
      </c>
      <c r="C3475" s="41" t="s">
        <v>2928</v>
      </c>
      <c r="D3475" s="41" t="s">
        <v>6777</v>
      </c>
      <c r="E3475" s="41" t="s">
        <v>2929</v>
      </c>
      <c r="F3475" s="41" t="s">
        <v>2933</v>
      </c>
      <c r="G3475" s="41" t="s">
        <v>2934</v>
      </c>
    </row>
    <row r="3476" spans="1:7" x14ac:dyDescent="0.25">
      <c r="A3476" s="41" t="s">
        <v>6781</v>
      </c>
      <c r="B3476" s="41" t="s">
        <v>6778</v>
      </c>
      <c r="C3476" s="41" t="s">
        <v>2928</v>
      </c>
      <c r="D3476" s="41" t="s">
        <v>6777</v>
      </c>
      <c r="E3476" s="41" t="s">
        <v>2929</v>
      </c>
      <c r="F3476" s="41" t="s">
        <v>2930</v>
      </c>
      <c r="G3476" s="41" t="s">
        <v>2931</v>
      </c>
    </row>
    <row r="3477" spans="1:7" x14ac:dyDescent="0.25">
      <c r="A3477" s="41" t="s">
        <v>6782</v>
      </c>
      <c r="B3477" s="41" t="s">
        <v>6778</v>
      </c>
      <c r="C3477" s="41" t="s">
        <v>2928</v>
      </c>
      <c r="D3477" s="41" t="s">
        <v>6777</v>
      </c>
      <c r="E3477" s="41" t="s">
        <v>2929</v>
      </c>
      <c r="F3477" s="41" t="s">
        <v>2949</v>
      </c>
      <c r="G3477" s="41" t="s">
        <v>2950</v>
      </c>
    </row>
    <row r="3478" spans="1:7" x14ac:dyDescent="0.25">
      <c r="A3478" s="41" t="s">
        <v>6783</v>
      </c>
      <c r="B3478" s="41" t="s">
        <v>6784</v>
      </c>
      <c r="C3478" s="41" t="s">
        <v>2928</v>
      </c>
      <c r="D3478" s="41" t="s">
        <v>6783</v>
      </c>
      <c r="E3478" s="41" t="s">
        <v>2929</v>
      </c>
      <c r="F3478" s="41" t="s">
        <v>2930</v>
      </c>
      <c r="G3478" s="41" t="s">
        <v>2931</v>
      </c>
    </row>
    <row r="3479" spans="1:7" x14ac:dyDescent="0.25">
      <c r="A3479" s="41" t="s">
        <v>6785</v>
      </c>
      <c r="B3479" s="41" t="s">
        <v>6784</v>
      </c>
      <c r="C3479" s="41" t="s">
        <v>2928</v>
      </c>
      <c r="D3479" s="41" t="s">
        <v>6783</v>
      </c>
      <c r="E3479" s="41" t="s">
        <v>2929</v>
      </c>
      <c r="F3479" s="41" t="s">
        <v>2933</v>
      </c>
      <c r="G3479" s="41" t="s">
        <v>2934</v>
      </c>
    </row>
    <row r="3480" spans="1:7" x14ac:dyDescent="0.25">
      <c r="A3480" s="41" t="s">
        <v>6786</v>
      </c>
      <c r="B3480" s="41" t="s">
        <v>6784</v>
      </c>
      <c r="C3480" s="41" t="s">
        <v>2928</v>
      </c>
      <c r="D3480" s="41" t="s">
        <v>6783</v>
      </c>
      <c r="E3480" s="41" t="s">
        <v>2929</v>
      </c>
      <c r="F3480" s="41" t="s">
        <v>2930</v>
      </c>
      <c r="G3480" s="41" t="s">
        <v>2931</v>
      </c>
    </row>
    <row r="3481" spans="1:7" x14ac:dyDescent="0.25">
      <c r="A3481" s="41" t="s">
        <v>6787</v>
      </c>
      <c r="B3481" s="41" t="s">
        <v>6784</v>
      </c>
      <c r="C3481" s="41" t="s">
        <v>2928</v>
      </c>
      <c r="D3481" s="41" t="s">
        <v>6783</v>
      </c>
      <c r="E3481" s="41" t="s">
        <v>2929</v>
      </c>
      <c r="F3481" s="41" t="s">
        <v>2949</v>
      </c>
      <c r="G3481" s="41" t="s">
        <v>2950</v>
      </c>
    </row>
    <row r="3482" spans="1:7" x14ac:dyDescent="0.25">
      <c r="A3482" s="41" t="s">
        <v>6788</v>
      </c>
      <c r="B3482" s="41" t="s">
        <v>6789</v>
      </c>
      <c r="C3482" s="41" t="s">
        <v>1239</v>
      </c>
      <c r="D3482" s="41" t="s">
        <v>6790</v>
      </c>
      <c r="E3482" s="41" t="s">
        <v>2929</v>
      </c>
      <c r="F3482" s="41" t="s">
        <v>2949</v>
      </c>
      <c r="G3482" s="41" t="s">
        <v>2950</v>
      </c>
    </row>
    <row r="3483" spans="1:7" x14ac:dyDescent="0.25">
      <c r="A3483" s="41" t="s">
        <v>6791</v>
      </c>
      <c r="B3483" s="41" t="s">
        <v>6789</v>
      </c>
      <c r="C3483" s="41" t="s">
        <v>1239</v>
      </c>
      <c r="D3483" s="41" t="s">
        <v>6790</v>
      </c>
      <c r="E3483" s="41" t="s">
        <v>2929</v>
      </c>
      <c r="F3483" s="41" t="s">
        <v>2949</v>
      </c>
      <c r="G3483" s="41" t="s">
        <v>2931</v>
      </c>
    </row>
    <row r="3484" spans="1:7" x14ac:dyDescent="0.25">
      <c r="A3484" s="41" t="s">
        <v>800</v>
      </c>
      <c r="B3484" s="41" t="s">
        <v>6792</v>
      </c>
      <c r="C3484" s="41" t="s">
        <v>2928</v>
      </c>
      <c r="D3484" s="41" t="s">
        <v>800</v>
      </c>
      <c r="E3484" s="41" t="s">
        <v>2929</v>
      </c>
      <c r="F3484" s="41" t="s">
        <v>2930</v>
      </c>
      <c r="G3484" s="41" t="s">
        <v>2931</v>
      </c>
    </row>
    <row r="3485" spans="1:7" x14ac:dyDescent="0.25">
      <c r="A3485" s="41" t="s">
        <v>6793</v>
      </c>
      <c r="B3485" s="41" t="s">
        <v>6794</v>
      </c>
      <c r="C3485" s="41" t="s">
        <v>74</v>
      </c>
      <c r="D3485" s="41" t="s">
        <v>6795</v>
      </c>
      <c r="E3485" s="41" t="s">
        <v>2929</v>
      </c>
      <c r="F3485" s="41" t="s">
        <v>2949</v>
      </c>
      <c r="G3485" s="41" t="s">
        <v>2950</v>
      </c>
    </row>
    <row r="3486" spans="1:7" x14ac:dyDescent="0.25">
      <c r="A3486" s="41" t="s">
        <v>6796</v>
      </c>
      <c r="B3486" s="41" t="s">
        <v>6797</v>
      </c>
      <c r="C3486" s="41" t="s">
        <v>95</v>
      </c>
      <c r="D3486" s="41" t="s">
        <v>6798</v>
      </c>
      <c r="E3486" s="41" t="s">
        <v>2929</v>
      </c>
      <c r="F3486" s="41" t="s">
        <v>2949</v>
      </c>
      <c r="G3486" s="41" t="s">
        <v>2950</v>
      </c>
    </row>
    <row r="3487" spans="1:7" x14ac:dyDescent="0.25">
      <c r="A3487" s="41" t="s">
        <v>6799</v>
      </c>
      <c r="B3487" s="41" t="s">
        <v>6800</v>
      </c>
      <c r="C3487" s="41" t="s">
        <v>95</v>
      </c>
      <c r="D3487" s="41" t="s">
        <v>6801</v>
      </c>
      <c r="E3487" s="41" t="s">
        <v>2929</v>
      </c>
      <c r="F3487" s="41" t="s">
        <v>2949</v>
      </c>
      <c r="G3487" s="41" t="s">
        <v>2950</v>
      </c>
    </row>
    <row r="3488" spans="1:7" x14ac:dyDescent="0.25">
      <c r="A3488" s="41" t="s">
        <v>6802</v>
      </c>
      <c r="B3488" s="41" t="s">
        <v>6797</v>
      </c>
      <c r="C3488" s="41" t="s">
        <v>95</v>
      </c>
      <c r="D3488" s="41" t="s">
        <v>6798</v>
      </c>
      <c r="E3488" s="41" t="s">
        <v>2929</v>
      </c>
      <c r="F3488" s="41" t="s">
        <v>3355</v>
      </c>
      <c r="G3488" s="41" t="s">
        <v>3157</v>
      </c>
    </row>
    <row r="3489" spans="1:7" x14ac:dyDescent="0.25">
      <c r="A3489" s="41" t="s">
        <v>6803</v>
      </c>
      <c r="B3489" s="41" t="s">
        <v>6804</v>
      </c>
      <c r="C3489" s="41" t="s">
        <v>78</v>
      </c>
      <c r="D3489" s="41" t="s">
        <v>6805</v>
      </c>
      <c r="E3489" s="41" t="s">
        <v>2984</v>
      </c>
      <c r="F3489" s="41" t="s">
        <v>2930</v>
      </c>
      <c r="G3489" s="41" t="s">
        <v>2950</v>
      </c>
    </row>
    <row r="3490" spans="1:7" x14ac:dyDescent="0.25">
      <c r="A3490" s="41" t="s">
        <v>6806</v>
      </c>
      <c r="B3490" s="41" t="s">
        <v>6804</v>
      </c>
      <c r="C3490" s="41" t="s">
        <v>78</v>
      </c>
      <c r="D3490" s="41" t="s">
        <v>6805</v>
      </c>
      <c r="E3490" s="41" t="s">
        <v>2929</v>
      </c>
      <c r="F3490" s="41" t="s">
        <v>2949</v>
      </c>
      <c r="G3490" s="41" t="s">
        <v>2950</v>
      </c>
    </row>
    <row r="3491" spans="1:7" x14ac:dyDescent="0.25">
      <c r="A3491" s="41" t="s">
        <v>6807</v>
      </c>
      <c r="B3491" s="41" t="s">
        <v>6800</v>
      </c>
      <c r="C3491" s="41" t="s">
        <v>1247</v>
      </c>
      <c r="D3491" s="41" t="s">
        <v>6801</v>
      </c>
      <c r="E3491" s="41" t="s">
        <v>2929</v>
      </c>
      <c r="F3491" s="41" t="s">
        <v>2930</v>
      </c>
      <c r="G3491" s="41" t="s">
        <v>2931</v>
      </c>
    </row>
    <row r="3492" spans="1:7" x14ac:dyDescent="0.25">
      <c r="A3492" s="41" t="s">
        <v>6808</v>
      </c>
      <c r="B3492" s="41" t="s">
        <v>6809</v>
      </c>
      <c r="C3492" s="41" t="s">
        <v>74</v>
      </c>
      <c r="D3492" s="41" t="s">
        <v>6810</v>
      </c>
      <c r="E3492" s="41" t="s">
        <v>2929</v>
      </c>
      <c r="F3492" s="41" t="s">
        <v>2930</v>
      </c>
      <c r="G3492" s="41" t="s">
        <v>2934</v>
      </c>
    </row>
    <row r="3493" spans="1:7" x14ac:dyDescent="0.25">
      <c r="A3493" s="41" t="s">
        <v>6811</v>
      </c>
      <c r="B3493" s="41" t="s">
        <v>6809</v>
      </c>
      <c r="C3493" s="41" t="s">
        <v>74</v>
      </c>
      <c r="D3493" s="41" t="s">
        <v>6810</v>
      </c>
      <c r="E3493" s="41" t="s">
        <v>2984</v>
      </c>
      <c r="F3493" s="41" t="s">
        <v>2949</v>
      </c>
      <c r="G3493" s="41" t="s">
        <v>2950</v>
      </c>
    </row>
    <row r="3494" spans="1:7" x14ac:dyDescent="0.25">
      <c r="A3494" s="41" t="s">
        <v>6812</v>
      </c>
      <c r="B3494" s="41" t="s">
        <v>6809</v>
      </c>
      <c r="C3494" s="41" t="s">
        <v>74</v>
      </c>
      <c r="D3494" s="41" t="s">
        <v>6810</v>
      </c>
      <c r="E3494" s="41" t="s">
        <v>2929</v>
      </c>
      <c r="F3494" s="41" t="s">
        <v>2933</v>
      </c>
      <c r="G3494" s="41" t="s">
        <v>2934</v>
      </c>
    </row>
    <row r="3495" spans="1:7" x14ac:dyDescent="0.25">
      <c r="A3495" s="41" t="s">
        <v>6813</v>
      </c>
      <c r="B3495" s="41" t="s">
        <v>6814</v>
      </c>
      <c r="C3495" s="41" t="s">
        <v>1239</v>
      </c>
      <c r="D3495" s="41" t="s">
        <v>6815</v>
      </c>
      <c r="E3495" s="41" t="s">
        <v>2929</v>
      </c>
      <c r="F3495" s="41" t="s">
        <v>2930</v>
      </c>
      <c r="G3495" s="41" t="s">
        <v>2931</v>
      </c>
    </row>
    <row r="3496" spans="1:7" x14ac:dyDescent="0.25">
      <c r="A3496" s="41" t="s">
        <v>6816</v>
      </c>
      <c r="B3496" s="41" t="s">
        <v>6814</v>
      </c>
      <c r="C3496" s="41" t="s">
        <v>1239</v>
      </c>
      <c r="D3496" s="41" t="s">
        <v>6815</v>
      </c>
      <c r="E3496" s="41" t="s">
        <v>2984</v>
      </c>
      <c r="F3496" s="41" t="s">
        <v>2949</v>
      </c>
      <c r="G3496" s="41" t="s">
        <v>2950</v>
      </c>
    </row>
    <row r="3497" spans="1:7" x14ac:dyDescent="0.25">
      <c r="A3497" s="41" t="s">
        <v>6817</v>
      </c>
      <c r="B3497" s="41" t="s">
        <v>6814</v>
      </c>
      <c r="C3497" s="41" t="s">
        <v>1239</v>
      </c>
      <c r="D3497" s="41" t="s">
        <v>6815</v>
      </c>
      <c r="E3497" s="41" t="s">
        <v>2929</v>
      </c>
      <c r="F3497" s="41" t="s">
        <v>2949</v>
      </c>
      <c r="G3497" s="41" t="s">
        <v>2950</v>
      </c>
    </row>
    <row r="3498" spans="1:7" x14ac:dyDescent="0.25">
      <c r="A3498" s="41" t="s">
        <v>6818</v>
      </c>
      <c r="B3498" s="41" t="s">
        <v>6814</v>
      </c>
      <c r="C3498" s="41" t="s">
        <v>1239</v>
      </c>
      <c r="D3498" s="41" t="s">
        <v>6815</v>
      </c>
      <c r="E3498" s="41" t="s">
        <v>2929</v>
      </c>
      <c r="F3498" s="41" t="s">
        <v>2933</v>
      </c>
      <c r="G3498" s="41" t="s">
        <v>2934</v>
      </c>
    </row>
    <row r="3499" spans="1:7" x14ac:dyDescent="0.25">
      <c r="A3499" s="41" t="s">
        <v>6819</v>
      </c>
      <c r="B3499" s="41" t="s">
        <v>6814</v>
      </c>
      <c r="C3499" s="41" t="s">
        <v>1239</v>
      </c>
      <c r="D3499" s="41" t="s">
        <v>6815</v>
      </c>
      <c r="E3499" s="41" t="s">
        <v>2929</v>
      </c>
      <c r="F3499" s="41" t="s">
        <v>2933</v>
      </c>
      <c r="G3499" s="41" t="s">
        <v>2934</v>
      </c>
    </row>
    <row r="3500" spans="1:7" x14ac:dyDescent="0.25">
      <c r="A3500" s="41" t="s">
        <v>6820</v>
      </c>
      <c r="B3500" s="41" t="s">
        <v>6814</v>
      </c>
      <c r="C3500" s="41" t="s">
        <v>1239</v>
      </c>
      <c r="D3500" s="41" t="s">
        <v>6815</v>
      </c>
      <c r="E3500" s="41" t="s">
        <v>2929</v>
      </c>
      <c r="F3500" s="41" t="s">
        <v>2949</v>
      </c>
      <c r="G3500" s="41" t="s">
        <v>2950</v>
      </c>
    </row>
    <row r="3501" spans="1:7" x14ac:dyDescent="0.25">
      <c r="A3501" s="41" t="s">
        <v>6821</v>
      </c>
      <c r="B3501" s="41" t="s">
        <v>6822</v>
      </c>
      <c r="C3501" s="41" t="s">
        <v>78</v>
      </c>
      <c r="D3501" s="41" t="s">
        <v>6823</v>
      </c>
      <c r="E3501" s="41" t="s">
        <v>2929</v>
      </c>
      <c r="F3501" s="41" t="s">
        <v>2930</v>
      </c>
      <c r="G3501" s="41" t="s">
        <v>2931</v>
      </c>
    </row>
    <row r="3502" spans="1:7" x14ac:dyDescent="0.25">
      <c r="A3502" s="41" t="s">
        <v>6824</v>
      </c>
      <c r="B3502" s="41" t="s">
        <v>6822</v>
      </c>
      <c r="C3502" s="41" t="s">
        <v>78</v>
      </c>
      <c r="D3502" s="41" t="s">
        <v>6823</v>
      </c>
      <c r="E3502" s="41" t="s">
        <v>2929</v>
      </c>
      <c r="F3502" s="41" t="s">
        <v>2949</v>
      </c>
      <c r="G3502" s="41" t="s">
        <v>2950</v>
      </c>
    </row>
    <row r="3503" spans="1:7" x14ac:dyDescent="0.25">
      <c r="A3503" s="41" t="s">
        <v>6825</v>
      </c>
      <c r="B3503" s="41" t="s">
        <v>6822</v>
      </c>
      <c r="C3503" s="41" t="s">
        <v>78</v>
      </c>
      <c r="D3503" s="41" t="s">
        <v>6823</v>
      </c>
      <c r="E3503" s="41" t="s">
        <v>2929</v>
      </c>
      <c r="F3503" s="41" t="s">
        <v>2949</v>
      </c>
      <c r="G3503" s="41" t="s">
        <v>2950</v>
      </c>
    </row>
    <row r="3504" spans="1:7" x14ac:dyDescent="0.25">
      <c r="A3504" s="41" t="s">
        <v>6826</v>
      </c>
      <c r="B3504" s="41" t="s">
        <v>6822</v>
      </c>
      <c r="C3504" s="41" t="s">
        <v>78</v>
      </c>
      <c r="D3504" s="41" t="s">
        <v>6823</v>
      </c>
      <c r="E3504" s="41" t="s">
        <v>2929</v>
      </c>
      <c r="F3504" s="41" t="s">
        <v>2933</v>
      </c>
      <c r="G3504" s="41" t="s">
        <v>2931</v>
      </c>
    </row>
    <row r="3505" spans="1:7" x14ac:dyDescent="0.25">
      <c r="A3505" s="41" t="s">
        <v>6827</v>
      </c>
      <c r="B3505" s="41" t="s">
        <v>6822</v>
      </c>
      <c r="C3505" s="41" t="s">
        <v>78</v>
      </c>
      <c r="D3505" s="41" t="s">
        <v>6823</v>
      </c>
      <c r="E3505" s="41" t="s">
        <v>2929</v>
      </c>
      <c r="F3505" s="41" t="s">
        <v>2933</v>
      </c>
      <c r="G3505" s="41" t="s">
        <v>2934</v>
      </c>
    </row>
    <row r="3506" spans="1:7" x14ac:dyDescent="0.25">
      <c r="A3506" s="41" t="s">
        <v>6828</v>
      </c>
      <c r="B3506" s="41" t="s">
        <v>6822</v>
      </c>
      <c r="C3506" s="41" t="s">
        <v>78</v>
      </c>
      <c r="D3506" s="41" t="s">
        <v>6823</v>
      </c>
      <c r="E3506" s="41" t="s">
        <v>2929</v>
      </c>
      <c r="F3506" s="41" t="s">
        <v>2949</v>
      </c>
      <c r="G3506" s="41" t="s">
        <v>2950</v>
      </c>
    </row>
    <row r="3507" spans="1:7" x14ac:dyDescent="0.25">
      <c r="A3507" s="41" t="s">
        <v>6829</v>
      </c>
      <c r="B3507" s="41" t="s">
        <v>6830</v>
      </c>
      <c r="C3507" s="41" t="s">
        <v>6831</v>
      </c>
      <c r="D3507" s="41" t="s">
        <v>6832</v>
      </c>
      <c r="E3507" s="41" t="s">
        <v>2929</v>
      </c>
      <c r="F3507" s="41" t="s">
        <v>2949</v>
      </c>
      <c r="G3507" s="41" t="s">
        <v>2950</v>
      </c>
    </row>
    <row r="3508" spans="1:7" x14ac:dyDescent="0.25">
      <c r="A3508" s="41" t="s">
        <v>6833</v>
      </c>
      <c r="B3508" s="41" t="s">
        <v>6830</v>
      </c>
      <c r="C3508" s="41" t="s">
        <v>6831</v>
      </c>
      <c r="D3508" s="41" t="s">
        <v>6832</v>
      </c>
      <c r="E3508" s="41" t="s">
        <v>2984</v>
      </c>
      <c r="F3508" s="41" t="s">
        <v>2930</v>
      </c>
      <c r="G3508" s="41" t="s">
        <v>2931</v>
      </c>
    </row>
    <row r="3509" spans="1:7" x14ac:dyDescent="0.25">
      <c r="A3509" s="41" t="s">
        <v>6834</v>
      </c>
      <c r="B3509" s="41" t="s">
        <v>6830</v>
      </c>
      <c r="C3509" s="41" t="s">
        <v>6831</v>
      </c>
      <c r="D3509" s="41" t="s">
        <v>6832</v>
      </c>
      <c r="E3509" s="41" t="s">
        <v>2929</v>
      </c>
      <c r="F3509" s="41" t="s">
        <v>2933</v>
      </c>
      <c r="G3509" s="41" t="s">
        <v>2934</v>
      </c>
    </row>
    <row r="3510" spans="1:7" x14ac:dyDescent="0.25">
      <c r="A3510" s="41" t="s">
        <v>6835</v>
      </c>
      <c r="B3510" s="41" t="s">
        <v>6836</v>
      </c>
      <c r="C3510" s="41" t="s">
        <v>3097</v>
      </c>
      <c r="D3510" s="41" t="s">
        <v>6837</v>
      </c>
      <c r="E3510" s="41" t="s">
        <v>2929</v>
      </c>
      <c r="F3510" s="41" t="s">
        <v>2930</v>
      </c>
      <c r="G3510" s="41" t="s">
        <v>2931</v>
      </c>
    </row>
    <row r="3511" spans="1:7" x14ac:dyDescent="0.25">
      <c r="A3511" s="41" t="s">
        <v>6838</v>
      </c>
      <c r="B3511" s="41" t="s">
        <v>6836</v>
      </c>
      <c r="C3511" s="41" t="s">
        <v>3097</v>
      </c>
      <c r="D3511" s="41" t="s">
        <v>6837</v>
      </c>
      <c r="E3511" s="41" t="s">
        <v>2929</v>
      </c>
      <c r="F3511" s="41" t="s">
        <v>2930</v>
      </c>
      <c r="G3511" s="41" t="s">
        <v>2931</v>
      </c>
    </row>
    <row r="3512" spans="1:7" x14ac:dyDescent="0.25">
      <c r="A3512" s="41" t="s">
        <v>6839</v>
      </c>
      <c r="B3512" s="41" t="s">
        <v>6840</v>
      </c>
      <c r="C3512" s="41" t="s">
        <v>3097</v>
      </c>
      <c r="D3512" s="41" t="s">
        <v>6841</v>
      </c>
      <c r="E3512" s="41" t="s">
        <v>2984</v>
      </c>
      <c r="F3512" s="41" t="s">
        <v>2949</v>
      </c>
      <c r="G3512" s="41" t="s">
        <v>2950</v>
      </c>
    </row>
    <row r="3513" spans="1:7" x14ac:dyDescent="0.25">
      <c r="A3513" s="41" t="s">
        <v>6842</v>
      </c>
      <c r="B3513" s="41" t="s">
        <v>6843</v>
      </c>
      <c r="C3513" s="41" t="s">
        <v>95</v>
      </c>
      <c r="D3513" s="41" t="s">
        <v>6844</v>
      </c>
      <c r="E3513" s="41" t="s">
        <v>2984</v>
      </c>
      <c r="F3513" s="41" t="s">
        <v>2933</v>
      </c>
      <c r="G3513" s="41" t="s">
        <v>2934</v>
      </c>
    </row>
    <row r="3514" spans="1:7" x14ac:dyDescent="0.25">
      <c r="A3514" s="41" t="s">
        <v>6845</v>
      </c>
      <c r="B3514" s="41" t="s">
        <v>6843</v>
      </c>
      <c r="C3514" s="41" t="s">
        <v>95</v>
      </c>
      <c r="D3514" s="41" t="s">
        <v>6844</v>
      </c>
      <c r="E3514" s="41" t="s">
        <v>2929</v>
      </c>
      <c r="F3514" s="41" t="s">
        <v>2933</v>
      </c>
      <c r="G3514" s="41" t="s">
        <v>2934</v>
      </c>
    </row>
    <row r="3515" spans="1:7" x14ac:dyDescent="0.25">
      <c r="A3515" s="41" t="s">
        <v>6846</v>
      </c>
      <c r="B3515" s="41" t="s">
        <v>6843</v>
      </c>
      <c r="C3515" s="41" t="s">
        <v>95</v>
      </c>
      <c r="D3515" s="41" t="s">
        <v>6844</v>
      </c>
      <c r="E3515" s="41" t="s">
        <v>2984</v>
      </c>
      <c r="F3515" s="41" t="s">
        <v>2949</v>
      </c>
      <c r="G3515" s="41" t="s">
        <v>2950</v>
      </c>
    </row>
    <row r="3516" spans="1:7" x14ac:dyDescent="0.25">
      <c r="A3516" s="41" t="s">
        <v>6847</v>
      </c>
      <c r="B3516" s="41" t="s">
        <v>6843</v>
      </c>
      <c r="C3516" s="41" t="s">
        <v>95</v>
      </c>
      <c r="D3516" s="41" t="s">
        <v>6844</v>
      </c>
      <c r="E3516" s="41" t="s">
        <v>2929</v>
      </c>
      <c r="F3516" s="41" t="s">
        <v>2949</v>
      </c>
      <c r="G3516" s="41" t="s">
        <v>2950</v>
      </c>
    </row>
    <row r="3517" spans="1:7" x14ac:dyDescent="0.25">
      <c r="A3517" s="41" t="s">
        <v>6848</v>
      </c>
      <c r="B3517" s="41" t="s">
        <v>6843</v>
      </c>
      <c r="C3517" s="41" t="s">
        <v>95</v>
      </c>
      <c r="D3517" s="41" t="s">
        <v>6844</v>
      </c>
      <c r="E3517" s="41" t="s">
        <v>2929</v>
      </c>
      <c r="F3517" s="41" t="s">
        <v>2930</v>
      </c>
      <c r="G3517" s="41" t="s">
        <v>2950</v>
      </c>
    </row>
    <row r="3518" spans="1:7" x14ac:dyDescent="0.25">
      <c r="A3518" s="41" t="s">
        <v>6849</v>
      </c>
      <c r="B3518" s="41" t="s">
        <v>6843</v>
      </c>
      <c r="C3518" s="41" t="s">
        <v>95</v>
      </c>
      <c r="D3518" s="41" t="s">
        <v>6844</v>
      </c>
      <c r="E3518" s="41" t="s">
        <v>2984</v>
      </c>
      <c r="F3518" s="41" t="s">
        <v>2933</v>
      </c>
      <c r="G3518" s="41" t="s">
        <v>2934</v>
      </c>
    </row>
    <row r="3519" spans="1:7" x14ac:dyDescent="0.25">
      <c r="A3519" s="41" t="s">
        <v>6850</v>
      </c>
      <c r="B3519" s="41" t="s">
        <v>6851</v>
      </c>
      <c r="C3519" s="41" t="s">
        <v>74</v>
      </c>
      <c r="D3519" s="41" t="s">
        <v>6852</v>
      </c>
      <c r="E3519" s="41" t="s">
        <v>2984</v>
      </c>
      <c r="F3519" s="41" t="s">
        <v>3355</v>
      </c>
      <c r="G3519" s="41" t="s">
        <v>2931</v>
      </c>
    </row>
    <row r="3520" spans="1:7" x14ac:dyDescent="0.25">
      <c r="A3520" s="41" t="s">
        <v>6853</v>
      </c>
      <c r="B3520" s="41" t="s">
        <v>6851</v>
      </c>
      <c r="C3520" s="41" t="s">
        <v>74</v>
      </c>
      <c r="D3520" s="41" t="s">
        <v>6852</v>
      </c>
      <c r="E3520" s="41" t="s">
        <v>2984</v>
      </c>
      <c r="F3520" s="41" t="s">
        <v>2930</v>
      </c>
      <c r="G3520" s="41" t="s">
        <v>2931</v>
      </c>
    </row>
    <row r="3521" spans="1:7" x14ac:dyDescent="0.25">
      <c r="A3521" s="41" t="s">
        <v>6854</v>
      </c>
      <c r="B3521" s="41" t="s">
        <v>6851</v>
      </c>
      <c r="C3521" s="41" t="s">
        <v>74</v>
      </c>
      <c r="D3521" s="41" t="s">
        <v>6852</v>
      </c>
      <c r="E3521" s="41" t="s">
        <v>2929</v>
      </c>
      <c r="F3521" s="41" t="s">
        <v>2933</v>
      </c>
      <c r="G3521" s="41" t="s">
        <v>2934</v>
      </c>
    </row>
    <row r="3522" spans="1:7" x14ac:dyDescent="0.25">
      <c r="A3522" s="41" t="s">
        <v>6855</v>
      </c>
      <c r="B3522" s="41" t="s">
        <v>6851</v>
      </c>
      <c r="C3522" s="41" t="s">
        <v>74</v>
      </c>
      <c r="D3522" s="41" t="s">
        <v>6852</v>
      </c>
      <c r="E3522" s="41" t="s">
        <v>2929</v>
      </c>
      <c r="F3522" s="41" t="s">
        <v>2930</v>
      </c>
      <c r="G3522" s="41" t="s">
        <v>2931</v>
      </c>
    </row>
    <row r="3523" spans="1:7" x14ac:dyDescent="0.25">
      <c r="A3523" s="41" t="s">
        <v>6856</v>
      </c>
      <c r="B3523" s="41" t="s">
        <v>6851</v>
      </c>
      <c r="C3523" s="41" t="s">
        <v>74</v>
      </c>
      <c r="D3523" s="41" t="s">
        <v>6852</v>
      </c>
      <c r="E3523" s="41" t="s">
        <v>2984</v>
      </c>
      <c r="F3523" s="41" t="s">
        <v>2949</v>
      </c>
      <c r="G3523" s="41" t="s">
        <v>2950</v>
      </c>
    </row>
    <row r="3524" spans="1:7" x14ac:dyDescent="0.25">
      <c r="A3524" s="41" t="s">
        <v>6857</v>
      </c>
      <c r="B3524" s="41" t="s">
        <v>6858</v>
      </c>
      <c r="C3524" s="41" t="s">
        <v>1239</v>
      </c>
      <c r="D3524" s="41" t="s">
        <v>6859</v>
      </c>
      <c r="E3524" s="41" t="s">
        <v>3009</v>
      </c>
      <c r="F3524" s="41" t="s">
        <v>2930</v>
      </c>
      <c r="G3524" s="41" t="s">
        <v>2950</v>
      </c>
    </row>
    <row r="3525" spans="1:7" x14ac:dyDescent="0.25">
      <c r="A3525" s="41" t="s">
        <v>6860</v>
      </c>
      <c r="B3525" s="41" t="s">
        <v>6858</v>
      </c>
      <c r="C3525" s="41" t="s">
        <v>1239</v>
      </c>
      <c r="D3525" s="41" t="s">
        <v>6859</v>
      </c>
      <c r="E3525" s="41" t="s">
        <v>2929</v>
      </c>
      <c r="F3525" s="41" t="s">
        <v>2933</v>
      </c>
      <c r="G3525" s="41" t="s">
        <v>2934</v>
      </c>
    </row>
    <row r="3526" spans="1:7" x14ac:dyDescent="0.25">
      <c r="A3526" s="41" t="s">
        <v>6861</v>
      </c>
      <c r="B3526" s="41" t="s">
        <v>6858</v>
      </c>
      <c r="C3526" s="41" t="s">
        <v>1239</v>
      </c>
      <c r="D3526" s="41" t="s">
        <v>6859</v>
      </c>
      <c r="E3526" s="41" t="s">
        <v>2929</v>
      </c>
      <c r="F3526" s="41" t="s">
        <v>2949</v>
      </c>
      <c r="G3526" s="41" t="s">
        <v>2950</v>
      </c>
    </row>
    <row r="3527" spans="1:7" x14ac:dyDescent="0.25">
      <c r="A3527" s="41" t="s">
        <v>6862</v>
      </c>
      <c r="B3527" s="41" t="s">
        <v>6863</v>
      </c>
      <c r="C3527" s="41" t="s">
        <v>78</v>
      </c>
      <c r="D3527" s="41" t="s">
        <v>6864</v>
      </c>
      <c r="E3527" s="41" t="s">
        <v>2929</v>
      </c>
      <c r="F3527" s="41" t="s">
        <v>2933</v>
      </c>
      <c r="G3527" s="41" t="s">
        <v>2934</v>
      </c>
    </row>
    <row r="3528" spans="1:7" x14ac:dyDescent="0.25">
      <c r="A3528" s="41" t="s">
        <v>6865</v>
      </c>
      <c r="B3528" s="41" t="s">
        <v>6863</v>
      </c>
      <c r="C3528" s="41" t="s">
        <v>78</v>
      </c>
      <c r="D3528" s="41" t="s">
        <v>6864</v>
      </c>
      <c r="E3528" s="41" t="s">
        <v>2984</v>
      </c>
      <c r="F3528" s="41" t="s">
        <v>2930</v>
      </c>
      <c r="G3528" s="41" t="s">
        <v>2931</v>
      </c>
    </row>
    <row r="3529" spans="1:7" x14ac:dyDescent="0.25">
      <c r="A3529" s="41" t="s">
        <v>6866</v>
      </c>
      <c r="B3529" s="41" t="s">
        <v>6867</v>
      </c>
      <c r="C3529" s="41" t="s">
        <v>78</v>
      </c>
      <c r="D3529" s="41" t="s">
        <v>6868</v>
      </c>
      <c r="E3529" s="41" t="s">
        <v>2929</v>
      </c>
      <c r="F3529" s="41" t="s">
        <v>3355</v>
      </c>
      <c r="G3529" s="41" t="s">
        <v>2934</v>
      </c>
    </row>
    <row r="3530" spans="1:7" x14ac:dyDescent="0.25">
      <c r="A3530" s="41" t="s">
        <v>6869</v>
      </c>
      <c r="B3530" s="41" t="s">
        <v>6863</v>
      </c>
      <c r="C3530" s="41" t="s">
        <v>78</v>
      </c>
      <c r="D3530" s="41" t="s">
        <v>6864</v>
      </c>
      <c r="E3530" s="41" t="s">
        <v>3009</v>
      </c>
      <c r="F3530" s="41" t="s">
        <v>3355</v>
      </c>
      <c r="G3530" s="41" t="s">
        <v>2950</v>
      </c>
    </row>
    <row r="3531" spans="1:7" x14ac:dyDescent="0.25">
      <c r="A3531" s="41" t="s">
        <v>6870</v>
      </c>
      <c r="B3531" s="41" t="s">
        <v>6867</v>
      </c>
      <c r="C3531" s="41" t="s">
        <v>78</v>
      </c>
      <c r="D3531" s="41" t="s">
        <v>6868</v>
      </c>
      <c r="E3531" s="41" t="s">
        <v>2984</v>
      </c>
      <c r="F3531" s="41" t="s">
        <v>2930</v>
      </c>
      <c r="G3531" s="41" t="s">
        <v>2931</v>
      </c>
    </row>
    <row r="3532" spans="1:7" x14ac:dyDescent="0.25">
      <c r="A3532" s="41" t="s">
        <v>6871</v>
      </c>
      <c r="B3532" s="41" t="s">
        <v>6867</v>
      </c>
      <c r="C3532" s="41" t="s">
        <v>78</v>
      </c>
      <c r="D3532" s="41" t="s">
        <v>6868</v>
      </c>
      <c r="E3532" s="41" t="s">
        <v>2929</v>
      </c>
      <c r="F3532" s="41" t="s">
        <v>2933</v>
      </c>
      <c r="G3532" s="41" t="s">
        <v>2934</v>
      </c>
    </row>
    <row r="3533" spans="1:7" x14ac:dyDescent="0.25">
      <c r="A3533" s="41" t="s">
        <v>6872</v>
      </c>
      <c r="B3533" s="41" t="s">
        <v>6867</v>
      </c>
      <c r="C3533" s="41" t="s">
        <v>78</v>
      </c>
      <c r="D3533" s="41" t="s">
        <v>6868</v>
      </c>
      <c r="E3533" s="41" t="s">
        <v>2929</v>
      </c>
      <c r="F3533" s="41" t="s">
        <v>2949</v>
      </c>
      <c r="G3533" s="41" t="s">
        <v>2950</v>
      </c>
    </row>
    <row r="3534" spans="1:7" x14ac:dyDescent="0.25">
      <c r="A3534" s="41" t="s">
        <v>6873</v>
      </c>
      <c r="B3534" s="41" t="s">
        <v>6874</v>
      </c>
      <c r="C3534" s="41" t="s">
        <v>3097</v>
      </c>
      <c r="D3534" s="41" t="s">
        <v>6875</v>
      </c>
      <c r="E3534" s="41" t="s">
        <v>3009</v>
      </c>
      <c r="F3534" s="41" t="s">
        <v>2933</v>
      </c>
      <c r="G3534" s="41" t="s">
        <v>2934</v>
      </c>
    </row>
    <row r="3535" spans="1:7" x14ac:dyDescent="0.25">
      <c r="A3535" s="41" t="s">
        <v>6876</v>
      </c>
      <c r="B3535" s="41" t="s">
        <v>6863</v>
      </c>
      <c r="C3535" s="41" t="s">
        <v>78</v>
      </c>
      <c r="D3535" s="41" t="s">
        <v>6864</v>
      </c>
      <c r="E3535" s="41" t="s">
        <v>2929</v>
      </c>
      <c r="F3535" s="41" t="s">
        <v>2949</v>
      </c>
      <c r="G3535" s="41" t="s">
        <v>2950</v>
      </c>
    </row>
    <row r="3536" spans="1:7" x14ac:dyDescent="0.25">
      <c r="A3536" s="41" t="s">
        <v>6877</v>
      </c>
      <c r="B3536" s="41" t="s">
        <v>6878</v>
      </c>
      <c r="C3536" s="41" t="s">
        <v>78</v>
      </c>
      <c r="D3536" s="41" t="s">
        <v>6879</v>
      </c>
      <c r="E3536" s="41" t="s">
        <v>2929</v>
      </c>
      <c r="F3536" s="41" t="s">
        <v>2933</v>
      </c>
      <c r="G3536" s="41" t="s">
        <v>2934</v>
      </c>
    </row>
    <row r="3537" spans="1:7" x14ac:dyDescent="0.25">
      <c r="A3537" s="41" t="s">
        <v>6880</v>
      </c>
      <c r="B3537" s="41" t="s">
        <v>6878</v>
      </c>
      <c r="C3537" s="41" t="s">
        <v>78</v>
      </c>
      <c r="D3537" s="41" t="s">
        <v>6879</v>
      </c>
      <c r="E3537" s="41" t="s">
        <v>2929</v>
      </c>
      <c r="F3537" s="41" t="s">
        <v>2949</v>
      </c>
      <c r="G3537" s="41" t="s">
        <v>2950</v>
      </c>
    </row>
    <row r="3538" spans="1:7" x14ac:dyDescent="0.25">
      <c r="A3538" s="41" t="s">
        <v>6881</v>
      </c>
      <c r="B3538" s="41" t="s">
        <v>6878</v>
      </c>
      <c r="C3538" s="41" t="s">
        <v>78</v>
      </c>
      <c r="D3538" s="41" t="s">
        <v>6879</v>
      </c>
      <c r="E3538" s="41" t="s">
        <v>2929</v>
      </c>
      <c r="F3538" s="41" t="s">
        <v>2930</v>
      </c>
      <c r="G3538" s="41" t="s">
        <v>2931</v>
      </c>
    </row>
    <row r="3539" spans="1:7" x14ac:dyDescent="0.25">
      <c r="A3539" s="41" t="s">
        <v>6882</v>
      </c>
      <c r="B3539" s="41" t="s">
        <v>6878</v>
      </c>
      <c r="C3539" s="41" t="s">
        <v>78</v>
      </c>
      <c r="D3539" s="41" t="s">
        <v>6879</v>
      </c>
      <c r="E3539" s="41" t="s">
        <v>2929</v>
      </c>
      <c r="F3539" s="41" t="s">
        <v>2933</v>
      </c>
      <c r="G3539" s="41" t="s">
        <v>2934</v>
      </c>
    </row>
    <row r="3540" spans="1:7" x14ac:dyDescent="0.25">
      <c r="A3540" s="41" t="s">
        <v>6883</v>
      </c>
      <c r="B3540" s="41" t="s">
        <v>6884</v>
      </c>
      <c r="C3540" s="41" t="s">
        <v>95</v>
      </c>
      <c r="D3540" s="41" t="s">
        <v>1003</v>
      </c>
      <c r="E3540" s="41" t="s">
        <v>2929</v>
      </c>
      <c r="F3540" s="41" t="s">
        <v>2933</v>
      </c>
      <c r="G3540" s="41" t="s">
        <v>2934</v>
      </c>
    </row>
    <row r="3541" spans="1:7" x14ac:dyDescent="0.25">
      <c r="A3541" s="41" t="s">
        <v>6885</v>
      </c>
      <c r="B3541" s="41" t="s">
        <v>6886</v>
      </c>
      <c r="C3541" s="41" t="s">
        <v>128</v>
      </c>
      <c r="D3541" s="41" t="s">
        <v>6887</v>
      </c>
      <c r="E3541" s="41" t="s">
        <v>2929</v>
      </c>
      <c r="F3541" s="41" t="s">
        <v>2933</v>
      </c>
      <c r="G3541" s="41" t="s">
        <v>2934</v>
      </c>
    </row>
    <row r="3542" spans="1:7" x14ac:dyDescent="0.25">
      <c r="A3542" s="41" t="s">
        <v>6888</v>
      </c>
      <c r="B3542" s="41" t="s">
        <v>6889</v>
      </c>
      <c r="C3542" s="41" t="s">
        <v>6890</v>
      </c>
      <c r="D3542" s="41" t="s">
        <v>6891</v>
      </c>
      <c r="E3542" s="41" t="s">
        <v>2929</v>
      </c>
      <c r="F3542" s="41" t="s">
        <v>3355</v>
      </c>
      <c r="G3542" s="41" t="s">
        <v>2950</v>
      </c>
    </row>
    <row r="3543" spans="1:7" x14ac:dyDescent="0.25">
      <c r="A3543" s="41" t="s">
        <v>6892</v>
      </c>
      <c r="B3543" s="41" t="s">
        <v>6893</v>
      </c>
      <c r="C3543" s="41" t="s">
        <v>74</v>
      </c>
      <c r="D3543" s="41" t="s">
        <v>6894</v>
      </c>
      <c r="E3543" s="41" t="s">
        <v>2984</v>
      </c>
      <c r="F3543" s="41" t="s">
        <v>2949</v>
      </c>
      <c r="G3543" s="41" t="s">
        <v>2950</v>
      </c>
    </row>
    <row r="3544" spans="1:7" x14ac:dyDescent="0.25">
      <c r="A3544" s="41" t="s">
        <v>6895</v>
      </c>
      <c r="B3544" s="41" t="s">
        <v>6893</v>
      </c>
      <c r="C3544" s="41" t="s">
        <v>74</v>
      </c>
      <c r="D3544" s="41" t="s">
        <v>6894</v>
      </c>
      <c r="E3544" s="41" t="s">
        <v>2984</v>
      </c>
      <c r="F3544" s="41" t="s">
        <v>2949</v>
      </c>
      <c r="G3544" s="41" t="s">
        <v>2950</v>
      </c>
    </row>
    <row r="3545" spans="1:7" x14ac:dyDescent="0.25">
      <c r="A3545" s="41" t="s">
        <v>6896</v>
      </c>
      <c r="B3545" s="41" t="s">
        <v>6897</v>
      </c>
      <c r="C3545" s="41" t="s">
        <v>1239</v>
      </c>
      <c r="D3545" s="41" t="s">
        <v>973</v>
      </c>
      <c r="E3545" s="41" t="s">
        <v>2984</v>
      </c>
      <c r="F3545" s="41" t="s">
        <v>2930</v>
      </c>
      <c r="G3545" s="41" t="s">
        <v>2931</v>
      </c>
    </row>
    <row r="3546" spans="1:7" x14ac:dyDescent="0.25">
      <c r="A3546" s="41" t="s">
        <v>6898</v>
      </c>
      <c r="B3546" s="41" t="s">
        <v>6897</v>
      </c>
      <c r="C3546" s="41" t="s">
        <v>1239</v>
      </c>
      <c r="D3546" s="41" t="s">
        <v>973</v>
      </c>
      <c r="E3546" s="41" t="s">
        <v>2929</v>
      </c>
      <c r="F3546" s="41" t="s">
        <v>2933</v>
      </c>
      <c r="G3546" s="41" t="s">
        <v>2934</v>
      </c>
    </row>
    <row r="3547" spans="1:7" x14ac:dyDescent="0.25">
      <c r="A3547" s="41" t="s">
        <v>6899</v>
      </c>
      <c r="B3547" s="41" t="s">
        <v>6867</v>
      </c>
      <c r="C3547" s="41" t="s">
        <v>78</v>
      </c>
      <c r="D3547" s="41" t="s">
        <v>6868</v>
      </c>
      <c r="E3547" s="41" t="s">
        <v>2984</v>
      </c>
      <c r="F3547" s="41" t="s">
        <v>2949</v>
      </c>
      <c r="G3547" s="41" t="s">
        <v>2950</v>
      </c>
    </row>
    <row r="3548" spans="1:7" x14ac:dyDescent="0.25">
      <c r="A3548" s="41" t="s">
        <v>6900</v>
      </c>
      <c r="B3548" s="41" t="s">
        <v>6901</v>
      </c>
      <c r="C3548" s="41" t="s">
        <v>95</v>
      </c>
      <c r="D3548" s="41" t="s">
        <v>6902</v>
      </c>
      <c r="E3548" s="41" t="s">
        <v>2929</v>
      </c>
      <c r="F3548" s="41" t="s">
        <v>2933</v>
      </c>
      <c r="G3548" s="41" t="s">
        <v>2934</v>
      </c>
    </row>
    <row r="3549" spans="1:7" x14ac:dyDescent="0.25">
      <c r="A3549" s="41" t="s">
        <v>6903</v>
      </c>
      <c r="B3549" s="41" t="s">
        <v>6901</v>
      </c>
      <c r="C3549" s="41" t="s">
        <v>95</v>
      </c>
      <c r="D3549" s="41" t="s">
        <v>6902</v>
      </c>
      <c r="E3549" s="41" t="s">
        <v>2929</v>
      </c>
      <c r="F3549" s="41" t="s">
        <v>2933</v>
      </c>
      <c r="G3549" s="41" t="s">
        <v>2934</v>
      </c>
    </row>
    <row r="3550" spans="1:7" x14ac:dyDescent="0.25">
      <c r="A3550" s="41" t="s">
        <v>6904</v>
      </c>
      <c r="B3550" s="41" t="s">
        <v>6905</v>
      </c>
      <c r="C3550" s="41" t="s">
        <v>74</v>
      </c>
      <c r="D3550" s="41" t="s">
        <v>6906</v>
      </c>
      <c r="E3550" s="41" t="s">
        <v>3009</v>
      </c>
      <c r="F3550" s="41" t="s">
        <v>2933</v>
      </c>
      <c r="G3550" s="41" t="s">
        <v>2934</v>
      </c>
    </row>
    <row r="3551" spans="1:7" x14ac:dyDescent="0.25">
      <c r="A3551" s="41" t="s">
        <v>6907</v>
      </c>
      <c r="B3551" s="41" t="s">
        <v>6905</v>
      </c>
      <c r="C3551" s="41" t="s">
        <v>74</v>
      </c>
      <c r="D3551" s="41" t="s">
        <v>6906</v>
      </c>
      <c r="E3551" s="41" t="s">
        <v>2929</v>
      </c>
      <c r="F3551" s="41" t="s">
        <v>2949</v>
      </c>
      <c r="G3551" s="41" t="s">
        <v>2950</v>
      </c>
    </row>
    <row r="3552" spans="1:7" x14ac:dyDescent="0.25">
      <c r="A3552" s="41" t="s">
        <v>6908</v>
      </c>
      <c r="B3552" s="41" t="s">
        <v>6905</v>
      </c>
      <c r="C3552" s="41" t="s">
        <v>74</v>
      </c>
      <c r="D3552" s="41" t="s">
        <v>6906</v>
      </c>
      <c r="E3552" s="41" t="s">
        <v>2929</v>
      </c>
      <c r="F3552" s="41" t="s">
        <v>2930</v>
      </c>
      <c r="G3552" s="41" t="s">
        <v>2931</v>
      </c>
    </row>
    <row r="3553" spans="1:7" x14ac:dyDescent="0.25">
      <c r="A3553" s="41" t="s">
        <v>6909</v>
      </c>
      <c r="B3553" s="41" t="s">
        <v>6905</v>
      </c>
      <c r="C3553" s="41" t="s">
        <v>74</v>
      </c>
      <c r="D3553" s="41" t="s">
        <v>6906</v>
      </c>
      <c r="E3553" s="41" t="s">
        <v>2984</v>
      </c>
      <c r="F3553" s="41" t="s">
        <v>2949</v>
      </c>
      <c r="G3553" s="41" t="s">
        <v>2950</v>
      </c>
    </row>
    <row r="3554" spans="1:7" x14ac:dyDescent="0.25">
      <c r="A3554" s="41" t="s">
        <v>6910</v>
      </c>
      <c r="B3554" s="41" t="s">
        <v>6905</v>
      </c>
      <c r="C3554" s="41" t="s">
        <v>74</v>
      </c>
      <c r="D3554" s="41" t="s">
        <v>6906</v>
      </c>
      <c r="E3554" s="41" t="s">
        <v>2929</v>
      </c>
      <c r="F3554" s="41" t="s">
        <v>2930</v>
      </c>
      <c r="G3554" s="41" t="s">
        <v>2931</v>
      </c>
    </row>
    <row r="3555" spans="1:7" x14ac:dyDescent="0.25">
      <c r="A3555" s="41" t="s">
        <v>6911</v>
      </c>
      <c r="B3555" s="41" t="s">
        <v>6912</v>
      </c>
      <c r="C3555" s="41" t="s">
        <v>1239</v>
      </c>
      <c r="D3555" s="41" t="s">
        <v>1055</v>
      </c>
      <c r="E3555" s="41" t="s">
        <v>2929</v>
      </c>
      <c r="F3555" s="41" t="s">
        <v>2933</v>
      </c>
      <c r="G3555" s="41" t="s">
        <v>2934</v>
      </c>
    </row>
    <row r="3556" spans="1:7" x14ac:dyDescent="0.25">
      <c r="A3556" s="41" t="s">
        <v>6913</v>
      </c>
      <c r="B3556" s="41" t="s">
        <v>6912</v>
      </c>
      <c r="C3556" s="41" t="s">
        <v>1239</v>
      </c>
      <c r="D3556" s="41" t="s">
        <v>1055</v>
      </c>
      <c r="E3556" s="41" t="s">
        <v>2984</v>
      </c>
      <c r="F3556" s="41" t="s">
        <v>2930</v>
      </c>
      <c r="G3556" s="41" t="s">
        <v>2931</v>
      </c>
    </row>
    <row r="3557" spans="1:7" x14ac:dyDescent="0.25">
      <c r="A3557" s="41" t="s">
        <v>6914</v>
      </c>
      <c r="B3557" s="41" t="s">
        <v>6915</v>
      </c>
      <c r="C3557" s="41" t="s">
        <v>3097</v>
      </c>
      <c r="D3557" s="41" t="s">
        <v>6916</v>
      </c>
      <c r="E3557" s="41" t="s">
        <v>2984</v>
      </c>
      <c r="F3557" s="41" t="s">
        <v>2933</v>
      </c>
      <c r="G3557" s="41" t="s">
        <v>2934</v>
      </c>
    </row>
    <row r="3558" spans="1:7" x14ac:dyDescent="0.25">
      <c r="A3558" s="41" t="s">
        <v>6917</v>
      </c>
      <c r="B3558" s="41" t="s">
        <v>6915</v>
      </c>
      <c r="C3558" s="41" t="s">
        <v>3097</v>
      </c>
      <c r="D3558" s="41" t="s">
        <v>6916</v>
      </c>
      <c r="E3558" s="41" t="s">
        <v>2929</v>
      </c>
      <c r="F3558" s="41" t="s">
        <v>2933</v>
      </c>
      <c r="G3558" s="41" t="s">
        <v>2934</v>
      </c>
    </row>
    <row r="3559" spans="1:7" x14ac:dyDescent="0.25">
      <c r="A3559" s="41" t="s">
        <v>6918</v>
      </c>
      <c r="B3559" s="41" t="s">
        <v>6915</v>
      </c>
      <c r="C3559" s="41" t="s">
        <v>3097</v>
      </c>
      <c r="D3559" s="41" t="s">
        <v>6916</v>
      </c>
      <c r="E3559" s="41" t="s">
        <v>3009</v>
      </c>
      <c r="F3559" s="41" t="s">
        <v>2933</v>
      </c>
      <c r="G3559" s="41" t="s">
        <v>2934</v>
      </c>
    </row>
    <row r="3560" spans="1:7" x14ac:dyDescent="0.25">
      <c r="A3560" s="41" t="s">
        <v>6919</v>
      </c>
      <c r="B3560" s="41" t="s">
        <v>6915</v>
      </c>
      <c r="C3560" s="41" t="s">
        <v>3097</v>
      </c>
      <c r="D3560" s="41" t="s">
        <v>6916</v>
      </c>
      <c r="E3560" s="41" t="s">
        <v>2984</v>
      </c>
      <c r="F3560" s="41" t="s">
        <v>2949</v>
      </c>
      <c r="G3560" s="41" t="s">
        <v>2950</v>
      </c>
    </row>
    <row r="3561" spans="1:7" x14ac:dyDescent="0.25">
      <c r="A3561" s="41" t="s">
        <v>6920</v>
      </c>
      <c r="B3561" s="41" t="s">
        <v>6921</v>
      </c>
      <c r="C3561" s="41" t="s">
        <v>78</v>
      </c>
      <c r="D3561" s="41" t="s">
        <v>6922</v>
      </c>
      <c r="E3561" s="41" t="s">
        <v>2984</v>
      </c>
      <c r="F3561" s="41" t="s">
        <v>2930</v>
      </c>
      <c r="G3561" s="41" t="s">
        <v>2931</v>
      </c>
    </row>
    <row r="3562" spans="1:7" x14ac:dyDescent="0.25">
      <c r="A3562" s="41" t="s">
        <v>6923</v>
      </c>
      <c r="B3562" s="41" t="s">
        <v>6924</v>
      </c>
      <c r="C3562" s="41" t="s">
        <v>78</v>
      </c>
      <c r="D3562" s="41" t="s">
        <v>6925</v>
      </c>
      <c r="E3562" s="41" t="s">
        <v>2929</v>
      </c>
      <c r="F3562" s="41" t="s">
        <v>2930</v>
      </c>
      <c r="G3562" s="41" t="s">
        <v>2931</v>
      </c>
    </row>
    <row r="3563" spans="1:7" x14ac:dyDescent="0.25">
      <c r="A3563" s="41" t="s">
        <v>6926</v>
      </c>
      <c r="B3563" s="41" t="s">
        <v>6924</v>
      </c>
      <c r="C3563" s="41" t="s">
        <v>78</v>
      </c>
      <c r="D3563" s="41" t="s">
        <v>6925</v>
      </c>
      <c r="E3563" s="41" t="s">
        <v>2929</v>
      </c>
      <c r="F3563" s="41" t="s">
        <v>2949</v>
      </c>
      <c r="G3563" s="41" t="s">
        <v>2950</v>
      </c>
    </row>
    <row r="3564" spans="1:7" x14ac:dyDescent="0.25">
      <c r="A3564" s="41" t="s">
        <v>6927</v>
      </c>
      <c r="B3564" s="41" t="s">
        <v>6924</v>
      </c>
      <c r="C3564" s="41" t="s">
        <v>78</v>
      </c>
      <c r="D3564" s="41" t="s">
        <v>6925</v>
      </c>
      <c r="E3564" s="41" t="s">
        <v>2929</v>
      </c>
      <c r="F3564" s="41" t="s">
        <v>2930</v>
      </c>
      <c r="G3564" s="41" t="s">
        <v>2931</v>
      </c>
    </row>
    <row r="3565" spans="1:7" x14ac:dyDescent="0.25">
      <c r="A3565" s="41" t="s">
        <v>6928</v>
      </c>
      <c r="B3565" s="41" t="s">
        <v>6929</v>
      </c>
      <c r="C3565" s="41" t="s">
        <v>74</v>
      </c>
      <c r="D3565" s="41" t="s">
        <v>6930</v>
      </c>
      <c r="E3565" s="41" t="s">
        <v>2929</v>
      </c>
      <c r="F3565" s="41" t="s">
        <v>2933</v>
      </c>
      <c r="G3565" s="41" t="s">
        <v>2934</v>
      </c>
    </row>
    <row r="3566" spans="1:7" x14ac:dyDescent="0.25">
      <c r="A3566" s="41" t="s">
        <v>6931</v>
      </c>
      <c r="B3566" s="41" t="s">
        <v>6932</v>
      </c>
      <c r="C3566" s="41" t="s">
        <v>1239</v>
      </c>
      <c r="D3566" s="41" t="s">
        <v>6933</v>
      </c>
      <c r="E3566" s="41" t="s">
        <v>2929</v>
      </c>
      <c r="F3566" s="41" t="s">
        <v>2949</v>
      </c>
      <c r="G3566" s="41" t="s">
        <v>2950</v>
      </c>
    </row>
    <row r="3567" spans="1:7" x14ac:dyDescent="0.25">
      <c r="A3567" s="41" t="s">
        <v>6934</v>
      </c>
      <c r="B3567" s="41" t="s">
        <v>6935</v>
      </c>
      <c r="C3567" s="41" t="s">
        <v>1239</v>
      </c>
      <c r="D3567" s="41" t="s">
        <v>6936</v>
      </c>
      <c r="E3567" s="41" t="s">
        <v>2929</v>
      </c>
      <c r="F3567" s="41" t="s">
        <v>3355</v>
      </c>
      <c r="G3567" s="41" t="s">
        <v>2950</v>
      </c>
    </row>
    <row r="3568" spans="1:7" x14ac:dyDescent="0.25">
      <c r="A3568" s="41" t="s">
        <v>6937</v>
      </c>
      <c r="B3568" s="41" t="s">
        <v>6932</v>
      </c>
      <c r="C3568" s="41" t="s">
        <v>1239</v>
      </c>
      <c r="D3568" s="41" t="s">
        <v>6933</v>
      </c>
      <c r="E3568" s="41" t="s">
        <v>2929</v>
      </c>
      <c r="F3568" s="41" t="s">
        <v>2933</v>
      </c>
      <c r="G3568" s="41" t="s">
        <v>2934</v>
      </c>
    </row>
    <row r="3569" spans="1:7" x14ac:dyDescent="0.25">
      <c r="A3569" s="41" t="s">
        <v>6938</v>
      </c>
      <c r="B3569" s="41" t="s">
        <v>6939</v>
      </c>
      <c r="C3569" s="41" t="s">
        <v>95</v>
      </c>
      <c r="D3569" s="41" t="s">
        <v>6940</v>
      </c>
      <c r="E3569" s="41" t="s">
        <v>2929</v>
      </c>
      <c r="F3569" s="41" t="s">
        <v>2933</v>
      </c>
      <c r="G3569" s="41" t="s">
        <v>2934</v>
      </c>
    </row>
    <row r="3570" spans="1:7" x14ac:dyDescent="0.25">
      <c r="A3570" s="41" t="s">
        <v>6941</v>
      </c>
      <c r="B3570" s="41" t="s">
        <v>6942</v>
      </c>
      <c r="C3570" s="41" t="s">
        <v>74</v>
      </c>
      <c r="D3570" s="41" t="s">
        <v>6943</v>
      </c>
      <c r="E3570" s="41" t="s">
        <v>2929</v>
      </c>
      <c r="F3570" s="41" t="s">
        <v>2949</v>
      </c>
      <c r="G3570" s="41" t="s">
        <v>2950</v>
      </c>
    </row>
    <row r="3571" spans="1:7" x14ac:dyDescent="0.25">
      <c r="A3571" s="41" t="s">
        <v>6944</v>
      </c>
      <c r="B3571" s="41" t="s">
        <v>6945</v>
      </c>
      <c r="C3571" s="41" t="s">
        <v>78</v>
      </c>
      <c r="D3571" s="41" t="s">
        <v>6946</v>
      </c>
      <c r="E3571" s="41" t="s">
        <v>2929</v>
      </c>
      <c r="F3571" s="41" t="s">
        <v>2949</v>
      </c>
      <c r="G3571" s="41" t="s">
        <v>2950</v>
      </c>
    </row>
    <row r="3572" spans="1:7" x14ac:dyDescent="0.25">
      <c r="A3572" s="41" t="s">
        <v>6947</v>
      </c>
      <c r="B3572" s="41" t="s">
        <v>6945</v>
      </c>
      <c r="C3572" s="41" t="s">
        <v>78</v>
      </c>
      <c r="D3572" s="41" t="s">
        <v>6946</v>
      </c>
      <c r="E3572" s="41" t="s">
        <v>2984</v>
      </c>
      <c r="F3572" s="41" t="s">
        <v>2933</v>
      </c>
      <c r="G3572" s="41" t="s">
        <v>2934</v>
      </c>
    </row>
    <row r="3573" spans="1:7" x14ac:dyDescent="0.25">
      <c r="A3573" s="41" t="s">
        <v>6948</v>
      </c>
      <c r="B3573" s="41" t="s">
        <v>6942</v>
      </c>
      <c r="C3573" s="41" t="s">
        <v>74</v>
      </c>
      <c r="D3573" s="41" t="s">
        <v>6943</v>
      </c>
      <c r="E3573" s="41" t="s">
        <v>2929</v>
      </c>
      <c r="F3573" s="41" t="s">
        <v>2933</v>
      </c>
      <c r="G3573" s="41" t="s">
        <v>2934</v>
      </c>
    </row>
    <row r="3574" spans="1:7" x14ac:dyDescent="0.25">
      <c r="A3574" s="41" t="s">
        <v>6949</v>
      </c>
      <c r="B3574" s="41" t="s">
        <v>6942</v>
      </c>
      <c r="C3574" s="41" t="s">
        <v>74</v>
      </c>
      <c r="D3574" s="41" t="s">
        <v>6943</v>
      </c>
      <c r="E3574" s="41" t="s">
        <v>2929</v>
      </c>
      <c r="F3574" s="41" t="s">
        <v>2933</v>
      </c>
      <c r="G3574" s="41" t="s">
        <v>2934</v>
      </c>
    </row>
    <row r="3575" spans="1:7" x14ac:dyDescent="0.25">
      <c r="A3575" s="41" t="s">
        <v>6950</v>
      </c>
      <c r="B3575" s="41" t="s">
        <v>6951</v>
      </c>
      <c r="C3575" s="41" t="s">
        <v>1239</v>
      </c>
      <c r="D3575" s="41" t="s">
        <v>6952</v>
      </c>
      <c r="E3575" s="41" t="s">
        <v>2929</v>
      </c>
      <c r="F3575" s="41" t="s">
        <v>2949</v>
      </c>
      <c r="G3575" s="41" t="s">
        <v>2950</v>
      </c>
    </row>
    <row r="3576" spans="1:7" x14ac:dyDescent="0.25">
      <c r="A3576" s="41" t="s">
        <v>6953</v>
      </c>
      <c r="B3576" s="41" t="s">
        <v>6954</v>
      </c>
      <c r="C3576" s="41" t="s">
        <v>1239</v>
      </c>
      <c r="D3576" s="41" t="s">
        <v>1254</v>
      </c>
      <c r="E3576" s="41" t="s">
        <v>2929</v>
      </c>
      <c r="F3576" s="41" t="s">
        <v>2933</v>
      </c>
      <c r="G3576" s="41" t="s">
        <v>2934</v>
      </c>
    </row>
    <row r="3577" spans="1:7" x14ac:dyDescent="0.25">
      <c r="A3577" s="41" t="s">
        <v>6955</v>
      </c>
      <c r="B3577" s="41" t="s">
        <v>6945</v>
      </c>
      <c r="C3577" s="41" t="s">
        <v>78</v>
      </c>
      <c r="D3577" s="41" t="s">
        <v>6946</v>
      </c>
      <c r="E3577" s="41" t="s">
        <v>2929</v>
      </c>
      <c r="F3577" s="41" t="s">
        <v>2933</v>
      </c>
      <c r="G3577" s="41" t="s">
        <v>2934</v>
      </c>
    </row>
    <row r="3578" spans="1:7" x14ac:dyDescent="0.25">
      <c r="A3578" s="41" t="s">
        <v>6956</v>
      </c>
      <c r="B3578" s="41" t="s">
        <v>6957</v>
      </c>
      <c r="C3578" s="41" t="s">
        <v>95</v>
      </c>
      <c r="D3578" s="41" t="s">
        <v>6958</v>
      </c>
      <c r="E3578" s="41" t="s">
        <v>2929</v>
      </c>
      <c r="F3578" s="41" t="s">
        <v>2949</v>
      </c>
      <c r="G3578" s="41" t="s">
        <v>2950</v>
      </c>
    </row>
    <row r="3579" spans="1:7" x14ac:dyDescent="0.25">
      <c r="A3579" s="41" t="s">
        <v>6959</v>
      </c>
      <c r="B3579" s="41" t="s">
        <v>6960</v>
      </c>
      <c r="C3579" s="41" t="s">
        <v>6961</v>
      </c>
      <c r="D3579" s="41" t="s">
        <v>6962</v>
      </c>
      <c r="E3579" s="41" t="s">
        <v>2984</v>
      </c>
      <c r="F3579" s="41" t="s">
        <v>2949</v>
      </c>
      <c r="G3579" s="41" t="s">
        <v>2950</v>
      </c>
    </row>
    <row r="3580" spans="1:7" x14ac:dyDescent="0.25">
      <c r="A3580" s="41" t="s">
        <v>6963</v>
      </c>
      <c r="B3580" s="41" t="s">
        <v>6960</v>
      </c>
      <c r="C3580" s="41" t="s">
        <v>6961</v>
      </c>
      <c r="D3580" s="41" t="s">
        <v>6962</v>
      </c>
      <c r="E3580" s="41" t="s">
        <v>2929</v>
      </c>
      <c r="F3580" s="41" t="s">
        <v>2933</v>
      </c>
      <c r="G3580" s="41" t="s">
        <v>2934</v>
      </c>
    </row>
    <row r="3581" spans="1:7" x14ac:dyDescent="0.25">
      <c r="A3581" s="41" t="s">
        <v>6964</v>
      </c>
      <c r="B3581" s="41" t="s">
        <v>6960</v>
      </c>
      <c r="C3581" s="41" t="s">
        <v>6961</v>
      </c>
      <c r="D3581" s="41" t="s">
        <v>6962</v>
      </c>
      <c r="E3581" s="41" t="s">
        <v>2984</v>
      </c>
      <c r="F3581" s="41" t="s">
        <v>2949</v>
      </c>
      <c r="G3581" s="41" t="s">
        <v>2950</v>
      </c>
    </row>
    <row r="3582" spans="1:7" x14ac:dyDescent="0.25">
      <c r="A3582" s="41" t="s">
        <v>6965</v>
      </c>
      <c r="B3582" s="41" t="s">
        <v>6960</v>
      </c>
      <c r="C3582" s="41" t="s">
        <v>6961</v>
      </c>
      <c r="D3582" s="41" t="s">
        <v>6962</v>
      </c>
      <c r="E3582" s="41" t="s">
        <v>2929</v>
      </c>
      <c r="F3582" s="41" t="s">
        <v>2933</v>
      </c>
      <c r="G3582" s="41" t="s">
        <v>2934</v>
      </c>
    </row>
    <row r="3583" spans="1:7" x14ac:dyDescent="0.25">
      <c r="A3583" s="41" t="s">
        <v>6966</v>
      </c>
      <c r="B3583" s="41" t="s">
        <v>6960</v>
      </c>
      <c r="C3583" s="41" t="s">
        <v>6961</v>
      </c>
      <c r="D3583" s="41" t="s">
        <v>6962</v>
      </c>
      <c r="E3583" s="41" t="s">
        <v>2929</v>
      </c>
      <c r="F3583" s="41" t="s">
        <v>2933</v>
      </c>
      <c r="G3583" s="41" t="s">
        <v>2934</v>
      </c>
    </row>
    <row r="3584" spans="1:7" x14ac:dyDescent="0.25">
      <c r="A3584" s="41" t="s">
        <v>6967</v>
      </c>
      <c r="B3584" s="41" t="s">
        <v>6960</v>
      </c>
      <c r="C3584" s="41" t="s">
        <v>6961</v>
      </c>
      <c r="D3584" s="41" t="s">
        <v>6962</v>
      </c>
      <c r="E3584" s="41" t="s">
        <v>2929</v>
      </c>
      <c r="F3584" s="41" t="s">
        <v>2933</v>
      </c>
      <c r="G3584" s="41" t="s">
        <v>2934</v>
      </c>
    </row>
    <row r="3585" spans="1:7" x14ac:dyDescent="0.25">
      <c r="A3585" s="41" t="s">
        <v>6968</v>
      </c>
      <c r="B3585" s="41" t="s">
        <v>6960</v>
      </c>
      <c r="C3585" s="41" t="s">
        <v>6961</v>
      </c>
      <c r="D3585" s="41" t="s">
        <v>6962</v>
      </c>
      <c r="E3585" s="41" t="s">
        <v>2984</v>
      </c>
      <c r="F3585" s="41" t="s">
        <v>6969</v>
      </c>
      <c r="G3585" s="41" t="s">
        <v>2931</v>
      </c>
    </row>
    <row r="3586" spans="1:7" x14ac:dyDescent="0.25">
      <c r="A3586" s="41" t="s">
        <v>6970</v>
      </c>
      <c r="B3586" s="41" t="s">
        <v>6960</v>
      </c>
      <c r="C3586" s="41" t="s">
        <v>6961</v>
      </c>
      <c r="D3586" s="41" t="s">
        <v>6962</v>
      </c>
      <c r="E3586" s="41" t="s">
        <v>2984</v>
      </c>
      <c r="F3586" s="41" t="s">
        <v>2930</v>
      </c>
      <c r="G3586" s="41" t="s">
        <v>2931</v>
      </c>
    </row>
    <row r="3587" spans="1:7" x14ac:dyDescent="0.25">
      <c r="A3587" s="41" t="s">
        <v>6971</v>
      </c>
      <c r="B3587" s="41" t="s">
        <v>6960</v>
      </c>
      <c r="C3587" s="41" t="s">
        <v>6961</v>
      </c>
      <c r="D3587" s="41" t="s">
        <v>6962</v>
      </c>
      <c r="E3587" s="41" t="s">
        <v>2984</v>
      </c>
      <c r="F3587" s="41" t="s">
        <v>6969</v>
      </c>
      <c r="G3587" s="41" t="s">
        <v>2931</v>
      </c>
    </row>
    <row r="3588" spans="1:7" x14ac:dyDescent="0.25">
      <c r="A3588" s="41" t="s">
        <v>6972</v>
      </c>
      <c r="B3588" s="41" t="s">
        <v>6960</v>
      </c>
      <c r="C3588" s="41" t="s">
        <v>6961</v>
      </c>
      <c r="D3588" s="41" t="s">
        <v>6962</v>
      </c>
      <c r="E3588" s="41" t="s">
        <v>2929</v>
      </c>
      <c r="F3588" s="41" t="s">
        <v>2949</v>
      </c>
      <c r="G3588" s="41" t="s">
        <v>2950</v>
      </c>
    </row>
    <row r="3589" spans="1:7" x14ac:dyDescent="0.25">
      <c r="A3589" s="41" t="s">
        <v>6973</v>
      </c>
      <c r="B3589" s="41" t="s">
        <v>6960</v>
      </c>
      <c r="C3589" s="41" t="s">
        <v>6961</v>
      </c>
      <c r="D3589" s="41" t="s">
        <v>6962</v>
      </c>
      <c r="E3589" s="41" t="s">
        <v>2929</v>
      </c>
      <c r="F3589" s="41" t="s">
        <v>2930</v>
      </c>
      <c r="G3589" s="41" t="s">
        <v>2931</v>
      </c>
    </row>
    <row r="3590" spans="1:7" x14ac:dyDescent="0.25">
      <c r="A3590" s="41" t="s">
        <v>6974</v>
      </c>
      <c r="B3590" s="41" t="s">
        <v>6960</v>
      </c>
      <c r="C3590" s="41" t="s">
        <v>6961</v>
      </c>
      <c r="D3590" s="41" t="s">
        <v>6962</v>
      </c>
      <c r="E3590" s="41" t="s">
        <v>2929</v>
      </c>
      <c r="F3590" s="41" t="s">
        <v>2949</v>
      </c>
      <c r="G3590" s="41" t="s">
        <v>2950</v>
      </c>
    </row>
    <row r="3591" spans="1:7" x14ac:dyDescent="0.25">
      <c r="A3591" s="41" t="s">
        <v>6975</v>
      </c>
      <c r="B3591" s="41" t="s">
        <v>6976</v>
      </c>
      <c r="C3591" s="41" t="s">
        <v>6961</v>
      </c>
      <c r="D3591" s="41" t="s">
        <v>6977</v>
      </c>
      <c r="E3591" s="41" t="s">
        <v>2929</v>
      </c>
      <c r="F3591" s="41" t="s">
        <v>2949</v>
      </c>
      <c r="G3591" s="41" t="s">
        <v>2950</v>
      </c>
    </row>
    <row r="3592" spans="1:7" x14ac:dyDescent="0.25">
      <c r="A3592" s="41" t="s">
        <v>6978</v>
      </c>
      <c r="B3592" s="41" t="s">
        <v>6979</v>
      </c>
      <c r="C3592" s="41" t="s">
        <v>74</v>
      </c>
      <c r="D3592" s="41" t="s">
        <v>6980</v>
      </c>
      <c r="E3592" s="41" t="s">
        <v>2984</v>
      </c>
      <c r="F3592" s="41" t="s">
        <v>2949</v>
      </c>
      <c r="G3592" s="41" t="s">
        <v>2950</v>
      </c>
    </row>
    <row r="3593" spans="1:7" x14ac:dyDescent="0.25">
      <c r="A3593" s="41" t="s">
        <v>6981</v>
      </c>
      <c r="B3593" s="41" t="s">
        <v>6979</v>
      </c>
      <c r="C3593" s="41" t="s">
        <v>74</v>
      </c>
      <c r="D3593" s="41" t="s">
        <v>6980</v>
      </c>
      <c r="E3593" s="41" t="s">
        <v>2984</v>
      </c>
      <c r="F3593" s="41" t="s">
        <v>2949</v>
      </c>
      <c r="G3593" s="41" t="s">
        <v>2950</v>
      </c>
    </row>
    <row r="3594" spans="1:7" x14ac:dyDescent="0.25">
      <c r="A3594" s="41" t="s">
        <v>6982</v>
      </c>
      <c r="B3594" s="41" t="s">
        <v>6976</v>
      </c>
      <c r="C3594" s="41" t="s">
        <v>6961</v>
      </c>
      <c r="D3594" s="41" t="s">
        <v>6977</v>
      </c>
      <c r="E3594" s="41" t="s">
        <v>2929</v>
      </c>
      <c r="F3594" s="41" t="s">
        <v>2933</v>
      </c>
      <c r="G3594" s="41" t="s">
        <v>2934</v>
      </c>
    </row>
    <row r="3595" spans="1:7" x14ac:dyDescent="0.25">
      <c r="A3595" s="41" t="s">
        <v>6983</v>
      </c>
      <c r="B3595" s="41" t="s">
        <v>6976</v>
      </c>
      <c r="C3595" s="41" t="s">
        <v>6961</v>
      </c>
      <c r="D3595" s="41" t="s">
        <v>6977</v>
      </c>
      <c r="E3595" s="41" t="s">
        <v>2929</v>
      </c>
      <c r="F3595" s="41" t="s">
        <v>2933</v>
      </c>
      <c r="G3595" s="41" t="s">
        <v>2934</v>
      </c>
    </row>
    <row r="3596" spans="1:7" x14ac:dyDescent="0.25">
      <c r="A3596" s="41" t="s">
        <v>6984</v>
      </c>
      <c r="B3596" s="41" t="s">
        <v>6976</v>
      </c>
      <c r="C3596" s="41" t="s">
        <v>6961</v>
      </c>
      <c r="D3596" s="41" t="s">
        <v>6977</v>
      </c>
      <c r="E3596" s="41" t="s">
        <v>2984</v>
      </c>
      <c r="F3596" s="41" t="s">
        <v>2949</v>
      </c>
      <c r="G3596" s="41" t="s">
        <v>2950</v>
      </c>
    </row>
    <row r="3597" spans="1:7" x14ac:dyDescent="0.25">
      <c r="A3597" s="41" t="s">
        <v>6985</v>
      </c>
      <c r="B3597" s="41" t="s">
        <v>6976</v>
      </c>
      <c r="C3597" s="41" t="s">
        <v>6961</v>
      </c>
      <c r="D3597" s="41" t="s">
        <v>6977</v>
      </c>
      <c r="E3597" s="41" t="s">
        <v>2929</v>
      </c>
      <c r="F3597" s="41" t="s">
        <v>3355</v>
      </c>
      <c r="G3597" s="41" t="s">
        <v>2950</v>
      </c>
    </row>
    <row r="3598" spans="1:7" x14ac:dyDescent="0.25">
      <c r="A3598" s="41" t="s">
        <v>6986</v>
      </c>
      <c r="B3598" s="41" t="s">
        <v>6976</v>
      </c>
      <c r="C3598" s="41" t="s">
        <v>6961</v>
      </c>
      <c r="D3598" s="41" t="s">
        <v>6977</v>
      </c>
      <c r="E3598" s="41" t="s">
        <v>2929</v>
      </c>
      <c r="F3598" s="41" t="s">
        <v>2930</v>
      </c>
      <c r="G3598" s="41" t="s">
        <v>2931</v>
      </c>
    </row>
    <row r="3599" spans="1:7" x14ac:dyDescent="0.25">
      <c r="A3599" s="41" t="s">
        <v>6987</v>
      </c>
      <c r="B3599" s="41" t="s">
        <v>6976</v>
      </c>
      <c r="C3599" s="41" t="s">
        <v>6961</v>
      </c>
      <c r="D3599" s="41" t="s">
        <v>6977</v>
      </c>
      <c r="E3599" s="41" t="s">
        <v>2984</v>
      </c>
      <c r="F3599" s="41" t="s">
        <v>2949</v>
      </c>
      <c r="G3599" s="41" t="s">
        <v>2950</v>
      </c>
    </row>
    <row r="3600" spans="1:7" x14ac:dyDescent="0.25">
      <c r="A3600" s="41" t="s">
        <v>6988</v>
      </c>
      <c r="B3600" s="41" t="s">
        <v>6976</v>
      </c>
      <c r="C3600" s="41" t="s">
        <v>6961</v>
      </c>
      <c r="D3600" s="41" t="s">
        <v>6977</v>
      </c>
      <c r="E3600" s="41" t="s">
        <v>2929</v>
      </c>
      <c r="F3600" s="41" t="s">
        <v>2933</v>
      </c>
      <c r="G3600" s="41" t="s">
        <v>2934</v>
      </c>
    </row>
    <row r="3601" spans="1:7" x14ac:dyDescent="0.25">
      <c r="A3601" s="41" t="s">
        <v>6989</v>
      </c>
      <c r="B3601" s="41" t="s">
        <v>6976</v>
      </c>
      <c r="C3601" s="41" t="s">
        <v>6961</v>
      </c>
      <c r="D3601" s="41" t="s">
        <v>6977</v>
      </c>
      <c r="E3601" s="41" t="s">
        <v>2929</v>
      </c>
      <c r="F3601" s="41" t="s">
        <v>2930</v>
      </c>
      <c r="G3601" s="41" t="s">
        <v>2931</v>
      </c>
    </row>
    <row r="3602" spans="1:7" x14ac:dyDescent="0.25">
      <c r="A3602" s="41" t="s">
        <v>6990</v>
      </c>
      <c r="B3602" s="41" t="s">
        <v>6976</v>
      </c>
      <c r="C3602" s="41" t="s">
        <v>6961</v>
      </c>
      <c r="D3602" s="41" t="s">
        <v>6977</v>
      </c>
      <c r="E3602" s="41" t="s">
        <v>2984</v>
      </c>
      <c r="F3602" s="41" t="s">
        <v>6969</v>
      </c>
      <c r="G3602" s="41" t="s">
        <v>2931</v>
      </c>
    </row>
    <row r="3603" spans="1:7" x14ac:dyDescent="0.25">
      <c r="A3603" s="41" t="s">
        <v>6991</v>
      </c>
      <c r="B3603" s="41" t="s">
        <v>6976</v>
      </c>
      <c r="C3603" s="41" t="s">
        <v>6961</v>
      </c>
      <c r="D3603" s="41" t="s">
        <v>6977</v>
      </c>
      <c r="E3603" s="41" t="s">
        <v>2929</v>
      </c>
      <c r="F3603" s="41" t="s">
        <v>2949</v>
      </c>
      <c r="G3603" s="41" t="s">
        <v>2950</v>
      </c>
    </row>
    <row r="3604" spans="1:7" x14ac:dyDescent="0.25">
      <c r="A3604" s="41" t="s">
        <v>6992</v>
      </c>
      <c r="B3604" s="41" t="s">
        <v>6976</v>
      </c>
      <c r="C3604" s="41" t="s">
        <v>6961</v>
      </c>
      <c r="D3604" s="41" t="s">
        <v>6977</v>
      </c>
      <c r="E3604" s="41" t="s">
        <v>2929</v>
      </c>
      <c r="F3604" s="41" t="s">
        <v>2930</v>
      </c>
      <c r="G3604" s="41" t="s">
        <v>2931</v>
      </c>
    </row>
    <row r="3605" spans="1:7" x14ac:dyDescent="0.25">
      <c r="A3605" s="41" t="s">
        <v>6993</v>
      </c>
      <c r="B3605" s="41" t="s">
        <v>6976</v>
      </c>
      <c r="C3605" s="41" t="s">
        <v>6961</v>
      </c>
      <c r="D3605" s="41" t="s">
        <v>6977</v>
      </c>
      <c r="E3605" s="41" t="s">
        <v>2929</v>
      </c>
      <c r="F3605" s="41" t="s">
        <v>2949</v>
      </c>
      <c r="G3605" s="41" t="s">
        <v>2950</v>
      </c>
    </row>
    <row r="3606" spans="1:7" x14ac:dyDescent="0.25">
      <c r="A3606" s="41" t="s">
        <v>6994</v>
      </c>
      <c r="B3606" s="41" t="s">
        <v>6976</v>
      </c>
      <c r="C3606" s="41" t="s">
        <v>6961</v>
      </c>
      <c r="D3606" s="41" t="s">
        <v>6977</v>
      </c>
      <c r="E3606" s="41" t="s">
        <v>2929</v>
      </c>
      <c r="F3606" s="41" t="s">
        <v>3355</v>
      </c>
      <c r="G3606" s="41" t="s">
        <v>2950</v>
      </c>
    </row>
    <row r="3607" spans="1:7" x14ac:dyDescent="0.25">
      <c r="A3607" s="41" t="s">
        <v>6995</v>
      </c>
      <c r="B3607" s="41" t="s">
        <v>6976</v>
      </c>
      <c r="C3607" s="41" t="s">
        <v>6961</v>
      </c>
      <c r="D3607" s="41" t="s">
        <v>6977</v>
      </c>
      <c r="E3607" s="41" t="s">
        <v>2929</v>
      </c>
      <c r="F3607" s="41" t="s">
        <v>2933</v>
      </c>
      <c r="G3607" s="41" t="s">
        <v>2934</v>
      </c>
    </row>
    <row r="3608" spans="1:7" x14ac:dyDescent="0.25">
      <c r="A3608" s="41" t="s">
        <v>6996</v>
      </c>
      <c r="B3608" s="41" t="s">
        <v>6976</v>
      </c>
      <c r="C3608" s="41" t="s">
        <v>6961</v>
      </c>
      <c r="D3608" s="41" t="s">
        <v>6977</v>
      </c>
      <c r="E3608" s="41" t="s">
        <v>2929</v>
      </c>
      <c r="F3608" s="41" t="s">
        <v>2949</v>
      </c>
      <c r="G3608" s="41" t="s">
        <v>2950</v>
      </c>
    </row>
    <row r="3609" spans="1:7" x14ac:dyDescent="0.25">
      <c r="A3609" s="41" t="s">
        <v>6997</v>
      </c>
      <c r="B3609" s="41" t="s">
        <v>6976</v>
      </c>
      <c r="C3609" s="41" t="s">
        <v>6961</v>
      </c>
      <c r="D3609" s="41" t="s">
        <v>6977</v>
      </c>
      <c r="E3609" s="41" t="s">
        <v>2929</v>
      </c>
      <c r="F3609" s="41" t="s">
        <v>2930</v>
      </c>
      <c r="G3609" s="41" t="s">
        <v>2931</v>
      </c>
    </row>
    <row r="3610" spans="1:7" x14ac:dyDescent="0.25">
      <c r="A3610" s="41" t="s">
        <v>6998</v>
      </c>
      <c r="B3610" s="41" t="s">
        <v>6976</v>
      </c>
      <c r="C3610" s="41" t="s">
        <v>6961</v>
      </c>
      <c r="D3610" s="41" t="s">
        <v>6977</v>
      </c>
      <c r="E3610" s="41" t="s">
        <v>2929</v>
      </c>
      <c r="F3610" s="41" t="s">
        <v>2933</v>
      </c>
      <c r="G3610" s="41" t="s">
        <v>2934</v>
      </c>
    </row>
    <row r="3611" spans="1:7" x14ac:dyDescent="0.25">
      <c r="A3611" s="41" t="s">
        <v>6999</v>
      </c>
      <c r="B3611" s="41" t="s">
        <v>6976</v>
      </c>
      <c r="C3611" s="41" t="s">
        <v>6961</v>
      </c>
      <c r="D3611" s="41" t="s">
        <v>6977</v>
      </c>
      <c r="E3611" s="41" t="s">
        <v>2929</v>
      </c>
      <c r="F3611" s="41" t="s">
        <v>2949</v>
      </c>
      <c r="G3611" s="41" t="s">
        <v>2950</v>
      </c>
    </row>
    <row r="3612" spans="1:7" x14ac:dyDescent="0.25">
      <c r="A3612" s="41" t="s">
        <v>7000</v>
      </c>
      <c r="B3612" s="41" t="s">
        <v>6976</v>
      </c>
      <c r="C3612" s="41" t="s">
        <v>6961</v>
      </c>
      <c r="D3612" s="41" t="s">
        <v>6977</v>
      </c>
      <c r="E3612" s="41" t="s">
        <v>2984</v>
      </c>
      <c r="F3612" s="41" t="s">
        <v>2930</v>
      </c>
      <c r="G3612" s="41" t="s">
        <v>2931</v>
      </c>
    </row>
    <row r="3613" spans="1:7" x14ac:dyDescent="0.25">
      <c r="A3613" s="41" t="s">
        <v>7001</v>
      </c>
      <c r="B3613" s="41" t="s">
        <v>6976</v>
      </c>
      <c r="C3613" s="41" t="s">
        <v>6961</v>
      </c>
      <c r="D3613" s="41" t="s">
        <v>6977</v>
      </c>
      <c r="E3613" s="41" t="s">
        <v>2929</v>
      </c>
      <c r="F3613" s="41" t="s">
        <v>2949</v>
      </c>
      <c r="G3613" s="41" t="s">
        <v>2950</v>
      </c>
    </row>
    <row r="3614" spans="1:7" x14ac:dyDescent="0.25">
      <c r="A3614" s="41" t="s">
        <v>7002</v>
      </c>
      <c r="B3614" s="41" t="s">
        <v>6976</v>
      </c>
      <c r="C3614" s="41" t="s">
        <v>6961</v>
      </c>
      <c r="D3614" s="41" t="s">
        <v>6977</v>
      </c>
      <c r="E3614" s="41" t="s">
        <v>2929</v>
      </c>
      <c r="F3614" s="41" t="s">
        <v>2949</v>
      </c>
      <c r="G3614" s="41" t="s">
        <v>2950</v>
      </c>
    </row>
    <row r="3615" spans="1:7" x14ac:dyDescent="0.25">
      <c r="A3615" s="41" t="s">
        <v>7003</v>
      </c>
      <c r="B3615" s="41" t="s">
        <v>6976</v>
      </c>
      <c r="C3615" s="41" t="s">
        <v>6961</v>
      </c>
      <c r="D3615" s="41" t="s">
        <v>6977</v>
      </c>
      <c r="E3615" s="41" t="s">
        <v>2929</v>
      </c>
      <c r="F3615" s="41" t="s">
        <v>2930</v>
      </c>
      <c r="G3615" s="41" t="s">
        <v>2931</v>
      </c>
    </row>
    <row r="3616" spans="1:7" x14ac:dyDescent="0.25">
      <c r="A3616" s="41" t="s">
        <v>7004</v>
      </c>
      <c r="B3616" s="41" t="s">
        <v>6976</v>
      </c>
      <c r="C3616" s="41" t="s">
        <v>6961</v>
      </c>
      <c r="D3616" s="41" t="s">
        <v>6977</v>
      </c>
      <c r="E3616" s="41" t="s">
        <v>2929</v>
      </c>
      <c r="F3616" s="41" t="s">
        <v>2933</v>
      </c>
      <c r="G3616" s="41" t="s">
        <v>2934</v>
      </c>
    </row>
    <row r="3617" spans="1:7" x14ac:dyDescent="0.25">
      <c r="A3617" s="41" t="s">
        <v>7005</v>
      </c>
      <c r="B3617" s="41" t="s">
        <v>6976</v>
      </c>
      <c r="C3617" s="41" t="s">
        <v>6961</v>
      </c>
      <c r="D3617" s="41" t="s">
        <v>6977</v>
      </c>
      <c r="E3617" s="41" t="s">
        <v>2984</v>
      </c>
      <c r="F3617" s="41" t="s">
        <v>2949</v>
      </c>
      <c r="G3617" s="41" t="s">
        <v>2950</v>
      </c>
    </row>
    <row r="3618" spans="1:7" x14ac:dyDescent="0.25">
      <c r="A3618" s="41" t="s">
        <v>7006</v>
      </c>
      <c r="B3618" s="41" t="s">
        <v>6976</v>
      </c>
      <c r="C3618" s="41" t="s">
        <v>6961</v>
      </c>
      <c r="D3618" s="41" t="s">
        <v>6977</v>
      </c>
      <c r="E3618" s="41" t="s">
        <v>2929</v>
      </c>
      <c r="F3618" s="41" t="s">
        <v>6969</v>
      </c>
      <c r="G3618" s="41" t="s">
        <v>2931</v>
      </c>
    </row>
    <row r="3619" spans="1:7" x14ac:dyDescent="0.25">
      <c r="A3619" s="41" t="s">
        <v>7007</v>
      </c>
      <c r="B3619" s="41" t="s">
        <v>6976</v>
      </c>
      <c r="C3619" s="41" t="s">
        <v>6961</v>
      </c>
      <c r="D3619" s="41" t="s">
        <v>6977</v>
      </c>
      <c r="E3619" s="41" t="s">
        <v>2929</v>
      </c>
      <c r="F3619" s="41" t="s">
        <v>2933</v>
      </c>
      <c r="G3619" s="41" t="s">
        <v>2934</v>
      </c>
    </row>
    <row r="3620" spans="1:7" x14ac:dyDescent="0.25">
      <c r="A3620" s="41" t="s">
        <v>7008</v>
      </c>
      <c r="B3620" s="41" t="s">
        <v>6976</v>
      </c>
      <c r="C3620" s="41" t="s">
        <v>6961</v>
      </c>
      <c r="D3620" s="41" t="s">
        <v>6977</v>
      </c>
      <c r="E3620" s="41" t="s">
        <v>2929</v>
      </c>
      <c r="F3620" s="41" t="s">
        <v>2949</v>
      </c>
      <c r="G3620" s="41" t="s">
        <v>2950</v>
      </c>
    </row>
    <row r="3621" spans="1:7" x14ac:dyDescent="0.25">
      <c r="A3621" s="41" t="s">
        <v>7009</v>
      </c>
      <c r="B3621" s="41" t="s">
        <v>6976</v>
      </c>
      <c r="C3621" s="41" t="s">
        <v>6961</v>
      </c>
      <c r="D3621" s="41" t="s">
        <v>6977</v>
      </c>
      <c r="E3621" s="41" t="s">
        <v>2929</v>
      </c>
      <c r="F3621" s="41" t="s">
        <v>2933</v>
      </c>
      <c r="G3621" s="41" t="s">
        <v>2934</v>
      </c>
    </row>
    <row r="3622" spans="1:7" x14ac:dyDescent="0.25">
      <c r="A3622" s="41" t="s">
        <v>7010</v>
      </c>
      <c r="B3622" s="41" t="s">
        <v>7011</v>
      </c>
      <c r="C3622" s="41" t="s">
        <v>7012</v>
      </c>
      <c r="E3622" s="41" t="s">
        <v>7013</v>
      </c>
      <c r="F3622" s="41" t="s">
        <v>7014</v>
      </c>
      <c r="G3622" s="41" t="s">
        <v>2934</v>
      </c>
    </row>
    <row r="3623" spans="1:7" x14ac:dyDescent="0.25">
      <c r="A3623" s="41" t="s">
        <v>7015</v>
      </c>
      <c r="B3623" s="41" t="s">
        <v>7011</v>
      </c>
      <c r="C3623" s="41" t="s">
        <v>7012</v>
      </c>
      <c r="E3623" s="41" t="s">
        <v>7013</v>
      </c>
      <c r="F3623" s="41" t="s">
        <v>7016</v>
      </c>
      <c r="G3623" s="41" t="s">
        <v>2931</v>
      </c>
    </row>
    <row r="3624" spans="1:7" x14ac:dyDescent="0.25">
      <c r="A3624" s="41" t="s">
        <v>7017</v>
      </c>
      <c r="B3624" s="41" t="s">
        <v>7011</v>
      </c>
      <c r="C3624" s="41" t="s">
        <v>7012</v>
      </c>
      <c r="E3624" s="41" t="s">
        <v>7013</v>
      </c>
      <c r="F3624" s="41" t="s">
        <v>7018</v>
      </c>
      <c r="G3624" s="41" t="s">
        <v>2950</v>
      </c>
    </row>
    <row r="3625" spans="1:7" x14ac:dyDescent="0.25">
      <c r="A3625" s="41" t="s">
        <v>7019</v>
      </c>
      <c r="B3625" s="41" t="s">
        <v>7020</v>
      </c>
      <c r="C3625" s="41" t="s">
        <v>7012</v>
      </c>
      <c r="E3625" s="41" t="s">
        <v>7013</v>
      </c>
      <c r="F3625" s="41" t="s">
        <v>7014</v>
      </c>
      <c r="G3625" s="41" t="s">
        <v>2934</v>
      </c>
    </row>
    <row r="3626" spans="1:7" x14ac:dyDescent="0.25">
      <c r="A3626" s="41" t="s">
        <v>7021</v>
      </c>
      <c r="B3626" s="41" t="s">
        <v>7020</v>
      </c>
      <c r="C3626" s="41" t="s">
        <v>7012</v>
      </c>
      <c r="E3626" s="41" t="s">
        <v>7013</v>
      </c>
      <c r="F3626" s="41" t="s">
        <v>7016</v>
      </c>
      <c r="G3626" s="41" t="s">
        <v>2931</v>
      </c>
    </row>
    <row r="3627" spans="1:7" x14ac:dyDescent="0.25">
      <c r="A3627" s="41" t="s">
        <v>7022</v>
      </c>
      <c r="B3627" s="41" t="s">
        <v>7020</v>
      </c>
      <c r="C3627" s="41" t="s">
        <v>7012</v>
      </c>
      <c r="E3627" s="41" t="s">
        <v>7013</v>
      </c>
      <c r="F3627" s="41" t="s">
        <v>7018</v>
      </c>
      <c r="G3627" s="41" t="s">
        <v>2950</v>
      </c>
    </row>
    <row r="3628" spans="1:7" x14ac:dyDescent="0.25">
      <c r="A3628" s="41" t="s">
        <v>7023</v>
      </c>
      <c r="B3628" s="41" t="s">
        <v>7024</v>
      </c>
      <c r="C3628" s="41" t="s">
        <v>7012</v>
      </c>
      <c r="E3628" s="41" t="s">
        <v>7013</v>
      </c>
      <c r="F3628" s="41" t="s">
        <v>7014</v>
      </c>
      <c r="G3628" s="41" t="s">
        <v>2934</v>
      </c>
    </row>
    <row r="3629" spans="1:7" x14ac:dyDescent="0.25">
      <c r="A3629" s="41" t="s">
        <v>7025</v>
      </c>
      <c r="B3629" s="41" t="s">
        <v>7024</v>
      </c>
      <c r="C3629" s="41" t="s">
        <v>7012</v>
      </c>
      <c r="E3629" s="41" t="s">
        <v>7013</v>
      </c>
      <c r="F3629" s="41" t="s">
        <v>7016</v>
      </c>
      <c r="G3629" s="41" t="s">
        <v>2931</v>
      </c>
    </row>
    <row r="3630" spans="1:7" x14ac:dyDescent="0.25">
      <c r="A3630" s="41" t="s">
        <v>7026</v>
      </c>
      <c r="B3630" s="41" t="s">
        <v>7024</v>
      </c>
      <c r="C3630" s="41" t="s">
        <v>7012</v>
      </c>
      <c r="E3630" s="41" t="s">
        <v>7013</v>
      </c>
      <c r="F3630" s="41" t="s">
        <v>7018</v>
      </c>
      <c r="G3630" s="41" t="s">
        <v>2950</v>
      </c>
    </row>
    <row r="3631" spans="1:7" x14ac:dyDescent="0.25">
      <c r="A3631" s="41" t="s">
        <v>7027</v>
      </c>
      <c r="B3631" s="41" t="s">
        <v>7028</v>
      </c>
      <c r="C3631" s="41" t="s">
        <v>7028</v>
      </c>
      <c r="E3631" s="41" t="s">
        <v>7013</v>
      </c>
      <c r="F3631" s="41" t="s">
        <v>7014</v>
      </c>
      <c r="G3631" s="41" t="s">
        <v>2934</v>
      </c>
    </row>
    <row r="3632" spans="1:7" x14ac:dyDescent="0.25">
      <c r="A3632" s="41" t="s">
        <v>7029</v>
      </c>
      <c r="B3632" s="41" t="s">
        <v>7028</v>
      </c>
      <c r="C3632" s="41" t="s">
        <v>7028</v>
      </c>
      <c r="E3632" s="41" t="s">
        <v>7013</v>
      </c>
      <c r="F3632" s="41" t="s">
        <v>7016</v>
      </c>
      <c r="G3632" s="41" t="s">
        <v>2931</v>
      </c>
    </row>
    <row r="3633" spans="1:7" x14ac:dyDescent="0.25">
      <c r="A3633" s="41" t="s">
        <v>7030</v>
      </c>
      <c r="B3633" s="41" t="s">
        <v>7028</v>
      </c>
      <c r="C3633" s="41" t="s">
        <v>7028</v>
      </c>
      <c r="E3633" s="41" t="s">
        <v>7013</v>
      </c>
      <c r="F3633" s="41" t="s">
        <v>7018</v>
      </c>
      <c r="G3633" s="41" t="s">
        <v>2950</v>
      </c>
    </row>
    <row r="3634" spans="1:7" x14ac:dyDescent="0.25">
      <c r="A3634" s="41" t="s">
        <v>7031</v>
      </c>
      <c r="B3634" s="41" t="s">
        <v>7032</v>
      </c>
      <c r="C3634" s="41" t="s">
        <v>7012</v>
      </c>
      <c r="E3634" s="41" t="s">
        <v>7013</v>
      </c>
      <c r="F3634" s="41" t="s">
        <v>7014</v>
      </c>
      <c r="G3634" s="41" t="s">
        <v>2934</v>
      </c>
    </row>
    <row r="3635" spans="1:7" x14ac:dyDescent="0.25">
      <c r="A3635" s="41" t="s">
        <v>7033</v>
      </c>
      <c r="B3635" s="41" t="s">
        <v>7032</v>
      </c>
      <c r="C3635" s="41" t="s">
        <v>7012</v>
      </c>
      <c r="E3635" s="41" t="s">
        <v>7013</v>
      </c>
      <c r="F3635" s="41" t="s">
        <v>7016</v>
      </c>
      <c r="G3635" s="41" t="s">
        <v>2931</v>
      </c>
    </row>
    <row r="3636" spans="1:7" x14ac:dyDescent="0.25">
      <c r="A3636" s="41" t="s">
        <v>7034</v>
      </c>
      <c r="B3636" s="41" t="s">
        <v>7032</v>
      </c>
      <c r="C3636" s="41" t="s">
        <v>7012</v>
      </c>
      <c r="E3636" s="41" t="s">
        <v>7013</v>
      </c>
      <c r="F3636" s="41" t="s">
        <v>7018</v>
      </c>
      <c r="G3636" s="41" t="s">
        <v>2950</v>
      </c>
    </row>
    <row r="3637" spans="1:7" x14ac:dyDescent="0.25">
      <c r="A3637" s="41" t="s">
        <v>7035</v>
      </c>
      <c r="B3637" s="41" t="s">
        <v>7036</v>
      </c>
      <c r="C3637" s="41" t="s">
        <v>7012</v>
      </c>
      <c r="E3637" s="41" t="s">
        <v>7013</v>
      </c>
      <c r="F3637" s="41" t="s">
        <v>7014</v>
      </c>
      <c r="G3637" s="41" t="s">
        <v>2934</v>
      </c>
    </row>
    <row r="3638" spans="1:7" x14ac:dyDescent="0.25">
      <c r="A3638" s="41" t="s">
        <v>7037</v>
      </c>
      <c r="B3638" s="41" t="s">
        <v>7036</v>
      </c>
      <c r="C3638" s="41" t="s">
        <v>7012</v>
      </c>
      <c r="E3638" s="41" t="s">
        <v>7013</v>
      </c>
      <c r="F3638" s="41" t="s">
        <v>7016</v>
      </c>
      <c r="G3638" s="41" t="s">
        <v>2931</v>
      </c>
    </row>
    <row r="3639" spans="1:7" x14ac:dyDescent="0.25">
      <c r="A3639" s="41" t="s">
        <v>7038</v>
      </c>
      <c r="B3639" s="41" t="s">
        <v>7036</v>
      </c>
      <c r="C3639" s="41" t="s">
        <v>7012</v>
      </c>
      <c r="E3639" s="41" t="s">
        <v>7013</v>
      </c>
      <c r="F3639" s="41" t="s">
        <v>7018</v>
      </c>
      <c r="G3639" s="41" t="s">
        <v>2950</v>
      </c>
    </row>
    <row r="3640" spans="1:7" x14ac:dyDescent="0.25">
      <c r="A3640" s="41" t="s">
        <v>7039</v>
      </c>
      <c r="B3640" s="41" t="s">
        <v>7040</v>
      </c>
      <c r="C3640" s="41" t="s">
        <v>7012</v>
      </c>
      <c r="E3640" s="41" t="s">
        <v>7013</v>
      </c>
      <c r="F3640" s="41" t="s">
        <v>7014</v>
      </c>
      <c r="G3640" s="41" t="s">
        <v>2934</v>
      </c>
    </row>
    <row r="3641" spans="1:7" x14ac:dyDescent="0.25">
      <c r="A3641" s="41" t="s">
        <v>7041</v>
      </c>
      <c r="B3641" s="41" t="s">
        <v>7040</v>
      </c>
      <c r="C3641" s="41" t="s">
        <v>7012</v>
      </c>
      <c r="E3641" s="41" t="s">
        <v>7013</v>
      </c>
      <c r="F3641" s="41" t="s">
        <v>7016</v>
      </c>
      <c r="G3641" s="41" t="s">
        <v>2931</v>
      </c>
    </row>
    <row r="3642" spans="1:7" x14ac:dyDescent="0.25">
      <c r="A3642" s="41" t="s">
        <v>7042</v>
      </c>
      <c r="B3642" s="41" t="s">
        <v>7040</v>
      </c>
      <c r="C3642" s="41" t="s">
        <v>7012</v>
      </c>
      <c r="E3642" s="41" t="s">
        <v>7013</v>
      </c>
      <c r="F3642" s="41" t="s">
        <v>7018</v>
      </c>
      <c r="G3642" s="41" t="s">
        <v>2950</v>
      </c>
    </row>
    <row r="3643" spans="1:7" x14ac:dyDescent="0.25">
      <c r="A3643" s="41" t="s">
        <v>7043</v>
      </c>
      <c r="B3643" s="41" t="s">
        <v>7044</v>
      </c>
      <c r="C3643" s="41" t="s">
        <v>7045</v>
      </c>
      <c r="E3643" s="41" t="s">
        <v>7013</v>
      </c>
      <c r="F3643" s="41" t="s">
        <v>7014</v>
      </c>
      <c r="G3643" s="41" t="s">
        <v>2934</v>
      </c>
    </row>
    <row r="3644" spans="1:7" x14ac:dyDescent="0.25">
      <c r="A3644" s="41" t="s">
        <v>7046</v>
      </c>
      <c r="B3644" s="41" t="s">
        <v>7044</v>
      </c>
      <c r="C3644" s="41" t="s">
        <v>7045</v>
      </c>
      <c r="E3644" s="41" t="s">
        <v>7013</v>
      </c>
      <c r="F3644" s="41" t="s">
        <v>7016</v>
      </c>
      <c r="G3644" s="41" t="s">
        <v>2931</v>
      </c>
    </row>
    <row r="3645" spans="1:7" x14ac:dyDescent="0.25">
      <c r="A3645" s="41" t="s">
        <v>7047</v>
      </c>
      <c r="B3645" s="41" t="s">
        <v>7044</v>
      </c>
      <c r="C3645" s="41" t="s">
        <v>7045</v>
      </c>
      <c r="E3645" s="41" t="s">
        <v>7013</v>
      </c>
      <c r="F3645" s="41" t="s">
        <v>7018</v>
      </c>
      <c r="G3645" s="41" t="s">
        <v>2950</v>
      </c>
    </row>
    <row r="3646" spans="1:7" x14ac:dyDescent="0.25">
      <c r="A3646" s="41" t="s">
        <v>7048</v>
      </c>
      <c r="B3646" s="41" t="s">
        <v>7049</v>
      </c>
      <c r="C3646" s="41" t="s">
        <v>7045</v>
      </c>
      <c r="E3646" s="41" t="s">
        <v>7013</v>
      </c>
      <c r="F3646" s="41" t="s">
        <v>7014</v>
      </c>
      <c r="G3646" s="41" t="s">
        <v>2934</v>
      </c>
    </row>
    <row r="3647" spans="1:7" x14ac:dyDescent="0.25">
      <c r="A3647" s="41" t="s">
        <v>7050</v>
      </c>
      <c r="B3647" s="41" t="s">
        <v>7049</v>
      </c>
      <c r="C3647" s="41" t="s">
        <v>7045</v>
      </c>
      <c r="E3647" s="41" t="s">
        <v>7013</v>
      </c>
      <c r="F3647" s="41" t="s">
        <v>7016</v>
      </c>
      <c r="G3647" s="41" t="s">
        <v>2931</v>
      </c>
    </row>
    <row r="3648" spans="1:7" x14ac:dyDescent="0.25">
      <c r="A3648" s="41" t="s">
        <v>7051</v>
      </c>
      <c r="B3648" s="41" t="s">
        <v>7049</v>
      </c>
      <c r="C3648" s="41" t="s">
        <v>7045</v>
      </c>
      <c r="E3648" s="41" t="s">
        <v>7013</v>
      </c>
      <c r="F3648" s="41" t="s">
        <v>7018</v>
      </c>
      <c r="G3648" s="41" t="s">
        <v>2950</v>
      </c>
    </row>
    <row r="3649" spans="1:7" x14ac:dyDescent="0.25">
      <c r="A3649" s="41" t="s">
        <v>7052</v>
      </c>
      <c r="B3649" s="41" t="s">
        <v>7053</v>
      </c>
      <c r="C3649" s="41" t="s">
        <v>7054</v>
      </c>
      <c r="E3649" s="41" t="s">
        <v>7013</v>
      </c>
      <c r="F3649" s="41" t="s">
        <v>7014</v>
      </c>
      <c r="G3649" s="41" t="s">
        <v>2934</v>
      </c>
    </row>
    <row r="3650" spans="1:7" x14ac:dyDescent="0.25">
      <c r="A3650" s="41" t="s">
        <v>7055</v>
      </c>
      <c r="B3650" s="41" t="s">
        <v>7053</v>
      </c>
      <c r="C3650" s="41" t="s">
        <v>7054</v>
      </c>
      <c r="E3650" s="41" t="s">
        <v>7013</v>
      </c>
      <c r="F3650" s="41" t="s">
        <v>7016</v>
      </c>
      <c r="G3650" s="41" t="s">
        <v>2931</v>
      </c>
    </row>
    <row r="3651" spans="1:7" x14ac:dyDescent="0.25">
      <c r="A3651" s="41" t="s">
        <v>7056</v>
      </c>
      <c r="B3651" s="41" t="s">
        <v>7053</v>
      </c>
      <c r="C3651" s="41" t="s">
        <v>7054</v>
      </c>
      <c r="E3651" s="41" t="s">
        <v>7013</v>
      </c>
      <c r="F3651" s="41" t="s">
        <v>7018</v>
      </c>
      <c r="G3651" s="41" t="s">
        <v>2950</v>
      </c>
    </row>
    <row r="3652" spans="1:7" x14ac:dyDescent="0.25">
      <c r="A3652" s="41" t="s">
        <v>7057</v>
      </c>
      <c r="B3652" s="41" t="s">
        <v>7058</v>
      </c>
      <c r="C3652" s="41" t="s">
        <v>7012</v>
      </c>
      <c r="E3652" s="41" t="s">
        <v>7013</v>
      </c>
      <c r="F3652" s="41" t="s">
        <v>7014</v>
      </c>
      <c r="G3652" s="41" t="s">
        <v>2934</v>
      </c>
    </row>
    <row r="3653" spans="1:7" x14ac:dyDescent="0.25">
      <c r="A3653" s="41" t="s">
        <v>7059</v>
      </c>
      <c r="B3653" s="41" t="s">
        <v>7058</v>
      </c>
      <c r="C3653" s="41" t="s">
        <v>7012</v>
      </c>
      <c r="E3653" s="41" t="s">
        <v>7013</v>
      </c>
      <c r="F3653" s="41" t="s">
        <v>7016</v>
      </c>
      <c r="G3653" s="41" t="s">
        <v>2931</v>
      </c>
    </row>
    <row r="3654" spans="1:7" x14ac:dyDescent="0.25">
      <c r="A3654" s="41" t="s">
        <v>7060</v>
      </c>
      <c r="B3654" s="41" t="s">
        <v>7058</v>
      </c>
      <c r="C3654" s="41" t="s">
        <v>7012</v>
      </c>
      <c r="E3654" s="41" t="s">
        <v>7013</v>
      </c>
      <c r="F3654" s="41" t="s">
        <v>7018</v>
      </c>
      <c r="G3654" s="41" t="s">
        <v>2950</v>
      </c>
    </row>
    <row r="3655" spans="1:7" x14ac:dyDescent="0.25">
      <c r="A3655" s="41" t="s">
        <v>7061</v>
      </c>
      <c r="B3655" s="41" t="s">
        <v>7062</v>
      </c>
      <c r="C3655" s="41" t="s">
        <v>6961</v>
      </c>
      <c r="D3655" s="41" t="s">
        <v>7063</v>
      </c>
      <c r="E3655" s="41" t="s">
        <v>2984</v>
      </c>
      <c r="F3655" s="41" t="s">
        <v>2930</v>
      </c>
      <c r="G3655" s="41" t="s">
        <v>2931</v>
      </c>
    </row>
    <row r="3656" spans="1:7" x14ac:dyDescent="0.25">
      <c r="A3656" s="41" t="s">
        <v>7064</v>
      </c>
      <c r="B3656" s="41" t="s">
        <v>7065</v>
      </c>
      <c r="C3656" s="41" t="s">
        <v>77</v>
      </c>
      <c r="D3656" s="41" t="s">
        <v>7066</v>
      </c>
      <c r="E3656" s="41" t="s">
        <v>2984</v>
      </c>
      <c r="F3656" s="41" t="s">
        <v>2933</v>
      </c>
      <c r="G3656" s="41" t="s">
        <v>2934</v>
      </c>
    </row>
    <row r="3657" spans="1:7" x14ac:dyDescent="0.25">
      <c r="A3657" s="41" t="s">
        <v>7067</v>
      </c>
      <c r="B3657" s="41" t="s">
        <v>7068</v>
      </c>
      <c r="C3657" s="41" t="s">
        <v>77</v>
      </c>
      <c r="D3657" s="41" t="s">
        <v>7069</v>
      </c>
      <c r="E3657" s="41" t="s">
        <v>2929</v>
      </c>
      <c r="F3657" s="41" t="s">
        <v>2930</v>
      </c>
      <c r="G3657" s="41" t="s">
        <v>2931</v>
      </c>
    </row>
    <row r="3658" spans="1:7" x14ac:dyDescent="0.25">
      <c r="A3658" s="41" t="s">
        <v>7070</v>
      </c>
      <c r="B3658" s="41" t="s">
        <v>6836</v>
      </c>
      <c r="C3658" s="41" t="s">
        <v>3097</v>
      </c>
      <c r="D3658" s="41" t="s">
        <v>6837</v>
      </c>
      <c r="E3658" s="41" t="s">
        <v>2984</v>
      </c>
      <c r="F3658" s="41" t="s">
        <v>2949</v>
      </c>
      <c r="G3658" s="41" t="s">
        <v>2950</v>
      </c>
    </row>
    <row r="3659" spans="1:7" x14ac:dyDescent="0.25">
      <c r="A3659" s="41" t="s">
        <v>7071</v>
      </c>
      <c r="B3659" s="41" t="s">
        <v>6822</v>
      </c>
      <c r="C3659" s="41" t="s">
        <v>78</v>
      </c>
      <c r="D3659" s="41" t="s">
        <v>6823</v>
      </c>
      <c r="E3659" s="41" t="s">
        <v>2929</v>
      </c>
      <c r="F3659" s="41" t="s">
        <v>2933</v>
      </c>
      <c r="G3659" s="41" t="s">
        <v>2934</v>
      </c>
    </row>
    <row r="3660" spans="1:7" x14ac:dyDescent="0.25">
      <c r="A3660" s="41" t="s">
        <v>7072</v>
      </c>
      <c r="B3660" s="41" t="s">
        <v>6814</v>
      </c>
      <c r="C3660" s="41" t="s">
        <v>1239</v>
      </c>
      <c r="D3660" s="41" t="s">
        <v>6815</v>
      </c>
      <c r="E3660" s="41" t="s">
        <v>2929</v>
      </c>
      <c r="F3660" s="41" t="s">
        <v>2933</v>
      </c>
      <c r="G3660" s="41" t="s">
        <v>2934</v>
      </c>
    </row>
    <row r="3661" spans="1:7" x14ac:dyDescent="0.25">
      <c r="A3661" s="41" t="s">
        <v>7073</v>
      </c>
      <c r="B3661" s="41" t="s">
        <v>6830</v>
      </c>
      <c r="C3661" s="41" t="s">
        <v>6831</v>
      </c>
      <c r="D3661" s="41" t="s">
        <v>6832</v>
      </c>
      <c r="E3661" s="41" t="s">
        <v>2984</v>
      </c>
      <c r="F3661" s="41" t="s">
        <v>2949</v>
      </c>
      <c r="G3661" s="41" t="s">
        <v>2950</v>
      </c>
    </row>
    <row r="3662" spans="1:7" x14ac:dyDescent="0.25">
      <c r="A3662" s="41" t="s">
        <v>7074</v>
      </c>
      <c r="B3662" s="41" t="s">
        <v>7075</v>
      </c>
      <c r="C3662" s="41" t="s">
        <v>4366</v>
      </c>
      <c r="D3662" s="41" t="s">
        <v>7076</v>
      </c>
      <c r="E3662" s="41" t="s">
        <v>2984</v>
      </c>
      <c r="F3662" s="41" t="s">
        <v>2930</v>
      </c>
      <c r="G3662" s="41" t="s">
        <v>2931</v>
      </c>
    </row>
    <row r="3663" spans="1:7" x14ac:dyDescent="0.25">
      <c r="A3663" s="41" t="s">
        <v>7077</v>
      </c>
      <c r="B3663" s="41" t="s">
        <v>6830</v>
      </c>
      <c r="C3663" s="41" t="s">
        <v>6831</v>
      </c>
      <c r="D3663" s="41" t="s">
        <v>6832</v>
      </c>
      <c r="E3663" s="41" t="s">
        <v>2929</v>
      </c>
      <c r="F3663" s="41" t="s">
        <v>2949</v>
      </c>
      <c r="G3663" s="41" t="s">
        <v>2950</v>
      </c>
    </row>
    <row r="3664" spans="1:7" x14ac:dyDescent="0.25">
      <c r="A3664" s="41" t="s">
        <v>7078</v>
      </c>
      <c r="B3664" s="41" t="s">
        <v>6836</v>
      </c>
      <c r="C3664" s="41" t="s">
        <v>3097</v>
      </c>
      <c r="D3664" s="41" t="s">
        <v>6837</v>
      </c>
      <c r="E3664" s="41" t="s">
        <v>2929</v>
      </c>
      <c r="F3664" s="41" t="s">
        <v>2949</v>
      </c>
      <c r="G3664" s="41" t="s">
        <v>2950</v>
      </c>
    </row>
    <row r="3665" spans="1:7" x14ac:dyDescent="0.25">
      <c r="A3665" s="41" t="s">
        <v>7079</v>
      </c>
      <c r="B3665" s="41" t="s">
        <v>7080</v>
      </c>
      <c r="C3665" s="41" t="s">
        <v>77</v>
      </c>
      <c r="D3665" s="41" t="s">
        <v>7081</v>
      </c>
      <c r="E3665" s="41" t="s">
        <v>2929</v>
      </c>
      <c r="F3665" s="41" t="s">
        <v>2930</v>
      </c>
      <c r="G3665" s="41" t="s">
        <v>2934</v>
      </c>
    </row>
    <row r="3666" spans="1:7" x14ac:dyDescent="0.25">
      <c r="A3666" s="41" t="s">
        <v>7082</v>
      </c>
      <c r="B3666" s="41" t="s">
        <v>7083</v>
      </c>
      <c r="C3666" s="41" t="s">
        <v>1239</v>
      </c>
      <c r="D3666" s="41" t="s">
        <v>7084</v>
      </c>
      <c r="E3666" s="41" t="s">
        <v>2929</v>
      </c>
      <c r="F3666" s="41" t="s">
        <v>2930</v>
      </c>
      <c r="G3666" s="41" t="s">
        <v>2934</v>
      </c>
    </row>
    <row r="3667" spans="1:7" x14ac:dyDescent="0.25">
      <c r="A3667" s="41" t="s">
        <v>7085</v>
      </c>
      <c r="B3667" s="41" t="s">
        <v>6822</v>
      </c>
      <c r="C3667" s="41" t="s">
        <v>78</v>
      </c>
      <c r="D3667" s="41" t="s">
        <v>6823</v>
      </c>
      <c r="E3667" s="41" t="s">
        <v>2929</v>
      </c>
      <c r="F3667" s="41" t="s">
        <v>2930</v>
      </c>
      <c r="G3667" s="41" t="s">
        <v>2934</v>
      </c>
    </row>
    <row r="3668" spans="1:7" x14ac:dyDescent="0.25">
      <c r="A3668" s="41" t="s">
        <v>7086</v>
      </c>
      <c r="B3668" s="41" t="s">
        <v>3674</v>
      </c>
      <c r="C3668" s="41" t="s">
        <v>77</v>
      </c>
      <c r="D3668" s="41" t="s">
        <v>3675</v>
      </c>
      <c r="E3668" s="41" t="s">
        <v>2929</v>
      </c>
      <c r="F3668" s="41" t="s">
        <v>2930</v>
      </c>
      <c r="G3668" s="41" t="s">
        <v>2931</v>
      </c>
    </row>
    <row r="3669" spans="1:7" x14ac:dyDescent="0.25">
      <c r="A3669" s="41" t="s">
        <v>7087</v>
      </c>
      <c r="B3669" s="41" t="s">
        <v>7088</v>
      </c>
      <c r="C3669" s="41" t="s">
        <v>77</v>
      </c>
      <c r="D3669" s="41" t="s">
        <v>7089</v>
      </c>
      <c r="E3669" s="41" t="s">
        <v>2984</v>
      </c>
      <c r="F3669" s="41" t="s">
        <v>2949</v>
      </c>
      <c r="G3669" s="41" t="s">
        <v>2931</v>
      </c>
    </row>
    <row r="3670" spans="1:7" x14ac:dyDescent="0.25">
      <c r="A3670" s="41" t="s">
        <v>7090</v>
      </c>
      <c r="B3670" s="41" t="s">
        <v>6867</v>
      </c>
      <c r="C3670" s="41" t="s">
        <v>78</v>
      </c>
      <c r="D3670" s="41" t="s">
        <v>6868</v>
      </c>
      <c r="E3670" s="41" t="s">
        <v>2984</v>
      </c>
      <c r="F3670" s="41" t="s">
        <v>2933</v>
      </c>
      <c r="G3670" s="41" t="s">
        <v>2934</v>
      </c>
    </row>
    <row r="3671" spans="1:7" x14ac:dyDescent="0.25">
      <c r="A3671" s="41" t="s">
        <v>7091</v>
      </c>
      <c r="B3671" s="41" t="s">
        <v>7092</v>
      </c>
      <c r="C3671" s="41" t="s">
        <v>469</v>
      </c>
      <c r="D3671" s="41" t="s">
        <v>7093</v>
      </c>
      <c r="E3671" s="41" t="s">
        <v>2984</v>
      </c>
      <c r="F3671" s="41" t="s">
        <v>6969</v>
      </c>
      <c r="G3671" s="41" t="s">
        <v>2931</v>
      </c>
    </row>
    <row r="3672" spans="1:7" x14ac:dyDescent="0.25">
      <c r="A3672" s="41" t="s">
        <v>7094</v>
      </c>
      <c r="B3672" s="41" t="s">
        <v>7095</v>
      </c>
      <c r="C3672" s="41" t="s">
        <v>469</v>
      </c>
      <c r="D3672" s="41" t="s">
        <v>7096</v>
      </c>
      <c r="E3672" s="41" t="s">
        <v>2984</v>
      </c>
      <c r="F3672" s="41" t="s">
        <v>6969</v>
      </c>
      <c r="G3672" s="41" t="s">
        <v>2931</v>
      </c>
    </row>
    <row r="3673" spans="1:7" x14ac:dyDescent="0.25">
      <c r="A3673" s="41" t="s">
        <v>7097</v>
      </c>
      <c r="B3673" s="41" t="s">
        <v>7098</v>
      </c>
      <c r="C3673" s="41" t="s">
        <v>74</v>
      </c>
      <c r="D3673" s="41" t="s">
        <v>5776</v>
      </c>
      <c r="E3673" s="41" t="s">
        <v>2984</v>
      </c>
      <c r="F3673" s="41" t="s">
        <v>2930</v>
      </c>
      <c r="G3673" s="41" t="s">
        <v>2931</v>
      </c>
    </row>
    <row r="3674" spans="1:7" x14ac:dyDescent="0.25">
      <c r="A3674" s="41" t="s">
        <v>7099</v>
      </c>
      <c r="B3674" s="41" t="s">
        <v>6915</v>
      </c>
      <c r="C3674" s="41" t="s">
        <v>3097</v>
      </c>
      <c r="D3674" s="41" t="s">
        <v>6916</v>
      </c>
      <c r="E3674" s="41" t="s">
        <v>2929</v>
      </c>
      <c r="F3674" s="41" t="s">
        <v>2930</v>
      </c>
      <c r="G3674" s="41" t="s">
        <v>2931</v>
      </c>
    </row>
    <row r="3675" spans="1:7" x14ac:dyDescent="0.25">
      <c r="A3675" s="41" t="s">
        <v>7100</v>
      </c>
      <c r="B3675" s="41" t="s">
        <v>3290</v>
      </c>
      <c r="C3675" s="41" t="s">
        <v>1239</v>
      </c>
      <c r="D3675" s="41" t="s">
        <v>3291</v>
      </c>
      <c r="E3675" s="41" t="s">
        <v>2929</v>
      </c>
      <c r="F3675" s="41" t="s">
        <v>2933</v>
      </c>
      <c r="G3675" s="41" t="s">
        <v>2934</v>
      </c>
    </row>
    <row r="3676" spans="1:7" x14ac:dyDescent="0.25">
      <c r="A3676" s="41" t="s">
        <v>7101</v>
      </c>
      <c r="B3676" s="41" t="s">
        <v>7102</v>
      </c>
      <c r="C3676" s="41" t="s">
        <v>74</v>
      </c>
      <c r="D3676" s="41" t="s">
        <v>7103</v>
      </c>
      <c r="E3676" s="41" t="s">
        <v>2929</v>
      </c>
      <c r="F3676" s="41" t="s">
        <v>2949</v>
      </c>
      <c r="G3676" s="41" t="s">
        <v>2950</v>
      </c>
    </row>
    <row r="3677" spans="1:7" x14ac:dyDescent="0.25">
      <c r="A3677" s="41" t="s">
        <v>7104</v>
      </c>
      <c r="B3677" s="41" t="s">
        <v>7105</v>
      </c>
      <c r="C3677" s="41" t="s">
        <v>4366</v>
      </c>
      <c r="D3677" s="41" t="s">
        <v>7106</v>
      </c>
      <c r="E3677" s="41" t="s">
        <v>2929</v>
      </c>
      <c r="F3677" s="41" t="s">
        <v>2949</v>
      </c>
      <c r="G3677" s="41" t="s">
        <v>2950</v>
      </c>
    </row>
    <row r="3678" spans="1:7" x14ac:dyDescent="0.25">
      <c r="A3678" s="41" t="s">
        <v>7107</v>
      </c>
      <c r="B3678" s="41" t="s">
        <v>7108</v>
      </c>
      <c r="C3678" s="41" t="s">
        <v>78</v>
      </c>
      <c r="D3678" s="41" t="s">
        <v>7109</v>
      </c>
      <c r="E3678" s="41" t="s">
        <v>2929</v>
      </c>
      <c r="F3678" s="41" t="s">
        <v>2949</v>
      </c>
      <c r="G3678" s="41" t="s">
        <v>2950</v>
      </c>
    </row>
    <row r="3679" spans="1:7" x14ac:dyDescent="0.25">
      <c r="A3679" s="41" t="s">
        <v>7110</v>
      </c>
      <c r="B3679" s="41" t="s">
        <v>7111</v>
      </c>
      <c r="C3679" s="41" t="s">
        <v>95</v>
      </c>
      <c r="D3679" s="41" t="s">
        <v>7112</v>
      </c>
      <c r="E3679" s="41" t="s">
        <v>2929</v>
      </c>
      <c r="F3679" s="41" t="s">
        <v>2949</v>
      </c>
      <c r="G3679" s="41" t="s">
        <v>2950</v>
      </c>
    </row>
    <row r="3680" spans="1:7" x14ac:dyDescent="0.25">
      <c r="A3680" s="41" t="s">
        <v>7113</v>
      </c>
      <c r="B3680" s="41" t="s">
        <v>7114</v>
      </c>
      <c r="C3680" s="41" t="s">
        <v>3097</v>
      </c>
      <c r="D3680" s="41" t="s">
        <v>7115</v>
      </c>
      <c r="E3680" s="41" t="s">
        <v>2929</v>
      </c>
      <c r="F3680" s="41" t="s">
        <v>2949</v>
      </c>
      <c r="G3680" s="41" t="s">
        <v>2950</v>
      </c>
    </row>
    <row r="3681" spans="1:7" x14ac:dyDescent="0.25">
      <c r="A3681" s="41" t="s">
        <v>7116</v>
      </c>
      <c r="B3681" s="41" t="s">
        <v>7117</v>
      </c>
      <c r="C3681" s="41" t="s">
        <v>4366</v>
      </c>
      <c r="D3681" s="41" t="s">
        <v>7118</v>
      </c>
      <c r="E3681" s="41" t="s">
        <v>2929</v>
      </c>
      <c r="F3681" s="41" t="s">
        <v>2949</v>
      </c>
      <c r="G3681" s="41" t="s">
        <v>2950</v>
      </c>
    </row>
    <row r="3682" spans="1:7" x14ac:dyDescent="0.25">
      <c r="A3682" s="41" t="s">
        <v>7119</v>
      </c>
      <c r="B3682" s="41" t="s">
        <v>7120</v>
      </c>
      <c r="C3682" s="41" t="s">
        <v>4366</v>
      </c>
      <c r="D3682" s="41" t="s">
        <v>7121</v>
      </c>
      <c r="E3682" s="41" t="s">
        <v>2929</v>
      </c>
      <c r="F3682" s="41" t="s">
        <v>2930</v>
      </c>
      <c r="G3682" s="41" t="s">
        <v>2931</v>
      </c>
    </row>
    <row r="3683" spans="1:7" x14ac:dyDescent="0.25">
      <c r="A3683" s="41" t="s">
        <v>7122</v>
      </c>
      <c r="B3683" s="41" t="s">
        <v>7123</v>
      </c>
      <c r="C3683" s="41" t="s">
        <v>77</v>
      </c>
      <c r="D3683" s="41" t="s">
        <v>7124</v>
      </c>
      <c r="E3683" s="41" t="s">
        <v>2929</v>
      </c>
      <c r="F3683" s="41" t="s">
        <v>2930</v>
      </c>
      <c r="G3683" s="41" t="s">
        <v>2934</v>
      </c>
    </row>
    <row r="3684" spans="1:7" x14ac:dyDescent="0.25">
      <c r="A3684" s="41" t="s">
        <v>7125</v>
      </c>
      <c r="B3684" s="41" t="s">
        <v>2983</v>
      </c>
      <c r="C3684" s="41" t="s">
        <v>95</v>
      </c>
      <c r="D3684" s="41" t="s">
        <v>106</v>
      </c>
      <c r="E3684" s="41" t="s">
        <v>2929</v>
      </c>
      <c r="F3684" s="41" t="s">
        <v>2949</v>
      </c>
      <c r="G3684" s="41" t="s">
        <v>2950</v>
      </c>
    </row>
    <row r="3685" spans="1:7" x14ac:dyDescent="0.25">
      <c r="A3685" s="41" t="s">
        <v>7126</v>
      </c>
      <c r="B3685" s="41" t="s">
        <v>7127</v>
      </c>
      <c r="C3685" s="41" t="s">
        <v>78</v>
      </c>
      <c r="D3685" s="41" t="s">
        <v>7128</v>
      </c>
      <c r="E3685" s="41" t="s">
        <v>2929</v>
      </c>
      <c r="F3685" s="41" t="s">
        <v>2949</v>
      </c>
      <c r="G3685" s="41" t="s">
        <v>2950</v>
      </c>
    </row>
    <row r="3686" spans="1:7" x14ac:dyDescent="0.25">
      <c r="A3686" s="41" t="s">
        <v>7129</v>
      </c>
      <c r="B3686" s="41" t="s">
        <v>3709</v>
      </c>
      <c r="C3686" s="41" t="s">
        <v>77</v>
      </c>
      <c r="D3686" s="41" t="s">
        <v>3710</v>
      </c>
      <c r="E3686" s="41" t="s">
        <v>2984</v>
      </c>
      <c r="F3686" s="41" t="s">
        <v>2949</v>
      </c>
      <c r="G3686" s="41" t="s">
        <v>2950</v>
      </c>
    </row>
    <row r="3687" spans="1:7" x14ac:dyDescent="0.25">
      <c r="A3687" s="41" t="s">
        <v>7130</v>
      </c>
      <c r="B3687" s="41" t="s">
        <v>7127</v>
      </c>
      <c r="C3687" s="41" t="s">
        <v>78</v>
      </c>
      <c r="D3687" s="41" t="s">
        <v>7128</v>
      </c>
      <c r="E3687" s="41" t="s">
        <v>2929</v>
      </c>
      <c r="F3687" s="41" t="s">
        <v>2933</v>
      </c>
      <c r="G3687" s="41" t="s">
        <v>2934</v>
      </c>
    </row>
    <row r="3688" spans="1:7" x14ac:dyDescent="0.25">
      <c r="A3688" s="41" t="s">
        <v>7131</v>
      </c>
      <c r="B3688" s="41" t="s">
        <v>6867</v>
      </c>
      <c r="C3688" s="41" t="s">
        <v>78</v>
      </c>
      <c r="D3688" s="41" t="s">
        <v>6868</v>
      </c>
      <c r="E3688" s="41" t="s">
        <v>2984</v>
      </c>
      <c r="F3688" s="41" t="s">
        <v>2949</v>
      </c>
      <c r="G3688" s="41" t="s">
        <v>2950</v>
      </c>
    </row>
    <row r="3689" spans="1:7" x14ac:dyDescent="0.25">
      <c r="A3689" s="41" t="s">
        <v>7132</v>
      </c>
      <c r="B3689" s="41" t="s">
        <v>4206</v>
      </c>
      <c r="C3689" s="41" t="s">
        <v>3097</v>
      </c>
      <c r="D3689" s="41" t="s">
        <v>4207</v>
      </c>
      <c r="E3689" s="41" t="s">
        <v>2929</v>
      </c>
      <c r="F3689" s="41" t="s">
        <v>2949</v>
      </c>
      <c r="G3689" s="41" t="s">
        <v>2950</v>
      </c>
    </row>
    <row r="3690" spans="1:7" x14ac:dyDescent="0.25">
      <c r="A3690" s="41" t="s">
        <v>7133</v>
      </c>
      <c r="B3690" s="41" t="s">
        <v>4200</v>
      </c>
      <c r="C3690" s="41" t="s">
        <v>1239</v>
      </c>
      <c r="D3690" s="41" t="s">
        <v>4201</v>
      </c>
      <c r="E3690" s="41" t="s">
        <v>2929</v>
      </c>
      <c r="F3690" s="41" t="s">
        <v>2933</v>
      </c>
      <c r="G3690" s="41" t="s">
        <v>2934</v>
      </c>
    </row>
    <row r="3691" spans="1:7" x14ac:dyDescent="0.25">
      <c r="A3691" s="41" t="s">
        <v>7134</v>
      </c>
      <c r="B3691" s="41" t="s">
        <v>7135</v>
      </c>
      <c r="C3691" s="41" t="s">
        <v>77</v>
      </c>
      <c r="D3691" s="41" t="s">
        <v>7136</v>
      </c>
      <c r="E3691" s="41" t="s">
        <v>2929</v>
      </c>
      <c r="F3691" s="41" t="s">
        <v>2933</v>
      </c>
      <c r="G3691" s="41" t="s">
        <v>2934</v>
      </c>
    </row>
    <row r="3692" spans="1:7" x14ac:dyDescent="0.25">
      <c r="A3692" s="41" t="s">
        <v>7137</v>
      </c>
      <c r="B3692" s="41" t="s">
        <v>4203</v>
      </c>
      <c r="C3692" s="41" t="s">
        <v>78</v>
      </c>
      <c r="D3692" s="41" t="s">
        <v>4204</v>
      </c>
      <c r="E3692" s="41" t="s">
        <v>2984</v>
      </c>
      <c r="F3692" s="41" t="s">
        <v>2949</v>
      </c>
      <c r="G3692" s="41" t="s">
        <v>2950</v>
      </c>
    </row>
    <row r="3693" spans="1:7" x14ac:dyDescent="0.25">
      <c r="A3693" s="41" t="s">
        <v>7138</v>
      </c>
      <c r="B3693" s="41" t="s">
        <v>3271</v>
      </c>
      <c r="C3693" s="41" t="s">
        <v>74</v>
      </c>
      <c r="D3693" s="41" t="s">
        <v>3272</v>
      </c>
      <c r="E3693" s="41" t="s">
        <v>2929</v>
      </c>
      <c r="F3693" s="41" t="s">
        <v>2933</v>
      </c>
      <c r="G3693" s="41" t="s">
        <v>2934</v>
      </c>
    </row>
    <row r="3694" spans="1:7" x14ac:dyDescent="0.25">
      <c r="A3694" s="41" t="s">
        <v>7139</v>
      </c>
      <c r="B3694" s="41" t="s">
        <v>3271</v>
      </c>
      <c r="C3694" s="41" t="s">
        <v>74</v>
      </c>
      <c r="D3694" s="41" t="s">
        <v>3272</v>
      </c>
      <c r="E3694" s="41" t="s">
        <v>2929</v>
      </c>
      <c r="F3694" s="41" t="s">
        <v>2949</v>
      </c>
      <c r="G3694" s="41" t="s">
        <v>2950</v>
      </c>
    </row>
    <row r="3695" spans="1:7" x14ac:dyDescent="0.25">
      <c r="A3695" s="41" t="s">
        <v>7140</v>
      </c>
      <c r="B3695" s="41" t="s">
        <v>3239</v>
      </c>
      <c r="C3695" s="41" t="s">
        <v>74</v>
      </c>
      <c r="D3695" s="41" t="s">
        <v>3240</v>
      </c>
      <c r="E3695" s="41" t="s">
        <v>2929</v>
      </c>
      <c r="F3695" s="41" t="s">
        <v>2949</v>
      </c>
      <c r="G3695" s="41" t="s">
        <v>2950</v>
      </c>
    </row>
    <row r="3696" spans="1:7" x14ac:dyDescent="0.25">
      <c r="A3696" s="41" t="s">
        <v>7141</v>
      </c>
      <c r="B3696" s="41" t="s">
        <v>4179</v>
      </c>
      <c r="C3696" s="41" t="s">
        <v>74</v>
      </c>
      <c r="D3696" s="41" t="s">
        <v>4180</v>
      </c>
      <c r="E3696" s="41" t="s">
        <v>2929</v>
      </c>
      <c r="F3696" s="41" t="s">
        <v>2933</v>
      </c>
      <c r="G3696" s="41" t="s">
        <v>2934</v>
      </c>
    </row>
    <row r="3697" spans="1:7" x14ac:dyDescent="0.25">
      <c r="A3697" s="41" t="s">
        <v>7142</v>
      </c>
      <c r="B3697" s="41" t="s">
        <v>6794</v>
      </c>
      <c r="C3697" s="41" t="s">
        <v>74</v>
      </c>
      <c r="D3697" s="41" t="s">
        <v>6795</v>
      </c>
      <c r="E3697" s="41" t="s">
        <v>2929</v>
      </c>
      <c r="F3697" s="41" t="s">
        <v>2930</v>
      </c>
      <c r="G3697" s="41" t="s">
        <v>2931</v>
      </c>
    </row>
    <row r="3698" spans="1:7" x14ac:dyDescent="0.25">
      <c r="A3698" s="41" t="s">
        <v>7143</v>
      </c>
      <c r="B3698" s="41" t="s">
        <v>7144</v>
      </c>
      <c r="C3698" s="41" t="s">
        <v>128</v>
      </c>
      <c r="D3698" s="41" t="s">
        <v>7145</v>
      </c>
      <c r="E3698" s="41" t="s">
        <v>2984</v>
      </c>
      <c r="F3698" s="41" t="s">
        <v>2933</v>
      </c>
      <c r="G3698" s="41" t="s">
        <v>2934</v>
      </c>
    </row>
    <row r="3699" spans="1:7" x14ac:dyDescent="0.25">
      <c r="A3699" s="41" t="s">
        <v>7146</v>
      </c>
      <c r="B3699" s="41" t="s">
        <v>7147</v>
      </c>
      <c r="C3699" s="41" t="s">
        <v>6890</v>
      </c>
      <c r="D3699" s="41" t="s">
        <v>7148</v>
      </c>
      <c r="E3699" s="41" t="s">
        <v>2929</v>
      </c>
      <c r="F3699" s="41" t="s">
        <v>6969</v>
      </c>
      <c r="G3699" s="41" t="s">
        <v>2931</v>
      </c>
    </row>
    <row r="3700" spans="1:7" x14ac:dyDescent="0.25">
      <c r="A3700" s="41" t="s">
        <v>7149</v>
      </c>
      <c r="B3700" s="41" t="s">
        <v>7150</v>
      </c>
      <c r="C3700" s="41" t="s">
        <v>95</v>
      </c>
      <c r="D3700" s="41" t="s">
        <v>7151</v>
      </c>
      <c r="E3700" s="41" t="s">
        <v>2929</v>
      </c>
      <c r="F3700" s="41" t="s">
        <v>2930</v>
      </c>
      <c r="G3700" s="41" t="s">
        <v>2931</v>
      </c>
    </row>
    <row r="3701" spans="1:7" x14ac:dyDescent="0.25">
      <c r="A3701" s="41" t="s">
        <v>7152</v>
      </c>
      <c r="B3701" s="41" t="s">
        <v>3129</v>
      </c>
      <c r="C3701" s="41" t="s">
        <v>77</v>
      </c>
      <c r="D3701" s="41" t="s">
        <v>3130</v>
      </c>
      <c r="E3701" s="41" t="s">
        <v>3009</v>
      </c>
      <c r="F3701" s="41" t="s">
        <v>2933</v>
      </c>
      <c r="G3701" s="41" t="s">
        <v>2934</v>
      </c>
    </row>
    <row r="3702" spans="1:7" x14ac:dyDescent="0.25">
      <c r="A3702" s="41" t="s">
        <v>7153</v>
      </c>
      <c r="B3702" s="41" t="s">
        <v>3141</v>
      </c>
      <c r="C3702" s="41" t="s">
        <v>74</v>
      </c>
      <c r="D3702" s="41" t="s">
        <v>3142</v>
      </c>
      <c r="E3702" s="41" t="s">
        <v>2929</v>
      </c>
      <c r="F3702" s="41" t="s">
        <v>2949</v>
      </c>
      <c r="G3702" s="41" t="s">
        <v>2950</v>
      </c>
    </row>
    <row r="3703" spans="1:7" x14ac:dyDescent="0.25">
      <c r="A3703" s="41" t="s">
        <v>7154</v>
      </c>
      <c r="B3703" s="41" t="s">
        <v>3170</v>
      </c>
      <c r="C3703" s="41" t="s">
        <v>78</v>
      </c>
      <c r="D3703" s="41" t="s">
        <v>3171</v>
      </c>
      <c r="E3703" s="41" t="s">
        <v>2929</v>
      </c>
      <c r="F3703" s="41" t="s">
        <v>2933</v>
      </c>
      <c r="G3703" s="41" t="s">
        <v>2934</v>
      </c>
    </row>
    <row r="3704" spans="1:7" x14ac:dyDescent="0.25">
      <c r="A3704" s="41" t="s">
        <v>7155</v>
      </c>
      <c r="B3704" s="41" t="s">
        <v>7156</v>
      </c>
      <c r="C3704" s="41" t="s">
        <v>3097</v>
      </c>
      <c r="D3704" s="41" t="s">
        <v>7157</v>
      </c>
      <c r="E3704" s="41" t="s">
        <v>2929</v>
      </c>
      <c r="F3704" s="41" t="s">
        <v>2933</v>
      </c>
      <c r="G3704" s="41" t="s">
        <v>2934</v>
      </c>
    </row>
    <row r="3705" spans="1:7" x14ac:dyDescent="0.25">
      <c r="A3705" s="41" t="s">
        <v>7158</v>
      </c>
      <c r="B3705" s="41" t="s">
        <v>6867</v>
      </c>
      <c r="C3705" s="41" t="s">
        <v>78</v>
      </c>
      <c r="D3705" s="41" t="s">
        <v>6868</v>
      </c>
      <c r="E3705" s="41" t="s">
        <v>2984</v>
      </c>
      <c r="F3705" s="41" t="s">
        <v>2949</v>
      </c>
      <c r="G3705" s="41" t="s">
        <v>2950</v>
      </c>
    </row>
    <row r="3706" spans="1:7" x14ac:dyDescent="0.25">
      <c r="A3706" s="41" t="s">
        <v>7159</v>
      </c>
      <c r="B3706" s="41" t="s">
        <v>6897</v>
      </c>
      <c r="C3706" s="41" t="s">
        <v>1239</v>
      </c>
      <c r="D3706" s="41" t="s">
        <v>973</v>
      </c>
      <c r="E3706" s="41" t="s">
        <v>2984</v>
      </c>
      <c r="F3706" s="41" t="s">
        <v>2933</v>
      </c>
      <c r="G3706" s="41" t="s">
        <v>2934</v>
      </c>
    </row>
    <row r="3707" spans="1:7" x14ac:dyDescent="0.25">
      <c r="A3707" s="41" t="s">
        <v>7160</v>
      </c>
      <c r="B3707" s="41" t="s">
        <v>3239</v>
      </c>
      <c r="C3707" s="41" t="s">
        <v>74</v>
      </c>
      <c r="D3707" s="41" t="s">
        <v>3240</v>
      </c>
      <c r="E3707" s="41" t="s">
        <v>2929</v>
      </c>
      <c r="F3707" s="41" t="s">
        <v>2930</v>
      </c>
      <c r="G3707" s="41" t="s">
        <v>2931</v>
      </c>
    </row>
    <row r="3708" spans="1:7" x14ac:dyDescent="0.25">
      <c r="A3708" s="41" t="s">
        <v>7161</v>
      </c>
      <c r="B3708" s="41" t="s">
        <v>3290</v>
      </c>
      <c r="C3708" s="41" t="s">
        <v>1239</v>
      </c>
      <c r="D3708" s="41" t="s">
        <v>3291</v>
      </c>
      <c r="E3708" s="41" t="s">
        <v>2929</v>
      </c>
      <c r="F3708" s="41" t="s">
        <v>2933</v>
      </c>
      <c r="G3708" s="41" t="s">
        <v>2934</v>
      </c>
    </row>
    <row r="3709" spans="1:7" x14ac:dyDescent="0.25">
      <c r="A3709" s="41" t="s">
        <v>7162</v>
      </c>
      <c r="B3709" s="41" t="s">
        <v>3299</v>
      </c>
      <c r="C3709" s="41" t="s">
        <v>3097</v>
      </c>
      <c r="D3709" s="41" t="s">
        <v>3300</v>
      </c>
      <c r="E3709" s="41" t="s">
        <v>2984</v>
      </c>
      <c r="F3709" s="41" t="s">
        <v>2949</v>
      </c>
      <c r="G3709" s="41" t="s">
        <v>2950</v>
      </c>
    </row>
    <row r="3710" spans="1:7" x14ac:dyDescent="0.25">
      <c r="A3710" s="41" t="s">
        <v>7163</v>
      </c>
      <c r="B3710" s="41" t="s">
        <v>2989</v>
      </c>
      <c r="C3710" s="41" t="s">
        <v>74</v>
      </c>
      <c r="D3710" s="41" t="s">
        <v>2990</v>
      </c>
      <c r="E3710" s="41" t="s">
        <v>2929</v>
      </c>
      <c r="F3710" s="41" t="s">
        <v>2933</v>
      </c>
      <c r="G3710" s="41" t="s">
        <v>2934</v>
      </c>
    </row>
    <row r="3711" spans="1:7" x14ac:dyDescent="0.25">
      <c r="A3711" s="41" t="s">
        <v>7164</v>
      </c>
      <c r="B3711" s="41" t="s">
        <v>4056</v>
      </c>
      <c r="C3711" s="41" t="s">
        <v>77</v>
      </c>
      <c r="D3711" s="41" t="s">
        <v>4057</v>
      </c>
      <c r="E3711" s="41" t="s">
        <v>2929</v>
      </c>
      <c r="F3711" s="41" t="s">
        <v>2949</v>
      </c>
      <c r="G3711" s="41" t="s">
        <v>2950</v>
      </c>
    </row>
    <row r="3712" spans="1:7" x14ac:dyDescent="0.25">
      <c r="A3712" s="41" t="s">
        <v>7165</v>
      </c>
      <c r="B3712" s="41" t="s">
        <v>7166</v>
      </c>
      <c r="C3712" s="41" t="s">
        <v>78</v>
      </c>
      <c r="D3712" s="41" t="s">
        <v>7167</v>
      </c>
      <c r="E3712" s="41" t="s">
        <v>2929</v>
      </c>
      <c r="F3712" s="41" t="s">
        <v>2949</v>
      </c>
      <c r="G3712" s="41" t="s">
        <v>2950</v>
      </c>
    </row>
    <row r="3713" spans="1:7" x14ac:dyDescent="0.25">
      <c r="A3713" s="41" t="s">
        <v>7168</v>
      </c>
      <c r="B3713" s="41" t="s">
        <v>4200</v>
      </c>
      <c r="C3713" s="41" t="s">
        <v>1239</v>
      </c>
      <c r="D3713" s="41" t="s">
        <v>4201</v>
      </c>
      <c r="E3713" s="41" t="s">
        <v>2984</v>
      </c>
      <c r="F3713" s="41" t="s">
        <v>2949</v>
      </c>
      <c r="G3713" s="41" t="s">
        <v>2950</v>
      </c>
    </row>
    <row r="3714" spans="1:7" x14ac:dyDescent="0.25">
      <c r="A3714" s="41" t="s">
        <v>7169</v>
      </c>
      <c r="B3714" s="41" t="s">
        <v>3703</v>
      </c>
      <c r="C3714" s="41" t="s">
        <v>77</v>
      </c>
      <c r="D3714" s="41" t="s">
        <v>3704</v>
      </c>
      <c r="E3714" s="41" t="s">
        <v>2984</v>
      </c>
      <c r="F3714" s="41" t="s">
        <v>2933</v>
      </c>
      <c r="G3714" s="41" t="s">
        <v>2934</v>
      </c>
    </row>
    <row r="3715" spans="1:7" x14ac:dyDescent="0.25">
      <c r="A3715" s="41" t="s">
        <v>7170</v>
      </c>
      <c r="B3715" s="41" t="s">
        <v>3399</v>
      </c>
      <c r="C3715" s="41" t="s">
        <v>1247</v>
      </c>
      <c r="D3715" s="41" t="s">
        <v>3400</v>
      </c>
      <c r="E3715" s="41" t="s">
        <v>2984</v>
      </c>
      <c r="F3715" s="41" t="s">
        <v>2933</v>
      </c>
      <c r="G3715" s="41" t="s">
        <v>2934</v>
      </c>
    </row>
    <row r="3716" spans="1:7" x14ac:dyDescent="0.25">
      <c r="A3716" s="41" t="s">
        <v>7171</v>
      </c>
      <c r="B3716" s="41" t="s">
        <v>4203</v>
      </c>
      <c r="C3716" s="41" t="s">
        <v>78</v>
      </c>
      <c r="D3716" s="41" t="s">
        <v>4204</v>
      </c>
      <c r="E3716" s="41" t="s">
        <v>3009</v>
      </c>
      <c r="F3716" s="41" t="s">
        <v>2933</v>
      </c>
      <c r="G3716" s="41" t="s">
        <v>2934</v>
      </c>
    </row>
    <row r="3717" spans="1:7" x14ac:dyDescent="0.25">
      <c r="A3717" s="41" t="s">
        <v>7172</v>
      </c>
      <c r="B3717" s="41" t="s">
        <v>3096</v>
      </c>
      <c r="C3717" s="41" t="s">
        <v>3097</v>
      </c>
      <c r="D3717" s="41" t="s">
        <v>3098</v>
      </c>
      <c r="E3717" s="41" t="s">
        <v>2929</v>
      </c>
      <c r="F3717" s="41" t="s">
        <v>2930</v>
      </c>
      <c r="G3717" s="41" t="s">
        <v>2931</v>
      </c>
    </row>
    <row r="3718" spans="1:7" x14ac:dyDescent="0.25">
      <c r="A3718" s="41" t="s">
        <v>7173</v>
      </c>
      <c r="B3718" s="41" t="s">
        <v>7174</v>
      </c>
      <c r="C3718" s="41" t="s">
        <v>74</v>
      </c>
      <c r="D3718" s="41" t="s">
        <v>7175</v>
      </c>
      <c r="E3718" s="41" t="s">
        <v>2929</v>
      </c>
      <c r="F3718" s="41" t="s">
        <v>2933</v>
      </c>
      <c r="G3718" s="41" t="s">
        <v>2934</v>
      </c>
    </row>
    <row r="3719" spans="1:7" x14ac:dyDescent="0.25">
      <c r="A3719" s="41" t="s">
        <v>7176</v>
      </c>
      <c r="B3719" s="41" t="s">
        <v>7177</v>
      </c>
      <c r="C3719" s="41" t="s">
        <v>7178</v>
      </c>
      <c r="D3719" s="41" t="s">
        <v>7179</v>
      </c>
      <c r="E3719" s="41" t="s">
        <v>2929</v>
      </c>
      <c r="F3719" s="41" t="s">
        <v>2933</v>
      </c>
      <c r="G3719" s="41" t="s">
        <v>2934</v>
      </c>
    </row>
    <row r="3720" spans="1:7" x14ac:dyDescent="0.25">
      <c r="A3720" s="41" t="s">
        <v>7180</v>
      </c>
      <c r="B3720" s="41" t="s">
        <v>7181</v>
      </c>
      <c r="C3720" s="41" t="s">
        <v>82</v>
      </c>
      <c r="D3720" s="41" t="s">
        <v>7182</v>
      </c>
      <c r="E3720" s="41" t="s">
        <v>2984</v>
      </c>
      <c r="F3720" s="41" t="s">
        <v>2930</v>
      </c>
      <c r="G3720" s="41" t="s">
        <v>2931</v>
      </c>
    </row>
    <row r="3721" spans="1:7" x14ac:dyDescent="0.25">
      <c r="A3721" s="41" t="s">
        <v>7183</v>
      </c>
      <c r="B3721" s="41" t="s">
        <v>6939</v>
      </c>
      <c r="C3721" s="41" t="s">
        <v>95</v>
      </c>
      <c r="D3721" s="41" t="s">
        <v>6940</v>
      </c>
      <c r="E3721" s="41" t="s">
        <v>2984</v>
      </c>
      <c r="F3721" s="41" t="s">
        <v>2949</v>
      </c>
      <c r="G3721" s="41" t="s">
        <v>2950</v>
      </c>
    </row>
    <row r="3722" spans="1:7" x14ac:dyDescent="0.25">
      <c r="A3722" s="41" t="s">
        <v>7184</v>
      </c>
      <c r="B3722" s="41" t="s">
        <v>7185</v>
      </c>
      <c r="C3722" s="41" t="s">
        <v>77</v>
      </c>
      <c r="D3722" s="41" t="s">
        <v>7186</v>
      </c>
      <c r="E3722" s="41" t="s">
        <v>2929</v>
      </c>
      <c r="F3722" s="41" t="s">
        <v>2949</v>
      </c>
      <c r="G3722" s="41" t="s">
        <v>2950</v>
      </c>
    </row>
    <row r="3723" spans="1:7" x14ac:dyDescent="0.25">
      <c r="A3723" s="41" t="s">
        <v>7187</v>
      </c>
      <c r="B3723" s="41" t="s">
        <v>7188</v>
      </c>
      <c r="C3723" s="41" t="s">
        <v>78</v>
      </c>
      <c r="D3723" s="41" t="s">
        <v>7189</v>
      </c>
      <c r="E3723" s="41" t="s">
        <v>2984</v>
      </c>
      <c r="F3723" s="41" t="s">
        <v>2949</v>
      </c>
      <c r="G3723" s="41" t="s">
        <v>2950</v>
      </c>
    </row>
    <row r="3724" spans="1:7" x14ac:dyDescent="0.25">
      <c r="A3724" s="41" t="s">
        <v>7190</v>
      </c>
      <c r="B3724" s="41" t="s">
        <v>3674</v>
      </c>
      <c r="C3724" s="41" t="s">
        <v>77</v>
      </c>
      <c r="D3724" s="41" t="s">
        <v>3675</v>
      </c>
      <c r="E3724" s="41" t="s">
        <v>2984</v>
      </c>
      <c r="F3724" s="41" t="s">
        <v>2930</v>
      </c>
      <c r="G3724" s="41" t="s">
        <v>2931</v>
      </c>
    </row>
    <row r="3725" spans="1:7" x14ac:dyDescent="0.25">
      <c r="A3725" s="41" t="s">
        <v>7191</v>
      </c>
      <c r="B3725" s="41" t="s">
        <v>6830</v>
      </c>
      <c r="C3725" s="41" t="s">
        <v>1247</v>
      </c>
      <c r="D3725" s="41" t="s">
        <v>6832</v>
      </c>
      <c r="E3725" s="41" t="s">
        <v>2929</v>
      </c>
      <c r="F3725" s="41" t="s">
        <v>2933</v>
      </c>
      <c r="G3725" s="41" t="s">
        <v>2934</v>
      </c>
    </row>
    <row r="3726" spans="1:7" x14ac:dyDescent="0.25">
      <c r="A3726" s="41" t="s">
        <v>7192</v>
      </c>
      <c r="B3726" s="41" t="s">
        <v>7068</v>
      </c>
      <c r="C3726" s="41" t="s">
        <v>77</v>
      </c>
      <c r="D3726" s="41" t="s">
        <v>7069</v>
      </c>
      <c r="E3726" s="41" t="s">
        <v>2929</v>
      </c>
      <c r="F3726" s="41" t="s">
        <v>2949</v>
      </c>
      <c r="G3726" s="41" t="s">
        <v>2950</v>
      </c>
    </row>
    <row r="3727" spans="1:7" x14ac:dyDescent="0.25">
      <c r="A3727" s="41" t="s">
        <v>7193</v>
      </c>
      <c r="B3727" s="41" t="s">
        <v>6897</v>
      </c>
      <c r="C3727" s="41" t="s">
        <v>1239</v>
      </c>
      <c r="D3727" s="41" t="s">
        <v>973</v>
      </c>
      <c r="E3727" s="41" t="s">
        <v>2929</v>
      </c>
      <c r="F3727" s="41" t="s">
        <v>2949</v>
      </c>
      <c r="G3727" s="41" t="s">
        <v>2950</v>
      </c>
    </row>
    <row r="3728" spans="1:7" x14ac:dyDescent="0.25">
      <c r="A3728" s="41" t="s">
        <v>7194</v>
      </c>
      <c r="B3728" s="41" t="s">
        <v>7166</v>
      </c>
      <c r="C3728" s="41" t="s">
        <v>78</v>
      </c>
      <c r="D3728" s="41" t="s">
        <v>7167</v>
      </c>
      <c r="E3728" s="41" t="s">
        <v>2984</v>
      </c>
      <c r="F3728" s="41" t="s">
        <v>2933</v>
      </c>
      <c r="G3728" s="41" t="s">
        <v>2934</v>
      </c>
    </row>
    <row r="3729" spans="1:7" x14ac:dyDescent="0.25">
      <c r="A3729" s="41" t="s">
        <v>7195</v>
      </c>
      <c r="B3729" s="41" t="s">
        <v>4056</v>
      </c>
      <c r="C3729" s="41" t="s">
        <v>77</v>
      </c>
      <c r="D3729" s="41" t="s">
        <v>4057</v>
      </c>
      <c r="E3729" s="41" t="s">
        <v>2984</v>
      </c>
      <c r="F3729" s="41" t="s">
        <v>2930</v>
      </c>
      <c r="G3729" s="41" t="s">
        <v>2931</v>
      </c>
    </row>
    <row r="3730" spans="1:7" x14ac:dyDescent="0.25">
      <c r="A3730" s="41" t="s">
        <v>7196</v>
      </c>
      <c r="B3730" s="41" t="s">
        <v>7197</v>
      </c>
      <c r="C3730" s="41" t="s">
        <v>77</v>
      </c>
      <c r="D3730" s="41" t="s">
        <v>7198</v>
      </c>
      <c r="E3730" s="41" t="s">
        <v>2984</v>
      </c>
      <c r="F3730" s="41" t="s">
        <v>2930</v>
      </c>
      <c r="G3730" s="41" t="s">
        <v>2931</v>
      </c>
    </row>
    <row r="3731" spans="1:7" x14ac:dyDescent="0.25">
      <c r="A3731" s="41" t="s">
        <v>7199</v>
      </c>
      <c r="B3731" s="41" t="s">
        <v>4179</v>
      </c>
      <c r="C3731" s="41" t="s">
        <v>74</v>
      </c>
      <c r="D3731" s="41" t="s">
        <v>4180</v>
      </c>
      <c r="E3731" s="41" t="s">
        <v>2984</v>
      </c>
      <c r="F3731" s="41" t="s">
        <v>2949</v>
      </c>
      <c r="G3731" s="41" t="s">
        <v>2950</v>
      </c>
    </row>
    <row r="3732" spans="1:7" x14ac:dyDescent="0.25">
      <c r="A3732" s="41" t="s">
        <v>7200</v>
      </c>
      <c r="B3732" s="41" t="s">
        <v>4179</v>
      </c>
      <c r="C3732" s="41" t="s">
        <v>74</v>
      </c>
      <c r="D3732" s="41" t="s">
        <v>4180</v>
      </c>
      <c r="E3732" s="41" t="s">
        <v>2929</v>
      </c>
      <c r="F3732" s="41" t="s">
        <v>2930</v>
      </c>
      <c r="G3732" s="41" t="s">
        <v>2931</v>
      </c>
    </row>
    <row r="3733" spans="1:7" x14ac:dyDescent="0.25">
      <c r="A3733" s="41" t="s">
        <v>7201</v>
      </c>
      <c r="B3733" s="41" t="s">
        <v>7202</v>
      </c>
      <c r="C3733" s="41" t="s">
        <v>77</v>
      </c>
      <c r="D3733" s="41" t="s">
        <v>7203</v>
      </c>
      <c r="E3733" s="41" t="s">
        <v>2929</v>
      </c>
      <c r="F3733" s="41" t="s">
        <v>2933</v>
      </c>
      <c r="G3733" s="41" t="s">
        <v>2934</v>
      </c>
    </row>
    <row r="3734" spans="1:7" x14ac:dyDescent="0.25">
      <c r="A3734" s="41" t="s">
        <v>7204</v>
      </c>
      <c r="B3734" s="41" t="s">
        <v>7135</v>
      </c>
      <c r="C3734" s="41" t="s">
        <v>77</v>
      </c>
      <c r="D3734" s="41" t="s">
        <v>7136</v>
      </c>
      <c r="E3734" s="41" t="s">
        <v>2929</v>
      </c>
      <c r="F3734" s="41" t="s">
        <v>2930</v>
      </c>
      <c r="G3734" s="41" t="s">
        <v>2931</v>
      </c>
    </row>
    <row r="3735" spans="1:7" x14ac:dyDescent="0.25">
      <c r="A3735" s="41" t="s">
        <v>7205</v>
      </c>
      <c r="B3735" s="41" t="s">
        <v>4200</v>
      </c>
      <c r="C3735" s="41" t="s">
        <v>1239</v>
      </c>
      <c r="D3735" s="41" t="s">
        <v>4201</v>
      </c>
      <c r="E3735" s="41" t="s">
        <v>2984</v>
      </c>
      <c r="F3735" s="41" t="s">
        <v>2930</v>
      </c>
      <c r="G3735" s="41" t="s">
        <v>2931</v>
      </c>
    </row>
    <row r="3736" spans="1:7" x14ac:dyDescent="0.25">
      <c r="A3736" s="41" t="s">
        <v>7206</v>
      </c>
      <c r="B3736" s="41" t="s">
        <v>4203</v>
      </c>
      <c r="C3736" s="41" t="s">
        <v>78</v>
      </c>
      <c r="D3736" s="41" t="s">
        <v>4204</v>
      </c>
      <c r="E3736" s="41" t="s">
        <v>3009</v>
      </c>
      <c r="F3736" s="41" t="s">
        <v>2949</v>
      </c>
      <c r="G3736" s="41" t="s">
        <v>2950</v>
      </c>
    </row>
    <row r="3737" spans="1:7" x14ac:dyDescent="0.25">
      <c r="A3737" s="41" t="s">
        <v>7207</v>
      </c>
      <c r="B3737" s="41" t="s">
        <v>3096</v>
      </c>
      <c r="C3737" s="41" t="s">
        <v>3097</v>
      </c>
      <c r="D3737" s="41" t="s">
        <v>3098</v>
      </c>
      <c r="E3737" s="41" t="s">
        <v>2929</v>
      </c>
      <c r="F3737" s="41" t="s">
        <v>2949</v>
      </c>
      <c r="G3737" s="41" t="s">
        <v>2950</v>
      </c>
    </row>
    <row r="3738" spans="1:7" x14ac:dyDescent="0.25">
      <c r="A3738" s="41" t="s">
        <v>7208</v>
      </c>
      <c r="B3738" s="41" t="s">
        <v>3091</v>
      </c>
      <c r="C3738" s="41" t="s">
        <v>78</v>
      </c>
      <c r="D3738" s="41" t="s">
        <v>3092</v>
      </c>
      <c r="E3738" s="41" t="s">
        <v>2929</v>
      </c>
      <c r="F3738" s="41" t="s">
        <v>2949</v>
      </c>
      <c r="G3738" s="41" t="s">
        <v>2950</v>
      </c>
    </row>
    <row r="3739" spans="1:7" x14ac:dyDescent="0.25">
      <c r="A3739" s="41" t="s">
        <v>7209</v>
      </c>
      <c r="B3739" s="41" t="s">
        <v>4186</v>
      </c>
      <c r="C3739" s="41" t="s">
        <v>74</v>
      </c>
      <c r="D3739" s="41" t="s">
        <v>4187</v>
      </c>
      <c r="E3739" s="41" t="s">
        <v>2929</v>
      </c>
      <c r="F3739" s="41" t="s">
        <v>2949</v>
      </c>
      <c r="G3739" s="41" t="s">
        <v>2950</v>
      </c>
    </row>
    <row r="3740" spans="1:7" x14ac:dyDescent="0.25">
      <c r="A3740" s="41" t="s">
        <v>7210</v>
      </c>
      <c r="B3740" s="41" t="s">
        <v>3290</v>
      </c>
      <c r="C3740" s="41" t="s">
        <v>1239</v>
      </c>
      <c r="D3740" s="41" t="s">
        <v>3291</v>
      </c>
      <c r="E3740" s="41" t="s">
        <v>2929</v>
      </c>
      <c r="F3740" s="41" t="s">
        <v>2933</v>
      </c>
      <c r="G3740" s="41" t="s">
        <v>2934</v>
      </c>
    </row>
    <row r="3741" spans="1:7" x14ac:dyDescent="0.25">
      <c r="A3741" s="41" t="s">
        <v>7211</v>
      </c>
      <c r="B3741" s="41" t="s">
        <v>3293</v>
      </c>
      <c r="C3741" s="41" t="s">
        <v>78</v>
      </c>
      <c r="D3741" s="41" t="s">
        <v>3294</v>
      </c>
      <c r="E3741" s="41" t="s">
        <v>2929</v>
      </c>
      <c r="F3741" s="41" t="s">
        <v>2933</v>
      </c>
      <c r="G3741" s="41" t="s">
        <v>2934</v>
      </c>
    </row>
    <row r="3742" spans="1:7" x14ac:dyDescent="0.25">
      <c r="A3742" s="41" t="s">
        <v>7212</v>
      </c>
      <c r="B3742" s="41" t="s">
        <v>3709</v>
      </c>
      <c r="C3742" s="41" t="s">
        <v>77</v>
      </c>
      <c r="D3742" s="41" t="s">
        <v>3710</v>
      </c>
      <c r="E3742" s="41" t="s">
        <v>2929</v>
      </c>
      <c r="F3742" s="41" t="s">
        <v>2933</v>
      </c>
      <c r="G3742" s="41" t="s">
        <v>2934</v>
      </c>
    </row>
    <row r="3743" spans="1:7" x14ac:dyDescent="0.25">
      <c r="A3743" s="41" t="s">
        <v>7213</v>
      </c>
      <c r="B3743" s="41" t="s">
        <v>3239</v>
      </c>
      <c r="C3743" s="41" t="s">
        <v>74</v>
      </c>
      <c r="D3743" s="41" t="s">
        <v>3240</v>
      </c>
      <c r="E3743" s="41" t="s">
        <v>2929</v>
      </c>
      <c r="F3743" s="41" t="s">
        <v>2933</v>
      </c>
      <c r="G3743" s="41" t="s">
        <v>2934</v>
      </c>
    </row>
    <row r="3744" spans="1:7" x14ac:dyDescent="0.25">
      <c r="A3744" s="41" t="s">
        <v>7214</v>
      </c>
      <c r="B3744" s="41" t="s">
        <v>6814</v>
      </c>
      <c r="C3744" s="41" t="s">
        <v>1239</v>
      </c>
      <c r="D3744" s="41" t="s">
        <v>6815</v>
      </c>
      <c r="E3744" s="41" t="s">
        <v>2929</v>
      </c>
      <c r="F3744" s="41" t="s">
        <v>2933</v>
      </c>
      <c r="G3744" s="41" t="s">
        <v>2934</v>
      </c>
    </row>
    <row r="3745" spans="1:7" x14ac:dyDescent="0.25">
      <c r="A3745" s="41" t="s">
        <v>7215</v>
      </c>
      <c r="B3745" s="41" t="s">
        <v>6822</v>
      </c>
      <c r="C3745" s="41" t="s">
        <v>78</v>
      </c>
      <c r="D3745" s="41" t="s">
        <v>6823</v>
      </c>
      <c r="E3745" s="41" t="s">
        <v>2929</v>
      </c>
      <c r="F3745" s="41" t="s">
        <v>2933</v>
      </c>
      <c r="G3745" s="41" t="s">
        <v>2934</v>
      </c>
    </row>
    <row r="3746" spans="1:7" x14ac:dyDescent="0.25">
      <c r="A3746" s="41" t="s">
        <v>7216</v>
      </c>
      <c r="B3746" s="41" t="s">
        <v>7217</v>
      </c>
      <c r="C3746" s="41" t="s">
        <v>6831</v>
      </c>
      <c r="D3746" s="41" t="s">
        <v>7218</v>
      </c>
      <c r="E3746" s="41" t="s">
        <v>2929</v>
      </c>
      <c r="F3746" s="41" t="s">
        <v>2930</v>
      </c>
      <c r="G3746" s="41" t="s">
        <v>2934</v>
      </c>
    </row>
    <row r="3747" spans="1:7" x14ac:dyDescent="0.25">
      <c r="A3747" s="41" t="s">
        <v>7219</v>
      </c>
      <c r="B3747" s="41" t="s">
        <v>7135</v>
      </c>
      <c r="C3747" s="41" t="s">
        <v>77</v>
      </c>
      <c r="D3747" s="41" t="s">
        <v>7136</v>
      </c>
      <c r="E3747" s="41" t="s">
        <v>2929</v>
      </c>
      <c r="F3747" s="41" t="s">
        <v>2949</v>
      </c>
      <c r="G3747" s="41" t="s">
        <v>2950</v>
      </c>
    </row>
    <row r="3748" spans="1:7" x14ac:dyDescent="0.25">
      <c r="A3748" s="41" t="s">
        <v>7220</v>
      </c>
      <c r="B3748" s="41" t="s">
        <v>7135</v>
      </c>
      <c r="C3748" s="41" t="s">
        <v>77</v>
      </c>
      <c r="D3748" s="41" t="s">
        <v>7136</v>
      </c>
      <c r="E3748" s="41" t="s">
        <v>2929</v>
      </c>
      <c r="F3748" s="41" t="s">
        <v>2949</v>
      </c>
      <c r="G3748" s="41" t="s">
        <v>2950</v>
      </c>
    </row>
    <row r="3749" spans="1:7" x14ac:dyDescent="0.25">
      <c r="A3749" s="41" t="s">
        <v>7221</v>
      </c>
      <c r="B3749" s="41" t="s">
        <v>3096</v>
      </c>
      <c r="C3749" s="41" t="s">
        <v>3097</v>
      </c>
      <c r="D3749" s="41" t="s">
        <v>3098</v>
      </c>
      <c r="E3749" s="41" t="s">
        <v>2929</v>
      </c>
      <c r="F3749" s="41" t="s">
        <v>2933</v>
      </c>
      <c r="G3749" s="41" t="s">
        <v>2934</v>
      </c>
    </row>
    <row r="3750" spans="1:7" x14ac:dyDescent="0.25">
      <c r="A3750" s="41" t="s">
        <v>7222</v>
      </c>
      <c r="B3750" s="41" t="s">
        <v>3309</v>
      </c>
      <c r="C3750" s="41" t="s">
        <v>3097</v>
      </c>
      <c r="D3750" s="41" t="s">
        <v>3310</v>
      </c>
      <c r="E3750" s="41" t="s">
        <v>2929</v>
      </c>
      <c r="F3750" s="41" t="s">
        <v>2930</v>
      </c>
      <c r="G3750" s="41" t="s">
        <v>2931</v>
      </c>
    </row>
    <row r="3751" spans="1:7" x14ac:dyDescent="0.25">
      <c r="A3751" s="41" t="s">
        <v>7223</v>
      </c>
      <c r="B3751" s="41" t="s">
        <v>7224</v>
      </c>
      <c r="C3751" s="41" t="s">
        <v>4366</v>
      </c>
      <c r="D3751" s="41" t="s">
        <v>7225</v>
      </c>
      <c r="E3751" s="41" t="s">
        <v>2929</v>
      </c>
      <c r="F3751" s="41" t="s">
        <v>2930</v>
      </c>
      <c r="G3751" s="41" t="s">
        <v>2931</v>
      </c>
    </row>
    <row r="3752" spans="1:7" x14ac:dyDescent="0.25">
      <c r="A3752" s="41" t="s">
        <v>7226</v>
      </c>
      <c r="B3752" s="41" t="s">
        <v>3141</v>
      </c>
      <c r="C3752" s="41" t="s">
        <v>74</v>
      </c>
      <c r="D3752" s="41" t="s">
        <v>3142</v>
      </c>
      <c r="E3752" s="41" t="s">
        <v>2929</v>
      </c>
      <c r="F3752" s="41" t="s">
        <v>2933</v>
      </c>
      <c r="G3752" s="41" t="s">
        <v>2934</v>
      </c>
    </row>
    <row r="3753" spans="1:7" x14ac:dyDescent="0.25">
      <c r="A3753" s="41" t="s">
        <v>7227</v>
      </c>
      <c r="B3753" s="41" t="s">
        <v>3141</v>
      </c>
      <c r="C3753" s="41" t="s">
        <v>74</v>
      </c>
      <c r="D3753" s="41" t="s">
        <v>3142</v>
      </c>
      <c r="E3753" s="41" t="s">
        <v>2929</v>
      </c>
      <c r="F3753" s="41" t="s">
        <v>2930</v>
      </c>
      <c r="G3753" s="41" t="s">
        <v>2931</v>
      </c>
    </row>
    <row r="3754" spans="1:7" x14ac:dyDescent="0.25">
      <c r="A3754" s="41" t="s">
        <v>7228</v>
      </c>
      <c r="B3754" s="41" t="s">
        <v>7229</v>
      </c>
      <c r="C3754" s="41" t="s">
        <v>74</v>
      </c>
      <c r="D3754" s="41" t="s">
        <v>7230</v>
      </c>
      <c r="E3754" s="41" t="s">
        <v>2929</v>
      </c>
      <c r="F3754" s="41" t="s">
        <v>2933</v>
      </c>
      <c r="G3754" s="41" t="s">
        <v>2934</v>
      </c>
    </row>
    <row r="3755" spans="1:7" x14ac:dyDescent="0.25">
      <c r="A3755" s="41" t="s">
        <v>7231</v>
      </c>
      <c r="B3755" s="41" t="s">
        <v>3674</v>
      </c>
      <c r="C3755" s="41" t="s">
        <v>77</v>
      </c>
      <c r="D3755" s="41" t="s">
        <v>3675</v>
      </c>
      <c r="E3755" s="41" t="s">
        <v>2929</v>
      </c>
      <c r="F3755" s="41" t="s">
        <v>2930</v>
      </c>
      <c r="G3755" s="41" t="s">
        <v>2931</v>
      </c>
    </row>
    <row r="3756" spans="1:7" x14ac:dyDescent="0.25">
      <c r="A3756" s="41" t="s">
        <v>7232</v>
      </c>
      <c r="B3756" s="41" t="s">
        <v>7233</v>
      </c>
      <c r="C3756" s="41" t="s">
        <v>78</v>
      </c>
      <c r="D3756" s="41" t="s">
        <v>7234</v>
      </c>
      <c r="E3756" s="41" t="s">
        <v>2929</v>
      </c>
      <c r="F3756" s="41" t="s">
        <v>2949</v>
      </c>
      <c r="G3756" s="41" t="s">
        <v>2950</v>
      </c>
    </row>
    <row r="3757" spans="1:7" x14ac:dyDescent="0.25">
      <c r="A3757" s="41" t="s">
        <v>7235</v>
      </c>
      <c r="B3757" s="41" t="s">
        <v>7236</v>
      </c>
      <c r="C3757" s="41" t="s">
        <v>77</v>
      </c>
      <c r="D3757" s="41" t="s">
        <v>7237</v>
      </c>
      <c r="E3757" s="41" t="s">
        <v>2929</v>
      </c>
      <c r="F3757" s="41" t="s">
        <v>2949</v>
      </c>
      <c r="G3757" s="41" t="s">
        <v>2950</v>
      </c>
    </row>
    <row r="3758" spans="1:7" x14ac:dyDescent="0.25">
      <c r="A3758" s="41" t="s">
        <v>7238</v>
      </c>
      <c r="B3758" s="41" t="s">
        <v>3703</v>
      </c>
      <c r="C3758" s="41" t="s">
        <v>77</v>
      </c>
      <c r="D3758" s="41" t="s">
        <v>3704</v>
      </c>
      <c r="E3758" s="41" t="s">
        <v>2929</v>
      </c>
      <c r="F3758" s="41" t="s">
        <v>2949</v>
      </c>
      <c r="G3758" s="41" t="s">
        <v>2950</v>
      </c>
    </row>
    <row r="3759" spans="1:7" x14ac:dyDescent="0.25">
      <c r="A3759" s="41" t="s">
        <v>7239</v>
      </c>
      <c r="B3759" s="41" t="s">
        <v>7240</v>
      </c>
      <c r="C3759" s="41" t="s">
        <v>77</v>
      </c>
      <c r="D3759" s="41" t="s">
        <v>7241</v>
      </c>
      <c r="E3759" s="41" t="s">
        <v>2929</v>
      </c>
      <c r="F3759" s="41" t="s">
        <v>2933</v>
      </c>
      <c r="G3759" s="41" t="s">
        <v>2934</v>
      </c>
    </row>
    <row r="3760" spans="1:7" x14ac:dyDescent="0.25">
      <c r="A3760" s="41" t="s">
        <v>7242</v>
      </c>
      <c r="B3760" s="41" t="s">
        <v>7233</v>
      </c>
      <c r="C3760" s="41" t="s">
        <v>78</v>
      </c>
      <c r="D3760" s="41" t="s">
        <v>7234</v>
      </c>
      <c r="E3760" s="41" t="s">
        <v>2929</v>
      </c>
      <c r="F3760" s="41" t="s">
        <v>2933</v>
      </c>
      <c r="G3760" s="41" t="s">
        <v>2934</v>
      </c>
    </row>
    <row r="3761" spans="1:7" x14ac:dyDescent="0.25">
      <c r="A3761" s="41" t="s">
        <v>7243</v>
      </c>
      <c r="B3761" s="41" t="s">
        <v>7244</v>
      </c>
      <c r="C3761" s="41" t="s">
        <v>77</v>
      </c>
      <c r="D3761" s="41" t="s">
        <v>7245</v>
      </c>
      <c r="E3761" s="41" t="s">
        <v>2929</v>
      </c>
      <c r="F3761" s="41" t="s">
        <v>2949</v>
      </c>
      <c r="G3761" s="41" t="s">
        <v>2950</v>
      </c>
    </row>
    <row r="3762" spans="1:7" x14ac:dyDescent="0.25">
      <c r="A3762" s="41" t="s">
        <v>7246</v>
      </c>
      <c r="B3762" s="41" t="s">
        <v>7233</v>
      </c>
      <c r="C3762" s="41" t="s">
        <v>78</v>
      </c>
      <c r="D3762" s="41" t="s">
        <v>7234</v>
      </c>
      <c r="E3762" s="41" t="s">
        <v>2929</v>
      </c>
      <c r="F3762" s="41" t="s">
        <v>2949</v>
      </c>
      <c r="G3762" s="41" t="s">
        <v>2950</v>
      </c>
    </row>
    <row r="3763" spans="1:7" x14ac:dyDescent="0.25">
      <c r="A3763" s="41" t="s">
        <v>7247</v>
      </c>
      <c r="B3763" s="41" t="s">
        <v>7248</v>
      </c>
      <c r="C3763" s="41" t="s">
        <v>4366</v>
      </c>
      <c r="D3763" s="41" t="s">
        <v>7249</v>
      </c>
      <c r="E3763" s="41" t="s">
        <v>2929</v>
      </c>
      <c r="F3763" s="41" t="s">
        <v>2933</v>
      </c>
      <c r="G3763" s="41" t="s">
        <v>2934</v>
      </c>
    </row>
    <row r="3764" spans="1:7" x14ac:dyDescent="0.25">
      <c r="A3764" s="41" t="s">
        <v>7250</v>
      </c>
      <c r="B3764" s="41" t="s">
        <v>5775</v>
      </c>
      <c r="C3764" s="41" t="s">
        <v>74</v>
      </c>
      <c r="D3764" s="41" t="s">
        <v>5776</v>
      </c>
      <c r="E3764" s="41" t="s">
        <v>2984</v>
      </c>
      <c r="F3764" s="41" t="s">
        <v>3355</v>
      </c>
      <c r="G3764" s="41" t="s">
        <v>2934</v>
      </c>
    </row>
    <row r="3765" spans="1:7" x14ac:dyDescent="0.25">
      <c r="A3765" s="41" t="s">
        <v>7251</v>
      </c>
      <c r="B3765" s="41" t="s">
        <v>7252</v>
      </c>
      <c r="C3765" s="41" t="s">
        <v>128</v>
      </c>
      <c r="D3765" s="41" t="s">
        <v>7253</v>
      </c>
      <c r="E3765" s="41" t="s">
        <v>2984</v>
      </c>
      <c r="F3765" s="41" t="s">
        <v>3355</v>
      </c>
      <c r="G3765" s="41" t="s">
        <v>2931</v>
      </c>
    </row>
    <row r="3766" spans="1:7" x14ac:dyDescent="0.25">
      <c r="A3766" s="41" t="s">
        <v>7254</v>
      </c>
      <c r="B3766" s="41" t="s">
        <v>7255</v>
      </c>
      <c r="C3766" s="41" t="s">
        <v>95</v>
      </c>
      <c r="D3766" s="41" t="s">
        <v>7256</v>
      </c>
      <c r="E3766" s="41" t="s">
        <v>2984</v>
      </c>
      <c r="F3766" s="41" t="s">
        <v>3355</v>
      </c>
      <c r="G3766" s="41" t="s">
        <v>2934</v>
      </c>
    </row>
    <row r="3767" spans="1:7" x14ac:dyDescent="0.25">
      <c r="A3767" s="41" t="s">
        <v>7257</v>
      </c>
      <c r="B3767" s="41" t="s">
        <v>4001</v>
      </c>
      <c r="C3767" s="41" t="s">
        <v>3097</v>
      </c>
      <c r="D3767" s="41" t="s">
        <v>4002</v>
      </c>
      <c r="E3767" s="41" t="s">
        <v>2929</v>
      </c>
      <c r="F3767" s="41" t="s">
        <v>2949</v>
      </c>
      <c r="G3767" s="41" t="s">
        <v>2950</v>
      </c>
    </row>
    <row r="3768" spans="1:7" x14ac:dyDescent="0.25">
      <c r="A3768" s="41" t="s">
        <v>7258</v>
      </c>
      <c r="B3768" s="41" t="s">
        <v>3306</v>
      </c>
      <c r="C3768" s="41" t="s">
        <v>3097</v>
      </c>
      <c r="D3768" s="41" t="s">
        <v>3307</v>
      </c>
      <c r="E3768" s="41" t="s">
        <v>2929</v>
      </c>
      <c r="F3768" s="41" t="s">
        <v>2930</v>
      </c>
      <c r="G3768" s="41" t="s">
        <v>2931</v>
      </c>
    </row>
    <row r="3769" spans="1:7" x14ac:dyDescent="0.25">
      <c r="A3769" s="41" t="s">
        <v>7259</v>
      </c>
      <c r="B3769" s="41" t="s">
        <v>6893</v>
      </c>
      <c r="C3769" s="41" t="s">
        <v>74</v>
      </c>
      <c r="D3769" s="41" t="s">
        <v>6894</v>
      </c>
      <c r="E3769" s="41" t="s">
        <v>2929</v>
      </c>
      <c r="F3769" s="41" t="s">
        <v>2933</v>
      </c>
      <c r="G3769" s="41" t="s">
        <v>2934</v>
      </c>
    </row>
    <row r="3770" spans="1:7" x14ac:dyDescent="0.25">
      <c r="A3770" s="41" t="s">
        <v>7260</v>
      </c>
      <c r="B3770" s="41" t="s">
        <v>7166</v>
      </c>
      <c r="C3770" s="41" t="s">
        <v>78</v>
      </c>
      <c r="D3770" s="41" t="s">
        <v>7167</v>
      </c>
      <c r="E3770" s="41" t="s">
        <v>2984</v>
      </c>
      <c r="F3770" s="41" t="s">
        <v>2930</v>
      </c>
      <c r="G3770" s="41" t="s">
        <v>2950</v>
      </c>
    </row>
    <row r="3771" spans="1:7" x14ac:dyDescent="0.25">
      <c r="A3771" s="41" t="s">
        <v>7261</v>
      </c>
      <c r="B3771" s="41" t="s">
        <v>4056</v>
      </c>
      <c r="C3771" s="41" t="s">
        <v>77</v>
      </c>
      <c r="D3771" s="41" t="s">
        <v>4057</v>
      </c>
      <c r="E3771" s="41" t="s">
        <v>2984</v>
      </c>
      <c r="F3771" s="41" t="s">
        <v>2949</v>
      </c>
      <c r="G3771" s="41" t="s">
        <v>2950</v>
      </c>
    </row>
    <row r="3772" spans="1:7" x14ac:dyDescent="0.25">
      <c r="A3772" s="41" t="s">
        <v>7262</v>
      </c>
      <c r="B3772" s="41" t="s">
        <v>6897</v>
      </c>
      <c r="C3772" s="41" t="s">
        <v>1239</v>
      </c>
      <c r="D3772" s="41" t="s">
        <v>973</v>
      </c>
      <c r="E3772" s="41" t="s">
        <v>2984</v>
      </c>
      <c r="F3772" s="41" t="s">
        <v>2949</v>
      </c>
      <c r="G3772" s="41" t="s">
        <v>2950</v>
      </c>
    </row>
    <row r="3773" spans="1:7" x14ac:dyDescent="0.25">
      <c r="A3773" s="41" t="s">
        <v>7263</v>
      </c>
      <c r="B3773" s="41" t="s">
        <v>6915</v>
      </c>
      <c r="C3773" s="41" t="s">
        <v>3097</v>
      </c>
      <c r="D3773" s="41" t="s">
        <v>6916</v>
      </c>
      <c r="E3773" s="41" t="s">
        <v>2984</v>
      </c>
      <c r="F3773" s="41" t="s">
        <v>2949</v>
      </c>
      <c r="G3773" s="41" t="s">
        <v>2950</v>
      </c>
    </row>
    <row r="3774" spans="1:7" x14ac:dyDescent="0.25">
      <c r="A3774" s="41" t="s">
        <v>7264</v>
      </c>
      <c r="B3774" s="41" t="s">
        <v>3706</v>
      </c>
      <c r="C3774" s="41" t="s">
        <v>77</v>
      </c>
      <c r="D3774" s="41" t="s">
        <v>3707</v>
      </c>
      <c r="E3774" s="41" t="s">
        <v>2929</v>
      </c>
      <c r="F3774" s="41" t="s">
        <v>2933</v>
      </c>
      <c r="G3774" s="41" t="s">
        <v>2934</v>
      </c>
    </row>
    <row r="3775" spans="1:7" x14ac:dyDescent="0.25">
      <c r="A3775" s="41" t="s">
        <v>7265</v>
      </c>
      <c r="B3775" s="41" t="s">
        <v>7240</v>
      </c>
      <c r="C3775" s="41" t="s">
        <v>77</v>
      </c>
      <c r="D3775" s="41" t="s">
        <v>7241</v>
      </c>
      <c r="E3775" s="41" t="s">
        <v>2929</v>
      </c>
      <c r="F3775" s="41" t="s">
        <v>2930</v>
      </c>
      <c r="G3775" s="41" t="s">
        <v>2931</v>
      </c>
    </row>
    <row r="3776" spans="1:7" x14ac:dyDescent="0.25">
      <c r="A3776" s="41" t="s">
        <v>7266</v>
      </c>
      <c r="B3776" s="41" t="s">
        <v>7233</v>
      </c>
      <c r="C3776" s="41" t="s">
        <v>78</v>
      </c>
      <c r="D3776" s="41" t="s">
        <v>7234</v>
      </c>
      <c r="E3776" s="41" t="s">
        <v>2929</v>
      </c>
      <c r="F3776" s="41" t="s">
        <v>2930</v>
      </c>
      <c r="G3776" s="41" t="s">
        <v>2931</v>
      </c>
    </row>
    <row r="3777" spans="1:7" x14ac:dyDescent="0.25">
      <c r="A3777" s="41" t="s">
        <v>7267</v>
      </c>
      <c r="B3777" s="41" t="s">
        <v>7240</v>
      </c>
      <c r="C3777" s="41" t="s">
        <v>77</v>
      </c>
      <c r="D3777" s="41" t="s">
        <v>7241</v>
      </c>
      <c r="E3777" s="41" t="s">
        <v>2984</v>
      </c>
      <c r="F3777" s="41" t="s">
        <v>2933</v>
      </c>
      <c r="G3777" s="41" t="s">
        <v>2934</v>
      </c>
    </row>
    <row r="3778" spans="1:7" x14ac:dyDescent="0.25">
      <c r="A3778" s="41" t="s">
        <v>7268</v>
      </c>
      <c r="B3778" s="41" t="s">
        <v>7233</v>
      </c>
      <c r="C3778" s="41" t="s">
        <v>78</v>
      </c>
      <c r="D3778" s="41" t="s">
        <v>7234</v>
      </c>
      <c r="E3778" s="41" t="s">
        <v>2984</v>
      </c>
      <c r="F3778" s="41" t="s">
        <v>2933</v>
      </c>
      <c r="G3778" s="41" t="s">
        <v>2934</v>
      </c>
    </row>
    <row r="3779" spans="1:7" x14ac:dyDescent="0.25">
      <c r="A3779" s="41" t="s">
        <v>7269</v>
      </c>
      <c r="B3779" s="41" t="s">
        <v>7270</v>
      </c>
      <c r="C3779" s="41" t="s">
        <v>78</v>
      </c>
      <c r="D3779" s="41" t="s">
        <v>7271</v>
      </c>
      <c r="E3779" s="41" t="s">
        <v>2929</v>
      </c>
      <c r="F3779" s="41" t="s">
        <v>2949</v>
      </c>
      <c r="G3779" s="41" t="s">
        <v>2950</v>
      </c>
    </row>
    <row r="3780" spans="1:7" x14ac:dyDescent="0.25">
      <c r="A3780" s="41" t="s">
        <v>7272</v>
      </c>
      <c r="B3780" s="41" t="s">
        <v>7240</v>
      </c>
      <c r="C3780" s="41" t="s">
        <v>77</v>
      </c>
      <c r="D3780" s="41" t="s">
        <v>7241</v>
      </c>
      <c r="E3780" s="41" t="s">
        <v>2929</v>
      </c>
      <c r="F3780" s="41" t="s">
        <v>2949</v>
      </c>
      <c r="G3780" s="41" t="s">
        <v>2950</v>
      </c>
    </row>
    <row r="3781" spans="1:7" x14ac:dyDescent="0.25">
      <c r="A3781" s="41" t="s">
        <v>7273</v>
      </c>
      <c r="B3781" s="41" t="s">
        <v>7240</v>
      </c>
      <c r="C3781" s="41" t="s">
        <v>77</v>
      </c>
      <c r="D3781" s="41" t="s">
        <v>7241</v>
      </c>
      <c r="E3781" s="41" t="s">
        <v>2984</v>
      </c>
      <c r="F3781" s="41" t="s">
        <v>2949</v>
      </c>
      <c r="G3781" s="41" t="s">
        <v>2950</v>
      </c>
    </row>
    <row r="3782" spans="1:7" x14ac:dyDescent="0.25">
      <c r="A3782" s="41" t="s">
        <v>7274</v>
      </c>
      <c r="B3782" s="41" t="s">
        <v>7233</v>
      </c>
      <c r="C3782" s="41" t="s">
        <v>78</v>
      </c>
      <c r="D3782" s="41" t="s">
        <v>7234</v>
      </c>
      <c r="E3782" s="41" t="s">
        <v>2984</v>
      </c>
      <c r="F3782" s="41" t="s">
        <v>2949</v>
      </c>
      <c r="G3782" s="41" t="s">
        <v>2950</v>
      </c>
    </row>
    <row r="3783" spans="1:7" x14ac:dyDescent="0.25">
      <c r="A3783" s="41" t="s">
        <v>7275</v>
      </c>
      <c r="B3783" s="41" t="s">
        <v>3309</v>
      </c>
      <c r="C3783" s="41" t="s">
        <v>3097</v>
      </c>
      <c r="D3783" s="41" t="s">
        <v>3310</v>
      </c>
      <c r="E3783" s="41" t="s">
        <v>3009</v>
      </c>
      <c r="F3783" s="41" t="s">
        <v>2949</v>
      </c>
      <c r="G3783" s="41" t="s">
        <v>2950</v>
      </c>
    </row>
    <row r="3784" spans="1:7" x14ac:dyDescent="0.25">
      <c r="A3784" s="41" t="s">
        <v>7276</v>
      </c>
      <c r="B3784" s="41" t="s">
        <v>6945</v>
      </c>
      <c r="C3784" s="41" t="s">
        <v>78</v>
      </c>
      <c r="D3784" s="41" t="s">
        <v>6946</v>
      </c>
      <c r="E3784" s="41" t="s">
        <v>2929</v>
      </c>
      <c r="F3784" s="41" t="s">
        <v>2933</v>
      </c>
      <c r="G3784" s="41" t="s">
        <v>2934</v>
      </c>
    </row>
    <row r="3785" spans="1:7" x14ac:dyDescent="0.25">
      <c r="A3785" s="41" t="s">
        <v>7277</v>
      </c>
      <c r="B3785" s="41" t="s">
        <v>7244</v>
      </c>
      <c r="C3785" s="41" t="s">
        <v>77</v>
      </c>
      <c r="D3785" s="41" t="s">
        <v>7245</v>
      </c>
      <c r="E3785" s="41" t="s">
        <v>2929</v>
      </c>
      <c r="F3785" s="41" t="s">
        <v>2930</v>
      </c>
      <c r="G3785" s="41" t="s">
        <v>2931</v>
      </c>
    </row>
    <row r="3786" spans="1:7" x14ac:dyDescent="0.25">
      <c r="A3786" s="41" t="s">
        <v>7278</v>
      </c>
      <c r="B3786" s="41" t="s">
        <v>7233</v>
      </c>
      <c r="C3786" s="41" t="s">
        <v>78</v>
      </c>
      <c r="D3786" s="41" t="s">
        <v>7234</v>
      </c>
      <c r="E3786" s="41" t="s">
        <v>2929</v>
      </c>
      <c r="F3786" s="41" t="s">
        <v>2930</v>
      </c>
      <c r="G3786" s="41" t="s">
        <v>2931</v>
      </c>
    </row>
    <row r="3787" spans="1:7" x14ac:dyDescent="0.25">
      <c r="A3787" s="41" t="s">
        <v>7279</v>
      </c>
      <c r="B3787" s="41" t="s">
        <v>6538</v>
      </c>
      <c r="C3787" s="41" t="s">
        <v>95</v>
      </c>
      <c r="D3787" s="41" t="s">
        <v>6539</v>
      </c>
      <c r="E3787" s="41" t="s">
        <v>2929</v>
      </c>
      <c r="F3787" s="41" t="s">
        <v>2933</v>
      </c>
      <c r="G3787" s="41" t="s">
        <v>2934</v>
      </c>
    </row>
    <row r="3788" spans="1:7" x14ac:dyDescent="0.25">
      <c r="A3788" s="41" t="s">
        <v>7280</v>
      </c>
      <c r="B3788" s="41" t="s">
        <v>7236</v>
      </c>
      <c r="C3788" s="41" t="s">
        <v>77</v>
      </c>
      <c r="D3788" s="41" t="s">
        <v>7237</v>
      </c>
      <c r="E3788" s="41" t="s">
        <v>2984</v>
      </c>
      <c r="F3788" s="41" t="s">
        <v>2930</v>
      </c>
      <c r="G3788" s="41" t="s">
        <v>2931</v>
      </c>
    </row>
    <row r="3789" spans="1:7" x14ac:dyDescent="0.25">
      <c r="A3789" s="41" t="s">
        <v>7281</v>
      </c>
      <c r="B3789" s="41" t="s">
        <v>6543</v>
      </c>
      <c r="C3789" s="41" t="s">
        <v>1239</v>
      </c>
      <c r="D3789" s="41" t="s">
        <v>6544</v>
      </c>
      <c r="E3789" s="41" t="s">
        <v>2929</v>
      </c>
      <c r="F3789" s="41" t="s">
        <v>2933</v>
      </c>
      <c r="G3789" s="41" t="s">
        <v>2934</v>
      </c>
    </row>
    <row r="3790" spans="1:7" x14ac:dyDescent="0.25">
      <c r="A3790" s="41" t="s">
        <v>7282</v>
      </c>
      <c r="B3790" s="41" t="s">
        <v>3141</v>
      </c>
      <c r="C3790" s="41" t="s">
        <v>74</v>
      </c>
      <c r="D3790" s="41" t="s">
        <v>3142</v>
      </c>
      <c r="E3790" s="41" t="s">
        <v>2929</v>
      </c>
      <c r="F3790" s="41" t="s">
        <v>2930</v>
      </c>
      <c r="G3790" s="41" t="s">
        <v>2931</v>
      </c>
    </row>
    <row r="3791" spans="1:7" x14ac:dyDescent="0.25">
      <c r="A3791" s="41" t="s">
        <v>7283</v>
      </c>
      <c r="B3791" s="41" t="s">
        <v>3113</v>
      </c>
      <c r="C3791" s="41" t="s">
        <v>95</v>
      </c>
      <c r="D3791" s="41" t="s">
        <v>150</v>
      </c>
      <c r="E3791" s="41" t="s">
        <v>2929</v>
      </c>
      <c r="F3791" s="41" t="s">
        <v>2930</v>
      </c>
      <c r="G3791" s="41" t="s">
        <v>2931</v>
      </c>
    </row>
    <row r="3792" spans="1:7" x14ac:dyDescent="0.25">
      <c r="A3792" s="41" t="s">
        <v>7284</v>
      </c>
      <c r="B3792" s="41" t="s">
        <v>3129</v>
      </c>
      <c r="C3792" s="41" t="s">
        <v>77</v>
      </c>
      <c r="D3792" s="41" t="s">
        <v>3130</v>
      </c>
      <c r="E3792" s="41" t="s">
        <v>2984</v>
      </c>
      <c r="F3792" s="41" t="s">
        <v>2930</v>
      </c>
      <c r="G3792" s="41" t="s">
        <v>2931</v>
      </c>
    </row>
    <row r="3793" spans="1:7" x14ac:dyDescent="0.25">
      <c r="A3793" s="41" t="s">
        <v>7285</v>
      </c>
      <c r="B3793" s="41" t="s">
        <v>3170</v>
      </c>
      <c r="C3793" s="41" t="s">
        <v>78</v>
      </c>
      <c r="D3793" s="41" t="s">
        <v>3171</v>
      </c>
      <c r="E3793" s="41" t="s">
        <v>2984</v>
      </c>
      <c r="F3793" s="41" t="s">
        <v>2949</v>
      </c>
      <c r="G3793" s="41" t="s">
        <v>2950</v>
      </c>
    </row>
    <row r="3794" spans="1:7" x14ac:dyDescent="0.25">
      <c r="A3794" s="41" t="s">
        <v>7286</v>
      </c>
      <c r="B3794" s="41" t="s">
        <v>3847</v>
      </c>
      <c r="C3794" s="41" t="s">
        <v>3097</v>
      </c>
      <c r="D3794" s="41" t="s">
        <v>3848</v>
      </c>
      <c r="E3794" s="41" t="s">
        <v>2929</v>
      </c>
      <c r="F3794" s="41" t="s">
        <v>3355</v>
      </c>
      <c r="G3794" s="41" t="s">
        <v>2950</v>
      </c>
    </row>
    <row r="3795" spans="1:7" x14ac:dyDescent="0.25">
      <c r="A3795" s="41" t="s">
        <v>7287</v>
      </c>
      <c r="B3795" s="41" t="s">
        <v>7288</v>
      </c>
      <c r="C3795" s="41" t="s">
        <v>74</v>
      </c>
      <c r="D3795" s="41" t="s">
        <v>7289</v>
      </c>
      <c r="E3795" s="41" t="s">
        <v>2984</v>
      </c>
      <c r="F3795" s="41" t="s">
        <v>2930</v>
      </c>
      <c r="G3795" s="41" t="s">
        <v>2931</v>
      </c>
    </row>
    <row r="3796" spans="1:7" x14ac:dyDescent="0.25">
      <c r="A3796" s="41" t="s">
        <v>7290</v>
      </c>
      <c r="B3796" s="41" t="s">
        <v>7291</v>
      </c>
      <c r="C3796" s="41" t="s">
        <v>77</v>
      </c>
      <c r="D3796" s="41" t="s">
        <v>7292</v>
      </c>
      <c r="E3796" s="41" t="s">
        <v>2984</v>
      </c>
      <c r="F3796" s="41" t="s">
        <v>2930</v>
      </c>
      <c r="G3796" s="41" t="s">
        <v>2931</v>
      </c>
    </row>
    <row r="3797" spans="1:7" x14ac:dyDescent="0.25">
      <c r="A3797" s="41" t="s">
        <v>7293</v>
      </c>
      <c r="B3797" s="41" t="s">
        <v>7294</v>
      </c>
      <c r="C3797" s="41" t="s">
        <v>128</v>
      </c>
      <c r="D3797" s="41" t="s">
        <v>7295</v>
      </c>
      <c r="E3797" s="41" t="s">
        <v>2984</v>
      </c>
      <c r="F3797" s="41" t="s">
        <v>2930</v>
      </c>
      <c r="G3797" s="41" t="s">
        <v>2931</v>
      </c>
    </row>
    <row r="3798" spans="1:7" x14ac:dyDescent="0.25">
      <c r="A3798" s="41" t="s">
        <v>7296</v>
      </c>
      <c r="B3798" s="41" t="s">
        <v>6867</v>
      </c>
      <c r="C3798" s="41" t="s">
        <v>78</v>
      </c>
      <c r="D3798" s="41" t="s">
        <v>6868</v>
      </c>
      <c r="E3798" s="41" t="s">
        <v>3009</v>
      </c>
      <c r="F3798" s="41" t="s">
        <v>2930</v>
      </c>
      <c r="G3798" s="41" t="s">
        <v>2950</v>
      </c>
    </row>
    <row r="3799" spans="1:7" x14ac:dyDescent="0.25">
      <c r="A3799" s="41" t="s">
        <v>7297</v>
      </c>
      <c r="B3799" s="41" t="s">
        <v>3091</v>
      </c>
      <c r="C3799" s="41" t="s">
        <v>78</v>
      </c>
      <c r="D3799" s="41" t="s">
        <v>3092</v>
      </c>
      <c r="E3799" s="41" t="s">
        <v>2929</v>
      </c>
      <c r="F3799" s="41" t="s">
        <v>2933</v>
      </c>
      <c r="G3799" s="41" t="s">
        <v>2934</v>
      </c>
    </row>
    <row r="3800" spans="1:7" x14ac:dyDescent="0.25">
      <c r="A3800" s="41" t="s">
        <v>7298</v>
      </c>
      <c r="B3800" s="41" t="s">
        <v>7299</v>
      </c>
      <c r="C3800" s="41" t="s">
        <v>78</v>
      </c>
      <c r="D3800" s="41" t="s">
        <v>7300</v>
      </c>
      <c r="E3800" s="41" t="s">
        <v>2984</v>
      </c>
      <c r="F3800" s="41" t="s">
        <v>2930</v>
      </c>
      <c r="G3800" s="41" t="s">
        <v>2931</v>
      </c>
    </row>
    <row r="3801" spans="1:7" x14ac:dyDescent="0.25">
      <c r="A3801" s="41" t="s">
        <v>7301</v>
      </c>
      <c r="B3801" s="41" t="s">
        <v>7302</v>
      </c>
      <c r="C3801" s="41" t="s">
        <v>77</v>
      </c>
      <c r="D3801" s="41" t="s">
        <v>7303</v>
      </c>
      <c r="E3801" s="41" t="s">
        <v>2984</v>
      </c>
      <c r="F3801" s="41" t="s">
        <v>2949</v>
      </c>
      <c r="G3801" s="41" t="s">
        <v>2950</v>
      </c>
    </row>
    <row r="3802" spans="1:7" x14ac:dyDescent="0.25">
      <c r="A3802" s="41" t="s">
        <v>7304</v>
      </c>
      <c r="B3802" s="41" t="s">
        <v>3293</v>
      </c>
      <c r="C3802" s="41" t="s">
        <v>78</v>
      </c>
      <c r="D3802" s="41" t="s">
        <v>3294</v>
      </c>
      <c r="E3802" s="41" t="s">
        <v>2929</v>
      </c>
      <c r="F3802" s="41" t="s">
        <v>2930</v>
      </c>
      <c r="G3802" s="41" t="s">
        <v>2931</v>
      </c>
    </row>
    <row r="3803" spans="1:7" x14ac:dyDescent="0.25">
      <c r="A3803" s="41" t="s">
        <v>7305</v>
      </c>
      <c r="B3803" s="41" t="s">
        <v>7306</v>
      </c>
      <c r="C3803" s="41" t="s">
        <v>77</v>
      </c>
      <c r="D3803" s="41" t="s">
        <v>3710</v>
      </c>
      <c r="E3803" s="41" t="s">
        <v>2929</v>
      </c>
      <c r="F3803" s="41" t="s">
        <v>2930</v>
      </c>
      <c r="G3803" s="41" t="s">
        <v>2931</v>
      </c>
    </row>
    <row r="3804" spans="1:7" x14ac:dyDescent="0.25">
      <c r="A3804" s="41" t="s">
        <v>7307</v>
      </c>
      <c r="B3804" s="41" t="s">
        <v>3239</v>
      </c>
      <c r="C3804" s="41" t="s">
        <v>74</v>
      </c>
      <c r="D3804" s="41" t="s">
        <v>3240</v>
      </c>
      <c r="E3804" s="41" t="s">
        <v>2984</v>
      </c>
      <c r="F3804" s="41" t="s">
        <v>2949</v>
      </c>
      <c r="G3804" s="41" t="s">
        <v>2950</v>
      </c>
    </row>
    <row r="3805" spans="1:7" x14ac:dyDescent="0.25">
      <c r="A3805" s="41" t="s">
        <v>7308</v>
      </c>
      <c r="B3805" s="41" t="s">
        <v>7302</v>
      </c>
      <c r="C3805" s="41" t="s">
        <v>77</v>
      </c>
      <c r="D3805" s="41" t="s">
        <v>7303</v>
      </c>
      <c r="E3805" s="41" t="s">
        <v>2929</v>
      </c>
      <c r="F3805" s="41" t="s">
        <v>2933</v>
      </c>
      <c r="G3805" s="41" t="s">
        <v>2934</v>
      </c>
    </row>
    <row r="3806" spans="1:7" x14ac:dyDescent="0.25">
      <c r="A3806" s="41" t="s">
        <v>7309</v>
      </c>
      <c r="B3806" s="41" t="s">
        <v>7240</v>
      </c>
      <c r="C3806" s="41" t="s">
        <v>77</v>
      </c>
      <c r="D3806" s="41" t="s">
        <v>7241</v>
      </c>
      <c r="E3806" s="41" t="s">
        <v>2929</v>
      </c>
      <c r="F3806" s="41" t="s">
        <v>2933</v>
      </c>
      <c r="G3806" s="41" t="s">
        <v>2934</v>
      </c>
    </row>
    <row r="3807" spans="1:7" x14ac:dyDescent="0.25">
      <c r="A3807" s="41" t="s">
        <v>7310</v>
      </c>
      <c r="B3807" s="41" t="s">
        <v>7233</v>
      </c>
      <c r="C3807" s="41" t="s">
        <v>78</v>
      </c>
      <c r="D3807" s="41" t="s">
        <v>7234</v>
      </c>
      <c r="E3807" s="41" t="s">
        <v>2929</v>
      </c>
      <c r="F3807" s="41" t="s">
        <v>2933</v>
      </c>
      <c r="G3807" s="41" t="s">
        <v>2934</v>
      </c>
    </row>
    <row r="3808" spans="1:7" x14ac:dyDescent="0.25">
      <c r="A3808" s="41" t="s">
        <v>7311</v>
      </c>
      <c r="B3808" s="41" t="s">
        <v>7240</v>
      </c>
      <c r="C3808" s="41" t="s">
        <v>77</v>
      </c>
      <c r="D3808" s="41" t="s">
        <v>7241</v>
      </c>
      <c r="E3808" s="41" t="s">
        <v>3009</v>
      </c>
      <c r="F3808" s="41" t="s">
        <v>2949</v>
      </c>
      <c r="G3808" s="41" t="s">
        <v>2950</v>
      </c>
    </row>
    <row r="3809" spans="1:7" x14ac:dyDescent="0.25">
      <c r="A3809" s="41" t="s">
        <v>7312</v>
      </c>
      <c r="B3809" s="41" t="s">
        <v>7233</v>
      </c>
      <c r="C3809" s="41" t="s">
        <v>78</v>
      </c>
      <c r="D3809" s="41" t="s">
        <v>7234</v>
      </c>
      <c r="E3809" s="41" t="s">
        <v>2929</v>
      </c>
      <c r="F3809" s="41" t="s">
        <v>2949</v>
      </c>
      <c r="G3809" s="41" t="s">
        <v>2950</v>
      </c>
    </row>
    <row r="3810" spans="1:7" x14ac:dyDescent="0.25">
      <c r="A3810" s="41" t="s">
        <v>7313</v>
      </c>
      <c r="B3810" s="41" t="s">
        <v>3290</v>
      </c>
      <c r="C3810" s="41" t="s">
        <v>1239</v>
      </c>
      <c r="D3810" s="41" t="s">
        <v>3291</v>
      </c>
      <c r="E3810" s="41" t="s">
        <v>2929</v>
      </c>
      <c r="F3810" s="41" t="s">
        <v>2949</v>
      </c>
      <c r="G3810" s="41" t="s">
        <v>2950</v>
      </c>
    </row>
    <row r="3811" spans="1:7" x14ac:dyDescent="0.25">
      <c r="A3811" s="41" t="s">
        <v>7314</v>
      </c>
      <c r="B3811" s="41" t="s">
        <v>7224</v>
      </c>
      <c r="C3811" s="41" t="s">
        <v>4366</v>
      </c>
      <c r="D3811" s="41" t="s">
        <v>7225</v>
      </c>
      <c r="E3811" s="41" t="s">
        <v>2929</v>
      </c>
      <c r="F3811" s="41" t="s">
        <v>2933</v>
      </c>
      <c r="G3811" s="41" t="s">
        <v>2934</v>
      </c>
    </row>
    <row r="3812" spans="1:7" x14ac:dyDescent="0.25">
      <c r="A3812" s="41" t="s">
        <v>7315</v>
      </c>
      <c r="B3812" s="41" t="s">
        <v>3293</v>
      </c>
      <c r="C3812" s="41" t="s">
        <v>78</v>
      </c>
      <c r="D3812" s="41" t="s">
        <v>3294</v>
      </c>
      <c r="E3812" s="41" t="s">
        <v>2929</v>
      </c>
      <c r="F3812" s="41" t="s">
        <v>2933</v>
      </c>
      <c r="G3812" s="41" t="s">
        <v>2934</v>
      </c>
    </row>
    <row r="3813" spans="1:7" x14ac:dyDescent="0.25">
      <c r="A3813" s="41" t="s">
        <v>7316</v>
      </c>
      <c r="B3813" s="41" t="s">
        <v>7233</v>
      </c>
      <c r="C3813" s="41" t="s">
        <v>78</v>
      </c>
      <c r="D3813" s="41" t="s">
        <v>7234</v>
      </c>
      <c r="E3813" s="41" t="s">
        <v>2984</v>
      </c>
      <c r="F3813" s="41" t="s">
        <v>2930</v>
      </c>
      <c r="G3813" s="41" t="s">
        <v>2931</v>
      </c>
    </row>
    <row r="3814" spans="1:7" x14ac:dyDescent="0.25">
      <c r="A3814" s="41" t="s">
        <v>7317</v>
      </c>
      <c r="B3814" s="41" t="s">
        <v>7236</v>
      </c>
      <c r="C3814" s="41" t="s">
        <v>77</v>
      </c>
      <c r="D3814" s="41" t="s">
        <v>7237</v>
      </c>
      <c r="E3814" s="41" t="s">
        <v>2984</v>
      </c>
      <c r="F3814" s="41" t="s">
        <v>2930</v>
      </c>
      <c r="G3814" s="41" t="s">
        <v>2931</v>
      </c>
    </row>
    <row r="3815" spans="1:7" x14ac:dyDescent="0.25">
      <c r="A3815" s="41" t="s">
        <v>7318</v>
      </c>
      <c r="B3815" s="41" t="s">
        <v>7319</v>
      </c>
      <c r="C3815" s="41" t="s">
        <v>95</v>
      </c>
      <c r="D3815" s="41" t="s">
        <v>7320</v>
      </c>
      <c r="E3815" s="41" t="s">
        <v>2984</v>
      </c>
      <c r="F3815" s="41" t="s">
        <v>2930</v>
      </c>
      <c r="G3815" s="41" t="s">
        <v>2931</v>
      </c>
    </row>
    <row r="3816" spans="1:7" x14ac:dyDescent="0.25">
      <c r="A3816" s="41" t="s">
        <v>7321</v>
      </c>
      <c r="B3816" s="41" t="s">
        <v>7322</v>
      </c>
      <c r="C3816" s="41" t="s">
        <v>77</v>
      </c>
      <c r="D3816" s="41" t="s">
        <v>7323</v>
      </c>
      <c r="E3816" s="41" t="s">
        <v>2984</v>
      </c>
      <c r="F3816" s="41" t="s">
        <v>2949</v>
      </c>
      <c r="G3816" s="41" t="s">
        <v>2950</v>
      </c>
    </row>
    <row r="3817" spans="1:7" x14ac:dyDescent="0.25">
      <c r="A3817" s="41" t="s">
        <v>7324</v>
      </c>
      <c r="B3817" s="41" t="s">
        <v>7325</v>
      </c>
      <c r="C3817" s="41" t="s">
        <v>3097</v>
      </c>
      <c r="D3817" s="41" t="s">
        <v>7326</v>
      </c>
      <c r="E3817" s="41" t="s">
        <v>2984</v>
      </c>
      <c r="F3817" s="41" t="s">
        <v>2930</v>
      </c>
      <c r="G3817" s="41" t="s">
        <v>2931</v>
      </c>
    </row>
    <row r="3818" spans="1:7" x14ac:dyDescent="0.25">
      <c r="A3818" s="41" t="s">
        <v>7327</v>
      </c>
      <c r="B3818" s="41" t="s">
        <v>7197</v>
      </c>
      <c r="C3818" s="41" t="s">
        <v>77</v>
      </c>
      <c r="D3818" s="41" t="s">
        <v>7198</v>
      </c>
      <c r="E3818" s="41" t="s">
        <v>2929</v>
      </c>
      <c r="F3818" s="41" t="s">
        <v>2930</v>
      </c>
      <c r="G3818" s="41" t="s">
        <v>2931</v>
      </c>
    </row>
    <row r="3819" spans="1:7" x14ac:dyDescent="0.25">
      <c r="A3819" s="41" t="s">
        <v>7328</v>
      </c>
      <c r="B3819" s="41" t="s">
        <v>7197</v>
      </c>
      <c r="C3819" s="41" t="s">
        <v>77</v>
      </c>
      <c r="D3819" s="41" t="s">
        <v>7198</v>
      </c>
      <c r="E3819" s="41" t="s">
        <v>2929</v>
      </c>
      <c r="F3819" s="41" t="s">
        <v>2949</v>
      </c>
      <c r="G3819" s="41" t="s">
        <v>2950</v>
      </c>
    </row>
    <row r="3820" spans="1:7" x14ac:dyDescent="0.25">
      <c r="A3820" s="41" t="s">
        <v>7329</v>
      </c>
      <c r="B3820" s="41" t="s">
        <v>7244</v>
      </c>
      <c r="C3820" s="41" t="s">
        <v>77</v>
      </c>
      <c r="D3820" s="41" t="s">
        <v>7245</v>
      </c>
      <c r="E3820" s="41" t="s">
        <v>2929</v>
      </c>
      <c r="F3820" s="41" t="s">
        <v>2949</v>
      </c>
      <c r="G3820" s="41" t="s">
        <v>2950</v>
      </c>
    </row>
    <row r="3821" spans="1:7" x14ac:dyDescent="0.25">
      <c r="A3821" s="41" t="s">
        <v>7330</v>
      </c>
      <c r="B3821" s="41" t="s">
        <v>7331</v>
      </c>
      <c r="C3821" s="41" t="s">
        <v>77</v>
      </c>
      <c r="D3821" s="41" t="s">
        <v>3710</v>
      </c>
      <c r="E3821" s="41" t="s">
        <v>2929</v>
      </c>
      <c r="F3821" s="41" t="s">
        <v>2949</v>
      </c>
      <c r="G3821" s="41" t="s">
        <v>2950</v>
      </c>
    </row>
    <row r="3822" spans="1:7" x14ac:dyDescent="0.25">
      <c r="A3822" s="41" t="s">
        <v>7332</v>
      </c>
      <c r="B3822" s="41" t="s">
        <v>4206</v>
      </c>
      <c r="C3822" s="41" t="s">
        <v>3097</v>
      </c>
      <c r="D3822" s="41" t="s">
        <v>4207</v>
      </c>
      <c r="E3822" s="41" t="s">
        <v>2929</v>
      </c>
      <c r="F3822" s="41" t="s">
        <v>2933</v>
      </c>
      <c r="G3822" s="41" t="s">
        <v>2934</v>
      </c>
    </row>
    <row r="3823" spans="1:7" x14ac:dyDescent="0.25">
      <c r="A3823" s="41" t="s">
        <v>7333</v>
      </c>
      <c r="B3823" s="41" t="s">
        <v>4179</v>
      </c>
      <c r="C3823" s="41" t="s">
        <v>74</v>
      </c>
      <c r="D3823" s="41" t="s">
        <v>4180</v>
      </c>
      <c r="E3823" s="41" t="s">
        <v>2929</v>
      </c>
      <c r="F3823" s="41" t="s">
        <v>2949</v>
      </c>
      <c r="G3823" s="41" t="s">
        <v>2950</v>
      </c>
    </row>
    <row r="3824" spans="1:7" x14ac:dyDescent="0.25">
      <c r="A3824" s="41" t="s">
        <v>7334</v>
      </c>
      <c r="B3824" s="41" t="s">
        <v>7335</v>
      </c>
      <c r="C3824" s="41" t="s">
        <v>95</v>
      </c>
      <c r="D3824" s="41" t="s">
        <v>7336</v>
      </c>
      <c r="E3824" s="41" t="s">
        <v>2929</v>
      </c>
      <c r="F3824" s="41" t="s">
        <v>2933</v>
      </c>
      <c r="G3824" s="41" t="s">
        <v>2934</v>
      </c>
    </row>
    <row r="3825" spans="1:7" x14ac:dyDescent="0.25">
      <c r="A3825" s="41" t="s">
        <v>7337</v>
      </c>
      <c r="B3825" s="41" t="s">
        <v>7338</v>
      </c>
      <c r="C3825" s="41" t="s">
        <v>77</v>
      </c>
      <c r="D3825" s="41" t="s">
        <v>7339</v>
      </c>
      <c r="E3825" s="41" t="s">
        <v>2929</v>
      </c>
      <c r="F3825" s="41" t="s">
        <v>2933</v>
      </c>
      <c r="G3825" s="41" t="s">
        <v>2934</v>
      </c>
    </row>
    <row r="3826" spans="1:7" x14ac:dyDescent="0.25">
      <c r="A3826" s="41" t="s">
        <v>7340</v>
      </c>
      <c r="B3826" s="41" t="s">
        <v>7341</v>
      </c>
      <c r="C3826" s="41" t="s">
        <v>4366</v>
      </c>
      <c r="D3826" s="41" t="s">
        <v>7342</v>
      </c>
      <c r="E3826" s="41" t="s">
        <v>2929</v>
      </c>
      <c r="F3826" s="41" t="s">
        <v>2933</v>
      </c>
      <c r="G3826" s="41" t="s">
        <v>2934</v>
      </c>
    </row>
    <row r="3827" spans="1:7" x14ac:dyDescent="0.25">
      <c r="A3827" s="41" t="s">
        <v>7343</v>
      </c>
      <c r="B3827" s="41" t="s">
        <v>7344</v>
      </c>
      <c r="C3827" s="41" t="s">
        <v>6890</v>
      </c>
      <c r="D3827" s="41" t="s">
        <v>7345</v>
      </c>
      <c r="E3827" s="41" t="s">
        <v>2929</v>
      </c>
      <c r="F3827" s="41" t="s">
        <v>2933</v>
      </c>
      <c r="G3827" s="41" t="s">
        <v>2934</v>
      </c>
    </row>
    <row r="3828" spans="1:7" x14ac:dyDescent="0.25">
      <c r="A3828" s="41" t="s">
        <v>7346</v>
      </c>
      <c r="B3828" s="41" t="s">
        <v>4056</v>
      </c>
      <c r="C3828" s="41" t="s">
        <v>77</v>
      </c>
      <c r="D3828" s="41" t="s">
        <v>4057</v>
      </c>
      <c r="E3828" s="41" t="s">
        <v>2929</v>
      </c>
      <c r="F3828" s="41" t="s">
        <v>2933</v>
      </c>
      <c r="G3828" s="41" t="s">
        <v>2934</v>
      </c>
    </row>
    <row r="3829" spans="1:7" x14ac:dyDescent="0.25">
      <c r="A3829" s="41" t="s">
        <v>7347</v>
      </c>
      <c r="B3829" s="41" t="s">
        <v>7166</v>
      </c>
      <c r="C3829" s="41" t="s">
        <v>78</v>
      </c>
      <c r="D3829" s="41" t="s">
        <v>7167</v>
      </c>
      <c r="E3829" s="41" t="s">
        <v>2984</v>
      </c>
      <c r="F3829" s="41" t="s">
        <v>2930</v>
      </c>
      <c r="G3829" s="41" t="s">
        <v>2931</v>
      </c>
    </row>
    <row r="3830" spans="1:7" x14ac:dyDescent="0.25">
      <c r="A3830" s="41" t="s">
        <v>7348</v>
      </c>
      <c r="B3830" s="41" t="s">
        <v>7349</v>
      </c>
      <c r="C3830" s="41" t="s">
        <v>74</v>
      </c>
      <c r="D3830" s="41" t="s">
        <v>4180</v>
      </c>
      <c r="E3830" s="41" t="s">
        <v>2929</v>
      </c>
      <c r="F3830" s="41" t="s">
        <v>2949</v>
      </c>
      <c r="G3830" s="41" t="s">
        <v>2950</v>
      </c>
    </row>
    <row r="3831" spans="1:7" x14ac:dyDescent="0.25">
      <c r="A3831" s="41" t="s">
        <v>7350</v>
      </c>
      <c r="B3831" s="41" t="s">
        <v>3402</v>
      </c>
      <c r="C3831" s="41" t="s">
        <v>95</v>
      </c>
      <c r="D3831" s="41" t="s">
        <v>3403</v>
      </c>
      <c r="E3831" s="41" t="s">
        <v>2984</v>
      </c>
      <c r="F3831" s="41" t="s">
        <v>2933</v>
      </c>
      <c r="G3831" s="41" t="s">
        <v>2934</v>
      </c>
    </row>
    <row r="3832" spans="1:7" x14ac:dyDescent="0.25">
      <c r="A3832" s="41" t="s">
        <v>7351</v>
      </c>
      <c r="B3832" s="41" t="s">
        <v>4206</v>
      </c>
      <c r="C3832" s="41" t="s">
        <v>3097</v>
      </c>
      <c r="D3832" s="41" t="s">
        <v>4207</v>
      </c>
      <c r="E3832" s="41" t="s">
        <v>2984</v>
      </c>
      <c r="F3832" s="41" t="s">
        <v>2930</v>
      </c>
      <c r="G3832" s="41" t="s">
        <v>2931</v>
      </c>
    </row>
    <row r="3833" spans="1:7" x14ac:dyDescent="0.25">
      <c r="A3833" s="41" t="s">
        <v>7352</v>
      </c>
      <c r="B3833" s="41" t="s">
        <v>4203</v>
      </c>
      <c r="C3833" s="41" t="s">
        <v>78</v>
      </c>
      <c r="D3833" s="41" t="s">
        <v>4204</v>
      </c>
      <c r="E3833" s="41" t="s">
        <v>2929</v>
      </c>
      <c r="F3833" s="41" t="s">
        <v>2930</v>
      </c>
      <c r="G3833" s="41" t="s">
        <v>2931</v>
      </c>
    </row>
    <row r="3834" spans="1:7" x14ac:dyDescent="0.25">
      <c r="A3834" s="41" t="s">
        <v>7353</v>
      </c>
      <c r="B3834" s="41" t="s">
        <v>7354</v>
      </c>
      <c r="C3834" s="41" t="s">
        <v>4366</v>
      </c>
      <c r="D3834" s="41" t="s">
        <v>7355</v>
      </c>
      <c r="E3834" s="41" t="s">
        <v>2929</v>
      </c>
      <c r="F3834" s="41" t="s">
        <v>2933</v>
      </c>
      <c r="G3834" s="41" t="s">
        <v>2934</v>
      </c>
    </row>
    <row r="3835" spans="1:7" x14ac:dyDescent="0.25">
      <c r="A3835" s="41" t="s">
        <v>7356</v>
      </c>
      <c r="B3835" s="41" t="s">
        <v>6794</v>
      </c>
      <c r="C3835" s="41" t="s">
        <v>74</v>
      </c>
      <c r="D3835" s="41" t="s">
        <v>6795</v>
      </c>
      <c r="E3835" s="41" t="s">
        <v>2984</v>
      </c>
      <c r="F3835" s="41" t="s">
        <v>2930</v>
      </c>
      <c r="G3835" s="41" t="s">
        <v>2931</v>
      </c>
    </row>
    <row r="3836" spans="1:7" x14ac:dyDescent="0.25">
      <c r="A3836" s="41" t="s">
        <v>7357</v>
      </c>
      <c r="B3836" s="41" t="s">
        <v>7358</v>
      </c>
      <c r="C3836" s="41" t="s">
        <v>469</v>
      </c>
      <c r="D3836" s="41" t="s">
        <v>7359</v>
      </c>
      <c r="E3836" s="41" t="s">
        <v>2984</v>
      </c>
      <c r="F3836" s="41" t="s">
        <v>6969</v>
      </c>
      <c r="G3836" s="41" t="s">
        <v>2931</v>
      </c>
    </row>
    <row r="3837" spans="1:7" x14ac:dyDescent="0.25">
      <c r="A3837" s="41" t="s">
        <v>7360</v>
      </c>
      <c r="B3837" s="41" t="s">
        <v>7361</v>
      </c>
      <c r="C3837" s="41" t="s">
        <v>469</v>
      </c>
      <c r="D3837" s="41" t="s">
        <v>7362</v>
      </c>
      <c r="E3837" s="41" t="s">
        <v>2984</v>
      </c>
      <c r="F3837" s="41" t="s">
        <v>6969</v>
      </c>
      <c r="G3837" s="41" t="s">
        <v>2931</v>
      </c>
    </row>
    <row r="3838" spans="1:7" x14ac:dyDescent="0.25">
      <c r="A3838" s="41" t="s">
        <v>7363</v>
      </c>
      <c r="B3838" s="41" t="s">
        <v>3706</v>
      </c>
      <c r="C3838" s="41" t="s">
        <v>77</v>
      </c>
      <c r="D3838" s="41" t="s">
        <v>3707</v>
      </c>
      <c r="E3838" s="41" t="s">
        <v>2929</v>
      </c>
      <c r="F3838" s="41" t="s">
        <v>2933</v>
      </c>
      <c r="G3838" s="41" t="s">
        <v>2934</v>
      </c>
    </row>
    <row r="3839" spans="1:7" x14ac:dyDescent="0.25">
      <c r="A3839" s="41" t="s">
        <v>7364</v>
      </c>
      <c r="B3839" s="41" t="s">
        <v>3402</v>
      </c>
      <c r="C3839" s="41" t="s">
        <v>95</v>
      </c>
      <c r="D3839" s="41" t="s">
        <v>3403</v>
      </c>
      <c r="E3839" s="41" t="s">
        <v>2984</v>
      </c>
      <c r="F3839" s="41" t="s">
        <v>2930</v>
      </c>
      <c r="G3839" s="41" t="s">
        <v>2931</v>
      </c>
    </row>
    <row r="3840" spans="1:7" x14ac:dyDescent="0.25">
      <c r="A3840" s="41" t="s">
        <v>7365</v>
      </c>
      <c r="B3840" s="41" t="s">
        <v>3402</v>
      </c>
      <c r="C3840" s="41" t="s">
        <v>95</v>
      </c>
      <c r="D3840" s="41" t="s">
        <v>3403</v>
      </c>
      <c r="E3840" s="41" t="s">
        <v>2929</v>
      </c>
      <c r="F3840" s="41" t="s">
        <v>2949</v>
      </c>
      <c r="G3840" s="41" t="s">
        <v>2950</v>
      </c>
    </row>
    <row r="3841" spans="1:7" x14ac:dyDescent="0.25">
      <c r="A3841" s="41" t="s">
        <v>7366</v>
      </c>
      <c r="B3841" s="41" t="s">
        <v>7174</v>
      </c>
      <c r="C3841" s="41" t="s">
        <v>74</v>
      </c>
      <c r="D3841" s="41" t="s">
        <v>7175</v>
      </c>
      <c r="E3841" s="41" t="s">
        <v>2984</v>
      </c>
      <c r="F3841" s="41" t="s">
        <v>2949</v>
      </c>
      <c r="G3841" s="41" t="s">
        <v>2950</v>
      </c>
    </row>
    <row r="3842" spans="1:7" x14ac:dyDescent="0.25">
      <c r="A3842" s="41" t="s">
        <v>7367</v>
      </c>
      <c r="B3842" s="41" t="s">
        <v>7244</v>
      </c>
      <c r="C3842" s="41" t="s">
        <v>77</v>
      </c>
      <c r="D3842" s="41" t="s">
        <v>7245</v>
      </c>
      <c r="E3842" s="41" t="s">
        <v>2929</v>
      </c>
      <c r="F3842" s="41" t="s">
        <v>2949</v>
      </c>
      <c r="G3842" s="41" t="s">
        <v>2950</v>
      </c>
    </row>
    <row r="3843" spans="1:7" x14ac:dyDescent="0.25">
      <c r="A3843" s="41" t="s">
        <v>7368</v>
      </c>
      <c r="B3843" s="41" t="s">
        <v>7244</v>
      </c>
      <c r="C3843" s="41" t="s">
        <v>77</v>
      </c>
      <c r="D3843" s="41" t="s">
        <v>7245</v>
      </c>
      <c r="E3843" s="41" t="s">
        <v>2929</v>
      </c>
      <c r="F3843" s="41" t="s">
        <v>2933</v>
      </c>
      <c r="G3843" s="41" t="s">
        <v>2934</v>
      </c>
    </row>
    <row r="3844" spans="1:7" x14ac:dyDescent="0.25">
      <c r="A3844" s="41" t="s">
        <v>7369</v>
      </c>
      <c r="B3844" s="41" t="s">
        <v>7244</v>
      </c>
      <c r="C3844" s="41" t="s">
        <v>77</v>
      </c>
      <c r="D3844" s="41" t="s">
        <v>7245</v>
      </c>
      <c r="E3844" s="41" t="s">
        <v>2929</v>
      </c>
      <c r="F3844" s="41" t="s">
        <v>2930</v>
      </c>
      <c r="G3844" s="41" t="s">
        <v>2931</v>
      </c>
    </row>
    <row r="3845" spans="1:7" x14ac:dyDescent="0.25">
      <c r="A3845" s="41" t="s">
        <v>7370</v>
      </c>
      <c r="B3845" s="41" t="s">
        <v>7244</v>
      </c>
      <c r="C3845" s="41" t="s">
        <v>77</v>
      </c>
      <c r="D3845" s="41" t="s">
        <v>7245</v>
      </c>
      <c r="E3845" s="41" t="s">
        <v>2984</v>
      </c>
      <c r="F3845" s="41" t="s">
        <v>2933</v>
      </c>
      <c r="G3845" s="41" t="s">
        <v>2934</v>
      </c>
    </row>
    <row r="3846" spans="1:7" x14ac:dyDescent="0.25">
      <c r="A3846" s="41" t="s">
        <v>7371</v>
      </c>
      <c r="B3846" s="41" t="s">
        <v>7233</v>
      </c>
      <c r="C3846" s="41" t="s">
        <v>78</v>
      </c>
      <c r="D3846" s="41" t="s">
        <v>7234</v>
      </c>
      <c r="E3846" s="41" t="s">
        <v>2929</v>
      </c>
      <c r="F3846" s="41" t="s">
        <v>2933</v>
      </c>
      <c r="G3846" s="41" t="s">
        <v>2934</v>
      </c>
    </row>
    <row r="3847" spans="1:7" x14ac:dyDescent="0.25">
      <c r="A3847" s="41" t="s">
        <v>7372</v>
      </c>
      <c r="B3847" s="41" t="s">
        <v>7233</v>
      </c>
      <c r="C3847" s="41" t="s">
        <v>78</v>
      </c>
      <c r="D3847" s="41" t="s">
        <v>7234</v>
      </c>
      <c r="E3847" s="41" t="s">
        <v>2929</v>
      </c>
      <c r="F3847" s="41" t="s">
        <v>2930</v>
      </c>
      <c r="G3847" s="41" t="s">
        <v>2931</v>
      </c>
    </row>
    <row r="3848" spans="1:7" x14ac:dyDescent="0.25">
      <c r="A3848" s="41" t="s">
        <v>7373</v>
      </c>
      <c r="B3848" s="41" t="s">
        <v>7233</v>
      </c>
      <c r="C3848" s="41" t="s">
        <v>78</v>
      </c>
      <c r="D3848" s="41" t="s">
        <v>7234</v>
      </c>
      <c r="E3848" s="41" t="s">
        <v>2929</v>
      </c>
      <c r="F3848" s="41" t="s">
        <v>2949</v>
      </c>
      <c r="G3848" s="41" t="s">
        <v>2950</v>
      </c>
    </row>
    <row r="3849" spans="1:7" x14ac:dyDescent="0.25">
      <c r="A3849" s="41" t="s">
        <v>7374</v>
      </c>
      <c r="B3849" s="41" t="s">
        <v>7233</v>
      </c>
      <c r="C3849" s="41" t="s">
        <v>78</v>
      </c>
      <c r="D3849" s="41" t="s">
        <v>7234</v>
      </c>
      <c r="E3849" s="41" t="s">
        <v>2984</v>
      </c>
      <c r="F3849" s="41" t="s">
        <v>2933</v>
      </c>
      <c r="G3849" s="41" t="s">
        <v>2934</v>
      </c>
    </row>
    <row r="3850" spans="1:7" x14ac:dyDescent="0.25">
      <c r="A3850" s="41" t="s">
        <v>7375</v>
      </c>
      <c r="B3850" s="41" t="s">
        <v>7233</v>
      </c>
      <c r="C3850" s="41" t="s">
        <v>78</v>
      </c>
      <c r="D3850" s="41" t="s">
        <v>7234</v>
      </c>
      <c r="E3850" s="41" t="s">
        <v>2984</v>
      </c>
      <c r="F3850" s="41" t="s">
        <v>2949</v>
      </c>
      <c r="G3850" s="41" t="s">
        <v>2950</v>
      </c>
    </row>
    <row r="3851" spans="1:7" x14ac:dyDescent="0.25">
      <c r="A3851" s="41" t="s">
        <v>7376</v>
      </c>
      <c r="B3851" s="41" t="s">
        <v>7377</v>
      </c>
      <c r="C3851" s="41" t="s">
        <v>4366</v>
      </c>
      <c r="D3851" s="41" t="s">
        <v>7378</v>
      </c>
      <c r="E3851" s="41" t="s">
        <v>2929</v>
      </c>
      <c r="F3851" s="41" t="s">
        <v>2930</v>
      </c>
      <c r="G3851" s="41" t="s">
        <v>2931</v>
      </c>
    </row>
    <row r="3852" spans="1:7" x14ac:dyDescent="0.25">
      <c r="A3852" s="41" t="s">
        <v>7379</v>
      </c>
      <c r="B3852" s="41" t="s">
        <v>7065</v>
      </c>
      <c r="C3852" s="41" t="s">
        <v>77</v>
      </c>
      <c r="D3852" s="41" t="s">
        <v>7066</v>
      </c>
      <c r="E3852" s="41" t="s">
        <v>2929</v>
      </c>
      <c r="F3852" s="41" t="s">
        <v>2949</v>
      </c>
      <c r="G3852" s="41" t="s">
        <v>2950</v>
      </c>
    </row>
    <row r="3853" spans="1:7" x14ac:dyDescent="0.25">
      <c r="A3853" s="41" t="s">
        <v>7380</v>
      </c>
      <c r="B3853" s="41" t="s">
        <v>7381</v>
      </c>
      <c r="C3853" s="41" t="s">
        <v>4366</v>
      </c>
      <c r="D3853" s="41" t="s">
        <v>7382</v>
      </c>
      <c r="E3853" s="41" t="s">
        <v>2984</v>
      </c>
      <c r="F3853" s="41" t="s">
        <v>2933</v>
      </c>
      <c r="G3853" s="41" t="s">
        <v>2934</v>
      </c>
    </row>
    <row r="3854" spans="1:7" x14ac:dyDescent="0.25">
      <c r="A3854" s="41" t="s">
        <v>7383</v>
      </c>
      <c r="B3854" s="41" t="s">
        <v>7381</v>
      </c>
      <c r="C3854" s="41" t="s">
        <v>4366</v>
      </c>
      <c r="D3854" s="41" t="s">
        <v>7382</v>
      </c>
      <c r="E3854" s="41" t="s">
        <v>2929</v>
      </c>
      <c r="F3854" s="41" t="s">
        <v>2930</v>
      </c>
      <c r="G3854" s="41" t="s">
        <v>2931</v>
      </c>
    </row>
    <row r="3855" spans="1:7" x14ac:dyDescent="0.25">
      <c r="A3855" s="41" t="s">
        <v>7384</v>
      </c>
      <c r="B3855" s="41" t="s">
        <v>7381</v>
      </c>
      <c r="C3855" s="41" t="s">
        <v>4366</v>
      </c>
      <c r="D3855" s="41" t="s">
        <v>7382</v>
      </c>
      <c r="E3855" s="41" t="s">
        <v>2984</v>
      </c>
      <c r="F3855" s="41" t="s">
        <v>2930</v>
      </c>
      <c r="G3855" s="41" t="s">
        <v>2931</v>
      </c>
    </row>
    <row r="3856" spans="1:7" x14ac:dyDescent="0.25">
      <c r="A3856" s="41" t="s">
        <v>7385</v>
      </c>
      <c r="B3856" s="41" t="s">
        <v>7381</v>
      </c>
      <c r="C3856" s="41" t="s">
        <v>4366</v>
      </c>
      <c r="D3856" s="41" t="s">
        <v>7382</v>
      </c>
      <c r="E3856" s="41" t="s">
        <v>2984</v>
      </c>
      <c r="F3856" s="41" t="s">
        <v>2949</v>
      </c>
      <c r="G3856" s="41" t="s">
        <v>2950</v>
      </c>
    </row>
    <row r="3857" spans="1:7" x14ac:dyDescent="0.25">
      <c r="A3857" s="41" t="s">
        <v>7386</v>
      </c>
      <c r="B3857" s="41" t="s">
        <v>7381</v>
      </c>
      <c r="C3857" s="41" t="s">
        <v>4366</v>
      </c>
      <c r="D3857" s="41" t="s">
        <v>7382</v>
      </c>
      <c r="E3857" s="41" t="s">
        <v>2929</v>
      </c>
      <c r="F3857" s="41" t="s">
        <v>2949</v>
      </c>
      <c r="G3857" s="41" t="s">
        <v>2950</v>
      </c>
    </row>
    <row r="3858" spans="1:7" x14ac:dyDescent="0.25">
      <c r="A3858" s="41" t="s">
        <v>7387</v>
      </c>
      <c r="B3858" s="41" t="s">
        <v>7381</v>
      </c>
      <c r="C3858" s="41" t="s">
        <v>4366</v>
      </c>
      <c r="D3858" s="41" t="s">
        <v>7382</v>
      </c>
      <c r="E3858" s="41" t="s">
        <v>2929</v>
      </c>
      <c r="F3858" s="41" t="s">
        <v>2949</v>
      </c>
      <c r="G3858" s="41" t="s">
        <v>2950</v>
      </c>
    </row>
    <row r="3859" spans="1:7" x14ac:dyDescent="0.25">
      <c r="A3859" s="41" t="s">
        <v>7388</v>
      </c>
      <c r="B3859" s="41" t="s">
        <v>7381</v>
      </c>
      <c r="C3859" s="41" t="s">
        <v>4366</v>
      </c>
      <c r="D3859" s="41" t="s">
        <v>7382</v>
      </c>
      <c r="E3859" s="41" t="s">
        <v>3009</v>
      </c>
      <c r="F3859" s="41" t="s">
        <v>2933</v>
      </c>
      <c r="G3859" s="41" t="s">
        <v>2934</v>
      </c>
    </row>
    <row r="3860" spans="1:7" x14ac:dyDescent="0.25">
      <c r="A3860" s="41" t="s">
        <v>7389</v>
      </c>
      <c r="B3860" s="41" t="s">
        <v>7390</v>
      </c>
      <c r="C3860" s="41" t="s">
        <v>4366</v>
      </c>
      <c r="D3860" s="41" t="s">
        <v>7391</v>
      </c>
      <c r="E3860" s="41" t="s">
        <v>2929</v>
      </c>
      <c r="F3860" s="41" t="s">
        <v>2930</v>
      </c>
      <c r="G3860" s="41" t="s">
        <v>2931</v>
      </c>
    </row>
    <row r="3861" spans="1:7" x14ac:dyDescent="0.25">
      <c r="A3861" s="41" t="s">
        <v>7392</v>
      </c>
      <c r="B3861" s="41" t="s">
        <v>7390</v>
      </c>
      <c r="C3861" s="41" t="s">
        <v>4366</v>
      </c>
      <c r="D3861" s="41" t="s">
        <v>7391</v>
      </c>
      <c r="E3861" s="41" t="s">
        <v>2984</v>
      </c>
      <c r="F3861" s="41" t="s">
        <v>2930</v>
      </c>
      <c r="G3861" s="41" t="s">
        <v>2931</v>
      </c>
    </row>
    <row r="3862" spans="1:7" x14ac:dyDescent="0.25">
      <c r="A3862" s="41" t="s">
        <v>7393</v>
      </c>
      <c r="B3862" s="41" t="s">
        <v>7390</v>
      </c>
      <c r="C3862" s="41" t="s">
        <v>4366</v>
      </c>
      <c r="D3862" s="41" t="s">
        <v>7391</v>
      </c>
      <c r="E3862" s="41" t="s">
        <v>2929</v>
      </c>
      <c r="F3862" s="41" t="s">
        <v>2933</v>
      </c>
      <c r="G3862" s="41" t="s">
        <v>2934</v>
      </c>
    </row>
    <row r="3863" spans="1:7" x14ac:dyDescent="0.25">
      <c r="A3863" s="41" t="s">
        <v>7394</v>
      </c>
      <c r="B3863" s="41" t="s">
        <v>7390</v>
      </c>
      <c r="C3863" s="41" t="s">
        <v>4366</v>
      </c>
      <c r="D3863" s="41" t="s">
        <v>7391</v>
      </c>
      <c r="E3863" s="41" t="s">
        <v>2984</v>
      </c>
      <c r="F3863" s="41" t="s">
        <v>2949</v>
      </c>
      <c r="G3863" s="41" t="s">
        <v>2950</v>
      </c>
    </row>
    <row r="3864" spans="1:7" x14ac:dyDescent="0.25">
      <c r="A3864" s="41" t="s">
        <v>7395</v>
      </c>
      <c r="B3864" s="41" t="s">
        <v>7390</v>
      </c>
      <c r="C3864" s="41" t="s">
        <v>4366</v>
      </c>
      <c r="D3864" s="41" t="s">
        <v>7391</v>
      </c>
      <c r="E3864" s="41" t="s">
        <v>2929</v>
      </c>
      <c r="F3864" s="41" t="s">
        <v>2930</v>
      </c>
      <c r="G3864" s="41" t="s">
        <v>2950</v>
      </c>
    </row>
    <row r="3865" spans="1:7" x14ac:dyDescent="0.25">
      <c r="A3865" s="41" t="s">
        <v>7396</v>
      </c>
      <c r="B3865" s="41" t="s">
        <v>7390</v>
      </c>
      <c r="C3865" s="41" t="s">
        <v>4366</v>
      </c>
      <c r="D3865" s="41" t="s">
        <v>7391</v>
      </c>
      <c r="E3865" s="41" t="s">
        <v>2929</v>
      </c>
      <c r="F3865" s="41" t="s">
        <v>2930</v>
      </c>
      <c r="G3865" s="41" t="s">
        <v>2934</v>
      </c>
    </row>
    <row r="3866" spans="1:7" x14ac:dyDescent="0.25">
      <c r="A3866" s="41" t="s">
        <v>7397</v>
      </c>
      <c r="B3866" s="41" t="s">
        <v>4206</v>
      </c>
      <c r="C3866" s="41" t="s">
        <v>3097</v>
      </c>
      <c r="D3866" s="41" t="s">
        <v>4207</v>
      </c>
      <c r="E3866" s="41" t="s">
        <v>2929</v>
      </c>
      <c r="F3866" s="41" t="s">
        <v>2933</v>
      </c>
      <c r="G3866" s="41" t="s">
        <v>2934</v>
      </c>
    </row>
    <row r="3867" spans="1:7" x14ac:dyDescent="0.25">
      <c r="A3867" s="41" t="s">
        <v>7398</v>
      </c>
      <c r="B3867" s="41" t="s">
        <v>7399</v>
      </c>
      <c r="C3867" s="41" t="s">
        <v>4366</v>
      </c>
      <c r="D3867" s="41" t="s">
        <v>7400</v>
      </c>
      <c r="E3867" s="41" t="s">
        <v>2929</v>
      </c>
      <c r="F3867" s="41" t="s">
        <v>2933</v>
      </c>
      <c r="G3867" s="41" t="s">
        <v>2934</v>
      </c>
    </row>
    <row r="3868" spans="1:7" x14ac:dyDescent="0.25">
      <c r="A3868" s="41" t="s">
        <v>7401</v>
      </c>
      <c r="B3868" s="41" t="s">
        <v>7402</v>
      </c>
      <c r="C3868" s="41" t="s">
        <v>4366</v>
      </c>
      <c r="D3868" s="41" t="s">
        <v>7403</v>
      </c>
      <c r="E3868" s="41" t="s">
        <v>2984</v>
      </c>
      <c r="F3868" s="41" t="s">
        <v>2949</v>
      </c>
      <c r="G3868" s="41" t="s">
        <v>2950</v>
      </c>
    </row>
    <row r="3869" spans="1:7" x14ac:dyDescent="0.25">
      <c r="A3869" s="41" t="s">
        <v>7404</v>
      </c>
      <c r="B3869" s="41" t="s">
        <v>7402</v>
      </c>
      <c r="C3869" s="41" t="s">
        <v>4366</v>
      </c>
      <c r="D3869" s="41" t="s">
        <v>7403</v>
      </c>
      <c r="E3869" s="41" t="s">
        <v>2929</v>
      </c>
      <c r="F3869" s="41" t="s">
        <v>2933</v>
      </c>
      <c r="G3869" s="41" t="s">
        <v>2934</v>
      </c>
    </row>
    <row r="3870" spans="1:7" x14ac:dyDescent="0.25">
      <c r="A3870" s="41" t="s">
        <v>7405</v>
      </c>
      <c r="B3870" s="41" t="s">
        <v>7406</v>
      </c>
      <c r="C3870" s="41" t="s">
        <v>4366</v>
      </c>
      <c r="D3870" s="41" t="s">
        <v>7407</v>
      </c>
      <c r="E3870" s="41" t="s">
        <v>2929</v>
      </c>
      <c r="F3870" s="41" t="s">
        <v>2930</v>
      </c>
      <c r="G3870" s="41" t="s">
        <v>2931</v>
      </c>
    </row>
    <row r="3871" spans="1:7" x14ac:dyDescent="0.25">
      <c r="A3871" s="41" t="s">
        <v>7408</v>
      </c>
      <c r="B3871" s="41" t="s">
        <v>7402</v>
      </c>
      <c r="C3871" s="41" t="s">
        <v>4366</v>
      </c>
      <c r="D3871" s="41" t="s">
        <v>7403</v>
      </c>
      <c r="E3871" s="41" t="s">
        <v>2929</v>
      </c>
      <c r="F3871" s="41" t="s">
        <v>2933</v>
      </c>
      <c r="G3871" s="41" t="s">
        <v>2934</v>
      </c>
    </row>
    <row r="3872" spans="1:7" x14ac:dyDescent="0.25">
      <c r="A3872" s="41" t="s">
        <v>7409</v>
      </c>
      <c r="B3872" s="41" t="s">
        <v>7402</v>
      </c>
      <c r="C3872" s="41" t="s">
        <v>4366</v>
      </c>
      <c r="D3872" s="41" t="s">
        <v>7403</v>
      </c>
      <c r="E3872" s="41" t="s">
        <v>2929</v>
      </c>
      <c r="F3872" s="41" t="s">
        <v>2930</v>
      </c>
      <c r="G3872" s="41" t="s">
        <v>2931</v>
      </c>
    </row>
    <row r="3873" spans="1:7" x14ac:dyDescent="0.25">
      <c r="A3873" s="41" t="s">
        <v>7410</v>
      </c>
      <c r="B3873" s="41" t="s">
        <v>7399</v>
      </c>
      <c r="C3873" s="41" t="s">
        <v>4366</v>
      </c>
      <c r="D3873" s="41" t="s">
        <v>7400</v>
      </c>
      <c r="E3873" s="41" t="s">
        <v>2929</v>
      </c>
      <c r="F3873" s="41" t="s">
        <v>2930</v>
      </c>
      <c r="G3873" s="41" t="s">
        <v>2931</v>
      </c>
    </row>
    <row r="3874" spans="1:7" x14ac:dyDescent="0.25">
      <c r="A3874" s="41" t="s">
        <v>7411</v>
      </c>
      <c r="B3874" s="41" t="s">
        <v>7402</v>
      </c>
      <c r="C3874" s="41" t="s">
        <v>4366</v>
      </c>
      <c r="D3874" s="41" t="s">
        <v>7403</v>
      </c>
      <c r="E3874" s="41" t="s">
        <v>2929</v>
      </c>
      <c r="F3874" s="41" t="s">
        <v>2933</v>
      </c>
      <c r="G3874" s="41" t="s">
        <v>2934</v>
      </c>
    </row>
    <row r="3875" spans="1:7" x14ac:dyDescent="0.25">
      <c r="A3875" s="41" t="s">
        <v>7412</v>
      </c>
      <c r="B3875" s="41" t="s">
        <v>7402</v>
      </c>
      <c r="C3875" s="41" t="s">
        <v>4366</v>
      </c>
      <c r="D3875" s="41" t="s">
        <v>7403</v>
      </c>
      <c r="E3875" s="41" t="s">
        <v>2984</v>
      </c>
      <c r="F3875" s="41" t="s">
        <v>2949</v>
      </c>
      <c r="G3875" s="41" t="s">
        <v>2950</v>
      </c>
    </row>
    <row r="3876" spans="1:7" x14ac:dyDescent="0.25">
      <c r="A3876" s="41" t="s">
        <v>7413</v>
      </c>
      <c r="B3876" s="41" t="s">
        <v>7406</v>
      </c>
      <c r="C3876" s="41" t="s">
        <v>4366</v>
      </c>
      <c r="D3876" s="41" t="s">
        <v>7407</v>
      </c>
      <c r="E3876" s="41" t="s">
        <v>2984</v>
      </c>
      <c r="F3876" s="41" t="s">
        <v>2930</v>
      </c>
      <c r="G3876" s="41" t="s">
        <v>2931</v>
      </c>
    </row>
    <row r="3877" spans="1:7" x14ac:dyDescent="0.25">
      <c r="A3877" s="41" t="s">
        <v>7414</v>
      </c>
      <c r="B3877" s="41" t="s">
        <v>7415</v>
      </c>
      <c r="C3877" s="41" t="s">
        <v>77</v>
      </c>
      <c r="D3877" s="41" t="s">
        <v>7416</v>
      </c>
      <c r="E3877" s="41" t="s">
        <v>2984</v>
      </c>
      <c r="F3877" s="41" t="s">
        <v>2949</v>
      </c>
      <c r="G3877" s="41" t="s">
        <v>2950</v>
      </c>
    </row>
    <row r="3878" spans="1:7" x14ac:dyDescent="0.25">
      <c r="A3878" s="41" t="s">
        <v>7417</v>
      </c>
      <c r="B3878" s="41" t="s">
        <v>7418</v>
      </c>
      <c r="C3878" s="41" t="s">
        <v>77</v>
      </c>
      <c r="D3878" s="41" t="s">
        <v>7416</v>
      </c>
      <c r="E3878" s="41" t="s">
        <v>2929</v>
      </c>
      <c r="F3878" s="41" t="s">
        <v>2933</v>
      </c>
      <c r="G3878" s="41" t="s">
        <v>2934</v>
      </c>
    </row>
    <row r="3879" spans="1:7" x14ac:dyDescent="0.25">
      <c r="A3879" s="41" t="s">
        <v>7419</v>
      </c>
      <c r="B3879" s="41" t="s">
        <v>7418</v>
      </c>
      <c r="C3879" s="41" t="s">
        <v>77</v>
      </c>
      <c r="D3879" s="41" t="s">
        <v>7416</v>
      </c>
      <c r="E3879" s="41" t="s">
        <v>2984</v>
      </c>
      <c r="F3879" s="41" t="s">
        <v>2949</v>
      </c>
      <c r="G3879" s="41" t="s">
        <v>2950</v>
      </c>
    </row>
    <row r="3880" spans="1:7" x14ac:dyDescent="0.25">
      <c r="A3880" s="41" t="s">
        <v>7420</v>
      </c>
      <c r="B3880" s="41" t="s">
        <v>7418</v>
      </c>
      <c r="C3880" s="41" t="s">
        <v>77</v>
      </c>
      <c r="D3880" s="41" t="s">
        <v>7416</v>
      </c>
      <c r="E3880" s="41" t="s">
        <v>2929</v>
      </c>
      <c r="F3880" s="41" t="s">
        <v>2933</v>
      </c>
      <c r="G3880" s="41" t="s">
        <v>2934</v>
      </c>
    </row>
    <row r="3881" spans="1:7" x14ac:dyDescent="0.25">
      <c r="A3881" s="41" t="s">
        <v>7421</v>
      </c>
      <c r="B3881" s="41" t="s">
        <v>7418</v>
      </c>
      <c r="C3881" s="41" t="s">
        <v>77</v>
      </c>
      <c r="D3881" s="41" t="s">
        <v>7416</v>
      </c>
      <c r="E3881" s="41" t="s">
        <v>2929</v>
      </c>
      <c r="F3881" s="41" t="s">
        <v>2949</v>
      </c>
      <c r="G3881" s="41" t="s">
        <v>2950</v>
      </c>
    </row>
    <row r="3882" spans="1:7" x14ac:dyDescent="0.25">
      <c r="A3882" s="41" t="s">
        <v>7422</v>
      </c>
      <c r="B3882" s="41" t="s">
        <v>7418</v>
      </c>
      <c r="C3882" s="41" t="s">
        <v>77</v>
      </c>
      <c r="D3882" s="41" t="s">
        <v>7416</v>
      </c>
      <c r="E3882" s="41" t="s">
        <v>3009</v>
      </c>
      <c r="F3882" s="41" t="s">
        <v>2933</v>
      </c>
      <c r="G3882" s="41" t="s">
        <v>2934</v>
      </c>
    </row>
    <row r="3883" spans="1:7" x14ac:dyDescent="0.25">
      <c r="A3883" s="41" t="s">
        <v>7423</v>
      </c>
      <c r="B3883" s="41" t="s">
        <v>7418</v>
      </c>
      <c r="C3883" s="41" t="s">
        <v>77</v>
      </c>
      <c r="D3883" s="41" t="s">
        <v>7416</v>
      </c>
      <c r="E3883" s="41" t="s">
        <v>2984</v>
      </c>
      <c r="F3883" s="41" t="s">
        <v>2930</v>
      </c>
      <c r="G3883" s="41" t="s">
        <v>2931</v>
      </c>
    </row>
    <row r="3884" spans="1:7" x14ac:dyDescent="0.25">
      <c r="A3884" s="41" t="s">
        <v>7424</v>
      </c>
      <c r="B3884" s="41" t="s">
        <v>7418</v>
      </c>
      <c r="C3884" s="41" t="s">
        <v>77</v>
      </c>
      <c r="D3884" s="41" t="s">
        <v>7416</v>
      </c>
      <c r="E3884" s="41" t="s">
        <v>2984</v>
      </c>
      <c r="F3884" s="41" t="s">
        <v>2930</v>
      </c>
      <c r="G3884" s="41" t="s">
        <v>2950</v>
      </c>
    </row>
    <row r="3885" spans="1:7" x14ac:dyDescent="0.25">
      <c r="A3885" s="41" t="s">
        <v>7425</v>
      </c>
      <c r="B3885" s="41" t="s">
        <v>3180</v>
      </c>
      <c r="C3885" s="41" t="s">
        <v>78</v>
      </c>
      <c r="D3885" s="41" t="s">
        <v>3181</v>
      </c>
      <c r="E3885" s="41" t="s">
        <v>2929</v>
      </c>
      <c r="F3885" s="41" t="s">
        <v>2933</v>
      </c>
      <c r="G3885" s="41" t="s">
        <v>2934</v>
      </c>
    </row>
    <row r="3886" spans="1:7" x14ac:dyDescent="0.25">
      <c r="A3886" s="41" t="s">
        <v>7426</v>
      </c>
      <c r="B3886" s="41" t="s">
        <v>3180</v>
      </c>
      <c r="C3886" s="41" t="s">
        <v>78</v>
      </c>
      <c r="D3886" s="41" t="s">
        <v>3181</v>
      </c>
      <c r="E3886" s="41" t="s">
        <v>2929</v>
      </c>
      <c r="F3886" s="41" t="s">
        <v>2933</v>
      </c>
      <c r="G3886" s="41" t="s">
        <v>2934</v>
      </c>
    </row>
    <row r="3887" spans="1:7" x14ac:dyDescent="0.25">
      <c r="A3887" s="41" t="s">
        <v>7427</v>
      </c>
      <c r="B3887" s="41" t="s">
        <v>3180</v>
      </c>
      <c r="C3887" s="41" t="s">
        <v>78</v>
      </c>
      <c r="D3887" s="41" t="s">
        <v>3181</v>
      </c>
      <c r="E3887" s="41" t="s">
        <v>2929</v>
      </c>
      <c r="F3887" s="41" t="s">
        <v>2933</v>
      </c>
      <c r="G3887" s="41" t="s">
        <v>2934</v>
      </c>
    </row>
    <row r="3888" spans="1:7" x14ac:dyDescent="0.25">
      <c r="A3888" s="41" t="s">
        <v>7428</v>
      </c>
      <c r="B3888" s="41" t="s">
        <v>3183</v>
      </c>
      <c r="C3888" s="41" t="s">
        <v>78</v>
      </c>
      <c r="D3888" s="41" t="s">
        <v>3184</v>
      </c>
      <c r="E3888" s="41" t="s">
        <v>2929</v>
      </c>
      <c r="F3888" s="41" t="s">
        <v>2949</v>
      </c>
      <c r="G3888" s="41" t="s">
        <v>2950</v>
      </c>
    </row>
    <row r="3889" spans="1:7" x14ac:dyDescent="0.25">
      <c r="A3889" s="41" t="s">
        <v>7429</v>
      </c>
      <c r="B3889" s="41" t="s">
        <v>3180</v>
      </c>
      <c r="C3889" s="41" t="s">
        <v>78</v>
      </c>
      <c r="D3889" s="41" t="s">
        <v>3181</v>
      </c>
      <c r="E3889" s="41" t="s">
        <v>2984</v>
      </c>
      <c r="F3889" s="41" t="s">
        <v>2949</v>
      </c>
      <c r="G3889" s="41" t="s">
        <v>2950</v>
      </c>
    </row>
    <row r="3890" spans="1:7" x14ac:dyDescent="0.25">
      <c r="A3890" s="41" t="s">
        <v>7430</v>
      </c>
      <c r="B3890" s="41" t="s">
        <v>3180</v>
      </c>
      <c r="C3890" s="41" t="s">
        <v>78</v>
      </c>
      <c r="D3890" s="41" t="s">
        <v>3181</v>
      </c>
      <c r="E3890" s="41" t="s">
        <v>2929</v>
      </c>
      <c r="F3890" s="41" t="s">
        <v>2930</v>
      </c>
      <c r="G3890" s="41" t="s">
        <v>2931</v>
      </c>
    </row>
    <row r="3891" spans="1:7" x14ac:dyDescent="0.25">
      <c r="A3891" s="41" t="s">
        <v>7431</v>
      </c>
      <c r="B3891" s="41" t="s">
        <v>7432</v>
      </c>
      <c r="C3891" s="41" t="s">
        <v>4366</v>
      </c>
      <c r="D3891" s="41" t="s">
        <v>7433</v>
      </c>
      <c r="E3891" s="41" t="s">
        <v>2929</v>
      </c>
      <c r="F3891" s="41" t="s">
        <v>2949</v>
      </c>
      <c r="G3891" s="41" t="s">
        <v>2950</v>
      </c>
    </row>
    <row r="3892" spans="1:7" x14ac:dyDescent="0.25">
      <c r="A3892" s="41" t="s">
        <v>7434</v>
      </c>
      <c r="B3892" s="41" t="s">
        <v>7432</v>
      </c>
      <c r="C3892" s="41" t="s">
        <v>4366</v>
      </c>
      <c r="D3892" s="41" t="s">
        <v>7435</v>
      </c>
      <c r="E3892" s="41" t="s">
        <v>2984</v>
      </c>
      <c r="F3892" s="41" t="s">
        <v>2930</v>
      </c>
      <c r="G3892" s="41" t="s">
        <v>2931</v>
      </c>
    </row>
    <row r="3893" spans="1:7" x14ac:dyDescent="0.25">
      <c r="A3893" s="41" t="s">
        <v>7436</v>
      </c>
      <c r="B3893" s="41" t="s">
        <v>7432</v>
      </c>
      <c r="C3893" s="41" t="s">
        <v>4366</v>
      </c>
      <c r="D3893" s="41" t="s">
        <v>7433</v>
      </c>
      <c r="E3893" s="41" t="s">
        <v>2929</v>
      </c>
      <c r="F3893" s="41" t="s">
        <v>2930</v>
      </c>
      <c r="G3893" s="41" t="s">
        <v>2931</v>
      </c>
    </row>
    <row r="3894" spans="1:7" x14ac:dyDescent="0.25">
      <c r="A3894" s="41" t="s">
        <v>7437</v>
      </c>
      <c r="B3894" s="41" t="s">
        <v>7432</v>
      </c>
      <c r="C3894" s="41" t="s">
        <v>4366</v>
      </c>
      <c r="D3894" s="41" t="s">
        <v>7433</v>
      </c>
      <c r="E3894" s="41" t="s">
        <v>3009</v>
      </c>
      <c r="F3894" s="41" t="s">
        <v>2933</v>
      </c>
      <c r="G3894" s="41" t="s">
        <v>2934</v>
      </c>
    </row>
    <row r="3895" spans="1:7" x14ac:dyDescent="0.25">
      <c r="A3895" s="41" t="s">
        <v>7438</v>
      </c>
      <c r="B3895" s="41" t="s">
        <v>7432</v>
      </c>
      <c r="C3895" s="41" t="s">
        <v>4366</v>
      </c>
      <c r="D3895" s="41" t="s">
        <v>7433</v>
      </c>
      <c r="E3895" s="41" t="s">
        <v>2929</v>
      </c>
      <c r="F3895" s="41" t="s">
        <v>2949</v>
      </c>
      <c r="G3895" s="41" t="s">
        <v>2950</v>
      </c>
    </row>
    <row r="3896" spans="1:7" x14ac:dyDescent="0.25">
      <c r="A3896" s="41" t="s">
        <v>7439</v>
      </c>
      <c r="B3896" s="41" t="s">
        <v>7432</v>
      </c>
      <c r="C3896" s="41" t="s">
        <v>4366</v>
      </c>
      <c r="D3896" s="41" t="s">
        <v>7433</v>
      </c>
      <c r="E3896" s="41" t="s">
        <v>2929</v>
      </c>
      <c r="F3896" s="41" t="s">
        <v>2933</v>
      </c>
      <c r="G3896" s="41" t="s">
        <v>2934</v>
      </c>
    </row>
    <row r="3897" spans="1:7" x14ac:dyDescent="0.25">
      <c r="A3897" s="41" t="s">
        <v>7440</v>
      </c>
      <c r="B3897" s="41" t="s">
        <v>7432</v>
      </c>
      <c r="C3897" s="41" t="s">
        <v>4366</v>
      </c>
      <c r="D3897" s="41" t="s">
        <v>7433</v>
      </c>
      <c r="E3897" s="41" t="s">
        <v>2929</v>
      </c>
      <c r="F3897" s="41" t="s">
        <v>2933</v>
      </c>
      <c r="G3897" s="41" t="s">
        <v>2934</v>
      </c>
    </row>
    <row r="3898" spans="1:7" x14ac:dyDescent="0.25">
      <c r="A3898" s="41" t="s">
        <v>7441</v>
      </c>
      <c r="B3898" s="41" t="s">
        <v>7432</v>
      </c>
      <c r="C3898" s="41" t="s">
        <v>4366</v>
      </c>
      <c r="D3898" s="41" t="s">
        <v>7433</v>
      </c>
      <c r="E3898" s="41" t="s">
        <v>2929</v>
      </c>
      <c r="F3898" s="41" t="s">
        <v>2949</v>
      </c>
      <c r="G3898" s="41" t="s">
        <v>2950</v>
      </c>
    </row>
    <row r="3899" spans="1:7" x14ac:dyDescent="0.25">
      <c r="A3899" s="41" t="s">
        <v>7442</v>
      </c>
      <c r="B3899" s="41" t="s">
        <v>7432</v>
      </c>
      <c r="C3899" s="41" t="s">
        <v>4366</v>
      </c>
      <c r="D3899" s="41" t="s">
        <v>7433</v>
      </c>
      <c r="E3899" s="41" t="s">
        <v>2929</v>
      </c>
      <c r="F3899" s="41" t="s">
        <v>2949</v>
      </c>
      <c r="G3899" s="41" t="s">
        <v>2950</v>
      </c>
    </row>
    <row r="3900" spans="1:7" x14ac:dyDescent="0.25">
      <c r="A3900" s="41" t="s">
        <v>7443</v>
      </c>
      <c r="B3900" s="41" t="s">
        <v>7381</v>
      </c>
      <c r="C3900" s="41" t="s">
        <v>4366</v>
      </c>
      <c r="D3900" s="41" t="s">
        <v>7382</v>
      </c>
      <c r="E3900" s="41" t="s">
        <v>2929</v>
      </c>
      <c r="F3900" s="41" t="s">
        <v>2930</v>
      </c>
      <c r="G3900" s="41" t="s">
        <v>2931</v>
      </c>
    </row>
    <row r="3901" spans="1:7" x14ac:dyDescent="0.25">
      <c r="A3901" s="41" t="s">
        <v>7444</v>
      </c>
      <c r="B3901" s="41" t="s">
        <v>7381</v>
      </c>
      <c r="C3901" s="41" t="s">
        <v>4366</v>
      </c>
      <c r="D3901" s="41" t="s">
        <v>7382</v>
      </c>
      <c r="E3901" s="41" t="s">
        <v>2929</v>
      </c>
      <c r="F3901" s="41" t="s">
        <v>2933</v>
      </c>
      <c r="G3901" s="41" t="s">
        <v>2934</v>
      </c>
    </row>
    <row r="3902" spans="1:7" x14ac:dyDescent="0.25">
      <c r="A3902" s="41" t="s">
        <v>7445</v>
      </c>
      <c r="B3902" s="41" t="s">
        <v>7446</v>
      </c>
      <c r="C3902" s="41" t="s">
        <v>4366</v>
      </c>
      <c r="D3902" s="41" t="s">
        <v>7447</v>
      </c>
      <c r="E3902" s="41" t="s">
        <v>2929</v>
      </c>
      <c r="F3902" s="41" t="s">
        <v>2949</v>
      </c>
      <c r="G3902" s="41" t="s">
        <v>2950</v>
      </c>
    </row>
    <row r="3903" spans="1:7" x14ac:dyDescent="0.25">
      <c r="A3903" s="41" t="s">
        <v>7448</v>
      </c>
      <c r="B3903" s="41" t="s">
        <v>7446</v>
      </c>
      <c r="C3903" s="41" t="s">
        <v>4366</v>
      </c>
      <c r="D3903" s="41" t="s">
        <v>7447</v>
      </c>
      <c r="E3903" s="41" t="s">
        <v>2984</v>
      </c>
      <c r="F3903" s="41" t="s">
        <v>2933</v>
      </c>
      <c r="G3903" s="41" t="s">
        <v>2931</v>
      </c>
    </row>
    <row r="3904" spans="1:7" x14ac:dyDescent="0.25">
      <c r="A3904" s="41" t="s">
        <v>7449</v>
      </c>
      <c r="B3904" s="41" t="s">
        <v>7450</v>
      </c>
      <c r="C3904" s="41" t="s">
        <v>4366</v>
      </c>
      <c r="D3904" s="41" t="s">
        <v>7451</v>
      </c>
      <c r="E3904" s="41" t="s">
        <v>2929</v>
      </c>
      <c r="F3904" s="41" t="s">
        <v>2933</v>
      </c>
      <c r="G3904" s="41" t="s">
        <v>2934</v>
      </c>
    </row>
    <row r="3905" spans="1:7" x14ac:dyDescent="0.25">
      <c r="A3905" s="41" t="s">
        <v>7452</v>
      </c>
      <c r="B3905" s="41" t="s">
        <v>7450</v>
      </c>
      <c r="C3905" s="41" t="s">
        <v>4366</v>
      </c>
      <c r="D3905" s="41" t="s">
        <v>7451</v>
      </c>
      <c r="E3905" s="41" t="s">
        <v>2984</v>
      </c>
      <c r="F3905" s="41" t="s">
        <v>2930</v>
      </c>
      <c r="G3905" s="41" t="s">
        <v>2931</v>
      </c>
    </row>
    <row r="3906" spans="1:7" x14ac:dyDescent="0.25">
      <c r="A3906" s="41" t="s">
        <v>7453</v>
      </c>
      <c r="B3906" s="41" t="s">
        <v>7450</v>
      </c>
      <c r="C3906" s="41" t="s">
        <v>4366</v>
      </c>
      <c r="D3906" s="41" t="s">
        <v>7451</v>
      </c>
      <c r="E3906" s="41" t="s">
        <v>2929</v>
      </c>
      <c r="F3906" s="41" t="s">
        <v>2949</v>
      </c>
      <c r="G3906" s="41" t="s">
        <v>2950</v>
      </c>
    </row>
    <row r="3907" spans="1:7" x14ac:dyDescent="0.25">
      <c r="A3907" s="41" t="s">
        <v>7454</v>
      </c>
      <c r="B3907" s="41" t="s">
        <v>7450</v>
      </c>
      <c r="C3907" s="41" t="s">
        <v>4366</v>
      </c>
      <c r="D3907" s="41" t="s">
        <v>7451</v>
      </c>
      <c r="E3907" s="41" t="s">
        <v>2929</v>
      </c>
      <c r="F3907" s="41" t="s">
        <v>2949</v>
      </c>
      <c r="G3907" s="41" t="s">
        <v>2950</v>
      </c>
    </row>
    <row r="3908" spans="1:7" x14ac:dyDescent="0.25">
      <c r="A3908" s="41" t="s">
        <v>7455</v>
      </c>
      <c r="B3908" s="41" t="s">
        <v>7450</v>
      </c>
      <c r="C3908" s="41" t="s">
        <v>4366</v>
      </c>
      <c r="D3908" s="41" t="s">
        <v>7451</v>
      </c>
      <c r="E3908" s="41" t="s">
        <v>2929</v>
      </c>
      <c r="F3908" s="41" t="s">
        <v>2949</v>
      </c>
      <c r="G3908" s="41" t="s">
        <v>2950</v>
      </c>
    </row>
    <row r="3909" spans="1:7" x14ac:dyDescent="0.25">
      <c r="A3909" s="41" t="s">
        <v>7456</v>
      </c>
      <c r="B3909" s="41" t="s">
        <v>7450</v>
      </c>
      <c r="C3909" s="41" t="s">
        <v>4366</v>
      </c>
      <c r="D3909" s="41" t="s">
        <v>7451</v>
      </c>
      <c r="E3909" s="41" t="s">
        <v>2929</v>
      </c>
      <c r="F3909" s="41" t="s">
        <v>2933</v>
      </c>
      <c r="G3909" s="41" t="s">
        <v>2934</v>
      </c>
    </row>
    <row r="3910" spans="1:7" x14ac:dyDescent="0.25">
      <c r="A3910" s="41" t="s">
        <v>7457</v>
      </c>
      <c r="B3910" s="41" t="s">
        <v>7458</v>
      </c>
      <c r="C3910" s="41" t="s">
        <v>4366</v>
      </c>
      <c r="D3910" s="41" t="s">
        <v>7459</v>
      </c>
      <c r="E3910" s="41" t="s">
        <v>2929</v>
      </c>
      <c r="F3910" s="41" t="s">
        <v>2949</v>
      </c>
      <c r="G3910" s="41" t="s">
        <v>2950</v>
      </c>
    </row>
    <row r="3911" spans="1:7" x14ac:dyDescent="0.25">
      <c r="A3911" s="41" t="s">
        <v>7460</v>
      </c>
      <c r="B3911" s="41" t="s">
        <v>7458</v>
      </c>
      <c r="C3911" s="41" t="s">
        <v>4366</v>
      </c>
      <c r="D3911" s="41" t="s">
        <v>7459</v>
      </c>
      <c r="E3911" s="41" t="s">
        <v>2929</v>
      </c>
      <c r="F3911" s="41" t="s">
        <v>2933</v>
      </c>
      <c r="G3911" s="41" t="s">
        <v>2934</v>
      </c>
    </row>
    <row r="3912" spans="1:7" x14ac:dyDescent="0.25">
      <c r="A3912" s="41" t="s">
        <v>7461</v>
      </c>
      <c r="B3912" s="41" t="s">
        <v>7458</v>
      </c>
      <c r="C3912" s="41" t="s">
        <v>4366</v>
      </c>
      <c r="D3912" s="41" t="s">
        <v>7459</v>
      </c>
      <c r="E3912" s="41" t="s">
        <v>2984</v>
      </c>
      <c r="F3912" s="41" t="s">
        <v>2949</v>
      </c>
      <c r="G3912" s="41" t="s">
        <v>2950</v>
      </c>
    </row>
    <row r="3913" spans="1:7" x14ac:dyDescent="0.25">
      <c r="A3913" s="41" t="s">
        <v>7462</v>
      </c>
      <c r="B3913" s="41" t="s">
        <v>7458</v>
      </c>
      <c r="C3913" s="41" t="s">
        <v>4366</v>
      </c>
      <c r="D3913" s="41" t="s">
        <v>7459</v>
      </c>
      <c r="E3913" s="41" t="s">
        <v>2984</v>
      </c>
      <c r="F3913" s="41" t="s">
        <v>2949</v>
      </c>
      <c r="G3913" s="41" t="s">
        <v>2950</v>
      </c>
    </row>
    <row r="3914" spans="1:7" x14ac:dyDescent="0.25">
      <c r="A3914" s="41" t="s">
        <v>7463</v>
      </c>
      <c r="B3914" s="41" t="s">
        <v>7458</v>
      </c>
      <c r="C3914" s="41" t="s">
        <v>4366</v>
      </c>
      <c r="D3914" s="41" t="s">
        <v>7459</v>
      </c>
      <c r="E3914" s="41" t="s">
        <v>2984</v>
      </c>
      <c r="F3914" s="41" t="s">
        <v>2949</v>
      </c>
      <c r="G3914" s="41" t="s">
        <v>2950</v>
      </c>
    </row>
    <row r="3915" spans="1:7" x14ac:dyDescent="0.25">
      <c r="A3915" s="41" t="s">
        <v>7464</v>
      </c>
      <c r="B3915" s="41" t="s">
        <v>7465</v>
      </c>
      <c r="C3915" s="41" t="s">
        <v>4366</v>
      </c>
      <c r="D3915" s="41" t="s">
        <v>7466</v>
      </c>
      <c r="E3915" s="41" t="s">
        <v>2984</v>
      </c>
      <c r="F3915" s="41" t="s">
        <v>2949</v>
      </c>
      <c r="G3915" s="41" t="s">
        <v>2950</v>
      </c>
    </row>
    <row r="3916" spans="1:7" x14ac:dyDescent="0.25">
      <c r="A3916" s="41" t="s">
        <v>7467</v>
      </c>
      <c r="B3916" s="41" t="s">
        <v>7390</v>
      </c>
      <c r="C3916" s="41" t="s">
        <v>4366</v>
      </c>
      <c r="D3916" s="41" t="s">
        <v>7391</v>
      </c>
      <c r="E3916" s="41" t="s">
        <v>2929</v>
      </c>
      <c r="F3916" s="41" t="s">
        <v>2930</v>
      </c>
      <c r="G3916" s="41" t="s">
        <v>2931</v>
      </c>
    </row>
    <row r="3917" spans="1:7" x14ac:dyDescent="0.25">
      <c r="A3917" s="41" t="s">
        <v>7468</v>
      </c>
      <c r="B3917" s="41" t="s">
        <v>7390</v>
      </c>
      <c r="C3917" s="41" t="s">
        <v>4366</v>
      </c>
      <c r="D3917" s="41" t="s">
        <v>7391</v>
      </c>
      <c r="E3917" s="41" t="s">
        <v>2929</v>
      </c>
      <c r="F3917" s="41" t="s">
        <v>2933</v>
      </c>
      <c r="G3917" s="41" t="s">
        <v>2934</v>
      </c>
    </row>
    <row r="3918" spans="1:7" x14ac:dyDescent="0.25">
      <c r="A3918" s="41" t="s">
        <v>7469</v>
      </c>
      <c r="B3918" s="41" t="s">
        <v>7390</v>
      </c>
      <c r="C3918" s="41" t="s">
        <v>4366</v>
      </c>
      <c r="D3918" s="41" t="s">
        <v>7391</v>
      </c>
      <c r="E3918" s="41" t="s">
        <v>2984</v>
      </c>
      <c r="F3918" s="41" t="s">
        <v>2933</v>
      </c>
      <c r="G3918" s="41" t="s">
        <v>2934</v>
      </c>
    </row>
    <row r="3919" spans="1:7" x14ac:dyDescent="0.25">
      <c r="A3919" s="41" t="s">
        <v>7470</v>
      </c>
      <c r="B3919" s="41" t="s">
        <v>7390</v>
      </c>
      <c r="C3919" s="41" t="s">
        <v>4366</v>
      </c>
      <c r="D3919" s="41" t="s">
        <v>7391</v>
      </c>
      <c r="E3919" s="41" t="s">
        <v>2984</v>
      </c>
      <c r="F3919" s="41" t="s">
        <v>2949</v>
      </c>
      <c r="G3919" s="41" t="s">
        <v>2950</v>
      </c>
    </row>
    <row r="3920" spans="1:7" x14ac:dyDescent="0.25">
      <c r="A3920" s="41" t="s">
        <v>7471</v>
      </c>
      <c r="B3920" s="41" t="s">
        <v>7390</v>
      </c>
      <c r="C3920" s="41" t="s">
        <v>4366</v>
      </c>
      <c r="D3920" s="41" t="s">
        <v>7391</v>
      </c>
      <c r="E3920" s="41" t="s">
        <v>2929</v>
      </c>
      <c r="F3920" s="41" t="s">
        <v>2949</v>
      </c>
      <c r="G3920" s="41" t="s">
        <v>2950</v>
      </c>
    </row>
    <row r="3921" spans="1:7" x14ac:dyDescent="0.25">
      <c r="A3921" s="41" t="s">
        <v>7472</v>
      </c>
      <c r="B3921" s="41" t="s">
        <v>7406</v>
      </c>
      <c r="C3921" s="41" t="s">
        <v>4366</v>
      </c>
      <c r="D3921" s="41" t="s">
        <v>7407</v>
      </c>
      <c r="E3921" s="41" t="s">
        <v>2984</v>
      </c>
      <c r="F3921" s="41" t="s">
        <v>2933</v>
      </c>
      <c r="G3921" s="41" t="s">
        <v>2934</v>
      </c>
    </row>
    <row r="3922" spans="1:7" x14ac:dyDescent="0.25">
      <c r="A3922" s="41" t="s">
        <v>7473</v>
      </c>
      <c r="B3922" s="41" t="s">
        <v>7474</v>
      </c>
      <c r="C3922" s="41" t="s">
        <v>4366</v>
      </c>
      <c r="D3922" s="41" t="s">
        <v>7475</v>
      </c>
      <c r="E3922" s="41" t="s">
        <v>2929</v>
      </c>
      <c r="F3922" s="41" t="s">
        <v>2949</v>
      </c>
      <c r="G3922" s="41" t="s">
        <v>2950</v>
      </c>
    </row>
    <row r="3923" spans="1:7" x14ac:dyDescent="0.25">
      <c r="A3923" s="41" t="s">
        <v>7476</v>
      </c>
      <c r="B3923" s="41" t="s">
        <v>7406</v>
      </c>
      <c r="C3923" s="41" t="s">
        <v>4366</v>
      </c>
      <c r="D3923" s="41" t="s">
        <v>7407</v>
      </c>
      <c r="E3923" s="41" t="s">
        <v>2929</v>
      </c>
      <c r="F3923" s="41" t="s">
        <v>2930</v>
      </c>
      <c r="G3923" s="41" t="s">
        <v>2931</v>
      </c>
    </row>
    <row r="3924" spans="1:7" x14ac:dyDescent="0.25">
      <c r="A3924" s="41" t="s">
        <v>7477</v>
      </c>
      <c r="B3924" s="41" t="s">
        <v>7406</v>
      </c>
      <c r="C3924" s="41" t="s">
        <v>4366</v>
      </c>
      <c r="D3924" s="41" t="s">
        <v>7407</v>
      </c>
      <c r="E3924" s="41" t="s">
        <v>2984</v>
      </c>
      <c r="F3924" s="41" t="s">
        <v>2949</v>
      </c>
      <c r="G3924" s="41" t="s">
        <v>2950</v>
      </c>
    </row>
    <row r="3925" spans="1:7" x14ac:dyDescent="0.25">
      <c r="A3925" s="41" t="s">
        <v>7478</v>
      </c>
      <c r="B3925" s="41" t="s">
        <v>7474</v>
      </c>
      <c r="C3925" s="41" t="s">
        <v>4366</v>
      </c>
      <c r="D3925" s="41" t="s">
        <v>7475</v>
      </c>
      <c r="E3925" s="41" t="s">
        <v>2929</v>
      </c>
      <c r="F3925" s="41" t="s">
        <v>2930</v>
      </c>
      <c r="G3925" s="41" t="s">
        <v>2931</v>
      </c>
    </row>
    <row r="3926" spans="1:7" x14ac:dyDescent="0.25">
      <c r="A3926" s="41" t="s">
        <v>7479</v>
      </c>
      <c r="B3926" s="41" t="s">
        <v>7406</v>
      </c>
      <c r="C3926" s="41" t="s">
        <v>4366</v>
      </c>
      <c r="D3926" s="41" t="s">
        <v>7407</v>
      </c>
      <c r="E3926" s="41" t="s">
        <v>3009</v>
      </c>
      <c r="F3926" s="41" t="s">
        <v>2949</v>
      </c>
      <c r="G3926" s="41" t="s">
        <v>2950</v>
      </c>
    </row>
    <row r="3927" spans="1:7" x14ac:dyDescent="0.25">
      <c r="A3927" s="41" t="s">
        <v>7480</v>
      </c>
      <c r="B3927" s="41" t="s">
        <v>7406</v>
      </c>
      <c r="C3927" s="41" t="s">
        <v>4366</v>
      </c>
      <c r="D3927" s="41" t="s">
        <v>7407</v>
      </c>
      <c r="E3927" s="41" t="s">
        <v>2984</v>
      </c>
      <c r="F3927" s="41" t="s">
        <v>2930</v>
      </c>
      <c r="G3927" s="41" t="s">
        <v>2931</v>
      </c>
    </row>
    <row r="3928" spans="1:7" x14ac:dyDescent="0.25">
      <c r="A3928" s="41" t="s">
        <v>7481</v>
      </c>
      <c r="B3928" s="41" t="s">
        <v>7406</v>
      </c>
      <c r="C3928" s="41" t="s">
        <v>4366</v>
      </c>
      <c r="D3928" s="41" t="s">
        <v>7407</v>
      </c>
      <c r="E3928" s="41" t="s">
        <v>2929</v>
      </c>
      <c r="F3928" s="41" t="s">
        <v>2930</v>
      </c>
      <c r="G3928" s="41" t="s">
        <v>2931</v>
      </c>
    </row>
    <row r="3929" spans="1:7" x14ac:dyDescent="0.25">
      <c r="A3929" s="41" t="s">
        <v>7482</v>
      </c>
      <c r="B3929" s="41" t="s">
        <v>7474</v>
      </c>
      <c r="C3929" s="41" t="s">
        <v>4366</v>
      </c>
      <c r="D3929" s="41" t="s">
        <v>7475</v>
      </c>
      <c r="E3929" s="41" t="s">
        <v>2929</v>
      </c>
      <c r="F3929" s="41" t="s">
        <v>2930</v>
      </c>
      <c r="G3929" s="41" t="s">
        <v>2931</v>
      </c>
    </row>
    <row r="3930" spans="1:7" x14ac:dyDescent="0.25">
      <c r="A3930" s="41" t="s">
        <v>7483</v>
      </c>
      <c r="B3930" s="41" t="s">
        <v>7474</v>
      </c>
      <c r="C3930" s="41" t="s">
        <v>4366</v>
      </c>
      <c r="D3930" s="41" t="s">
        <v>7475</v>
      </c>
      <c r="E3930" s="41" t="s">
        <v>2929</v>
      </c>
      <c r="F3930" s="41" t="s">
        <v>2949</v>
      </c>
      <c r="G3930" s="41" t="s">
        <v>2950</v>
      </c>
    </row>
    <row r="3931" spans="1:7" x14ac:dyDescent="0.25">
      <c r="A3931" s="41" t="s">
        <v>7484</v>
      </c>
      <c r="B3931" s="41" t="s">
        <v>7406</v>
      </c>
      <c r="C3931" s="41" t="s">
        <v>4366</v>
      </c>
      <c r="D3931" s="41" t="s">
        <v>7407</v>
      </c>
      <c r="E3931" s="41" t="s">
        <v>2984</v>
      </c>
      <c r="F3931" s="41" t="s">
        <v>2933</v>
      </c>
      <c r="G3931" s="41" t="s">
        <v>2934</v>
      </c>
    </row>
    <row r="3932" spans="1:7" x14ac:dyDescent="0.25">
      <c r="A3932" s="41" t="s">
        <v>7485</v>
      </c>
      <c r="B3932" s="41" t="s">
        <v>7474</v>
      </c>
      <c r="C3932" s="41" t="s">
        <v>4366</v>
      </c>
      <c r="D3932" s="41" t="s">
        <v>7475</v>
      </c>
      <c r="E3932" s="41" t="s">
        <v>2929</v>
      </c>
      <c r="F3932" s="41" t="s">
        <v>2949</v>
      </c>
      <c r="G3932" s="41" t="s">
        <v>2950</v>
      </c>
    </row>
    <row r="3933" spans="1:7" x14ac:dyDescent="0.25">
      <c r="A3933" s="41" t="s">
        <v>7486</v>
      </c>
      <c r="B3933" s="41" t="s">
        <v>7406</v>
      </c>
      <c r="C3933" s="41" t="s">
        <v>4366</v>
      </c>
      <c r="D3933" s="41" t="s">
        <v>7407</v>
      </c>
      <c r="E3933" s="41" t="s">
        <v>2984</v>
      </c>
      <c r="F3933" s="41" t="s">
        <v>2930</v>
      </c>
      <c r="G3933" s="41" t="s">
        <v>2931</v>
      </c>
    </row>
    <row r="3934" spans="1:7" x14ac:dyDescent="0.25">
      <c r="A3934" s="41" t="s">
        <v>7487</v>
      </c>
      <c r="B3934" s="41" t="s">
        <v>7406</v>
      </c>
      <c r="C3934" s="41" t="s">
        <v>4366</v>
      </c>
      <c r="D3934" s="41" t="s">
        <v>7407</v>
      </c>
      <c r="E3934" s="41" t="s">
        <v>2929</v>
      </c>
      <c r="F3934" s="41" t="s">
        <v>2930</v>
      </c>
      <c r="G3934" s="41" t="s">
        <v>2931</v>
      </c>
    </row>
    <row r="3935" spans="1:7" x14ac:dyDescent="0.25">
      <c r="A3935" s="41" t="s">
        <v>7488</v>
      </c>
      <c r="B3935" s="41" t="s">
        <v>7489</v>
      </c>
      <c r="C3935" s="41" t="s">
        <v>4366</v>
      </c>
      <c r="D3935" s="41" t="s">
        <v>7490</v>
      </c>
      <c r="E3935" s="41" t="s">
        <v>2929</v>
      </c>
      <c r="F3935" s="41" t="s">
        <v>2949</v>
      </c>
      <c r="G3935" s="41" t="s">
        <v>2950</v>
      </c>
    </row>
    <row r="3936" spans="1:7" x14ac:dyDescent="0.25">
      <c r="A3936" s="41" t="s">
        <v>7491</v>
      </c>
      <c r="B3936" s="41" t="s">
        <v>7489</v>
      </c>
      <c r="C3936" s="41" t="s">
        <v>4366</v>
      </c>
      <c r="D3936" s="41" t="s">
        <v>7490</v>
      </c>
      <c r="E3936" s="41" t="s">
        <v>2929</v>
      </c>
      <c r="F3936" s="41" t="s">
        <v>2949</v>
      </c>
      <c r="G3936" s="41" t="s">
        <v>2950</v>
      </c>
    </row>
    <row r="3937" spans="1:7" x14ac:dyDescent="0.25">
      <c r="A3937" s="41" t="s">
        <v>7492</v>
      </c>
      <c r="B3937" s="41" t="s">
        <v>7489</v>
      </c>
      <c r="C3937" s="41" t="s">
        <v>4366</v>
      </c>
      <c r="D3937" s="41" t="s">
        <v>7490</v>
      </c>
      <c r="E3937" s="41" t="s">
        <v>2929</v>
      </c>
      <c r="F3937" s="41" t="s">
        <v>2949</v>
      </c>
      <c r="G3937" s="41" t="s">
        <v>2950</v>
      </c>
    </row>
    <row r="3938" spans="1:7" x14ac:dyDescent="0.25">
      <c r="A3938" s="41" t="s">
        <v>7493</v>
      </c>
      <c r="B3938" s="41" t="s">
        <v>7489</v>
      </c>
      <c r="C3938" s="41" t="s">
        <v>4366</v>
      </c>
      <c r="D3938" s="41" t="s">
        <v>7490</v>
      </c>
      <c r="E3938" s="41" t="s">
        <v>2984</v>
      </c>
      <c r="F3938" s="41" t="s">
        <v>2949</v>
      </c>
      <c r="G3938" s="41" t="s">
        <v>2950</v>
      </c>
    </row>
    <row r="3939" spans="1:7" x14ac:dyDescent="0.25">
      <c r="A3939" s="41" t="s">
        <v>7494</v>
      </c>
      <c r="B3939" s="41" t="s">
        <v>7495</v>
      </c>
      <c r="C3939" s="41" t="s">
        <v>4366</v>
      </c>
      <c r="D3939" s="41" t="s">
        <v>7496</v>
      </c>
      <c r="E3939" s="41" t="s">
        <v>2929</v>
      </c>
      <c r="F3939" s="41" t="s">
        <v>2949</v>
      </c>
      <c r="G3939" s="41" t="s">
        <v>2950</v>
      </c>
    </row>
    <row r="3940" spans="1:7" x14ac:dyDescent="0.25">
      <c r="A3940" s="41" t="s">
        <v>7497</v>
      </c>
      <c r="B3940" s="41" t="s">
        <v>7495</v>
      </c>
      <c r="C3940" s="41" t="s">
        <v>4366</v>
      </c>
      <c r="D3940" s="41" t="s">
        <v>7496</v>
      </c>
      <c r="E3940" s="41" t="s">
        <v>2929</v>
      </c>
      <c r="F3940" s="41" t="s">
        <v>2930</v>
      </c>
      <c r="G3940" s="41" t="s">
        <v>2931</v>
      </c>
    </row>
    <row r="3941" spans="1:7" x14ac:dyDescent="0.25">
      <c r="A3941" s="41" t="s">
        <v>7498</v>
      </c>
      <c r="B3941" s="41" t="s">
        <v>7495</v>
      </c>
      <c r="C3941" s="41" t="s">
        <v>4366</v>
      </c>
      <c r="D3941" s="41" t="s">
        <v>7496</v>
      </c>
      <c r="E3941" s="41" t="s">
        <v>2929</v>
      </c>
      <c r="F3941" s="41" t="s">
        <v>2930</v>
      </c>
      <c r="G3941" s="41" t="s">
        <v>2931</v>
      </c>
    </row>
    <row r="3942" spans="1:7" x14ac:dyDescent="0.25">
      <c r="A3942" s="41" t="s">
        <v>7499</v>
      </c>
      <c r="B3942" s="41" t="s">
        <v>7495</v>
      </c>
      <c r="C3942" s="41" t="s">
        <v>4366</v>
      </c>
      <c r="D3942" s="41" t="s">
        <v>7496</v>
      </c>
      <c r="E3942" s="41" t="s">
        <v>2929</v>
      </c>
      <c r="F3942" s="41" t="s">
        <v>2949</v>
      </c>
      <c r="G3942" s="41" t="s">
        <v>2950</v>
      </c>
    </row>
    <row r="3943" spans="1:7" x14ac:dyDescent="0.25">
      <c r="A3943" s="41" t="s">
        <v>7500</v>
      </c>
      <c r="B3943" s="41" t="s">
        <v>7495</v>
      </c>
      <c r="C3943" s="41" t="s">
        <v>4366</v>
      </c>
      <c r="D3943" s="41" t="s">
        <v>7496</v>
      </c>
      <c r="E3943" s="41" t="s">
        <v>2929</v>
      </c>
      <c r="F3943" s="41" t="s">
        <v>2933</v>
      </c>
      <c r="G3943" s="41" t="s">
        <v>2934</v>
      </c>
    </row>
    <row r="3944" spans="1:7" x14ac:dyDescent="0.25">
      <c r="A3944" s="41" t="s">
        <v>7501</v>
      </c>
      <c r="B3944" s="41" t="s">
        <v>7495</v>
      </c>
      <c r="C3944" s="41" t="s">
        <v>4366</v>
      </c>
      <c r="D3944" s="41" t="s">
        <v>7496</v>
      </c>
      <c r="E3944" s="41" t="s">
        <v>3009</v>
      </c>
      <c r="F3944" s="41" t="s">
        <v>2933</v>
      </c>
      <c r="G3944" s="41" t="s">
        <v>2934</v>
      </c>
    </row>
    <row r="3945" spans="1:7" x14ac:dyDescent="0.25">
      <c r="A3945" s="41" t="s">
        <v>7502</v>
      </c>
      <c r="B3945" s="41" t="s">
        <v>7406</v>
      </c>
      <c r="C3945" s="41" t="s">
        <v>4366</v>
      </c>
      <c r="D3945" s="41" t="s">
        <v>7407</v>
      </c>
      <c r="E3945" s="41" t="s">
        <v>3009</v>
      </c>
      <c r="F3945" s="41" t="s">
        <v>2933</v>
      </c>
      <c r="G3945" s="41" t="s">
        <v>2934</v>
      </c>
    </row>
    <row r="3946" spans="1:7" x14ac:dyDescent="0.25">
      <c r="A3946" s="41" t="s">
        <v>7503</v>
      </c>
      <c r="B3946" s="41" t="s">
        <v>7495</v>
      </c>
      <c r="C3946" s="41" t="s">
        <v>4366</v>
      </c>
      <c r="D3946" s="41" t="s">
        <v>7496</v>
      </c>
      <c r="E3946" s="41" t="s">
        <v>2929</v>
      </c>
      <c r="F3946" s="41" t="s">
        <v>2949</v>
      </c>
      <c r="G3946" s="41" t="s">
        <v>2950</v>
      </c>
    </row>
    <row r="3947" spans="1:7" x14ac:dyDescent="0.25">
      <c r="A3947" s="41" t="s">
        <v>7504</v>
      </c>
      <c r="B3947" s="41" t="s">
        <v>7495</v>
      </c>
      <c r="C3947" s="41" t="s">
        <v>4366</v>
      </c>
      <c r="D3947" s="41" t="s">
        <v>7496</v>
      </c>
      <c r="E3947" s="41" t="s">
        <v>2984</v>
      </c>
      <c r="F3947" s="41" t="s">
        <v>2930</v>
      </c>
      <c r="G3947" s="41" t="s">
        <v>2931</v>
      </c>
    </row>
    <row r="3948" spans="1:7" x14ac:dyDescent="0.25">
      <c r="A3948" s="41" t="s">
        <v>7505</v>
      </c>
      <c r="B3948" s="41" t="s">
        <v>7474</v>
      </c>
      <c r="C3948" s="41" t="s">
        <v>4366</v>
      </c>
      <c r="D3948" s="41" t="s">
        <v>7475</v>
      </c>
      <c r="E3948" s="41" t="s">
        <v>2929</v>
      </c>
      <c r="F3948" s="41" t="s">
        <v>2949</v>
      </c>
      <c r="G3948" s="41" t="s">
        <v>2950</v>
      </c>
    </row>
    <row r="3949" spans="1:7" x14ac:dyDescent="0.25">
      <c r="A3949" s="41" t="s">
        <v>7506</v>
      </c>
      <c r="B3949" s="41" t="s">
        <v>7495</v>
      </c>
      <c r="C3949" s="41" t="s">
        <v>4366</v>
      </c>
      <c r="D3949" s="41" t="s">
        <v>7496</v>
      </c>
      <c r="E3949" s="41" t="s">
        <v>2929</v>
      </c>
      <c r="F3949" s="41" t="s">
        <v>2930</v>
      </c>
      <c r="G3949" s="41" t="s">
        <v>2931</v>
      </c>
    </row>
    <row r="3950" spans="1:7" x14ac:dyDescent="0.25">
      <c r="A3950" s="41" t="s">
        <v>7507</v>
      </c>
      <c r="B3950" s="41" t="s">
        <v>7495</v>
      </c>
      <c r="C3950" s="41" t="s">
        <v>4366</v>
      </c>
      <c r="D3950" s="41" t="s">
        <v>7496</v>
      </c>
      <c r="E3950" s="41" t="s">
        <v>2929</v>
      </c>
      <c r="F3950" s="41" t="s">
        <v>2949</v>
      </c>
      <c r="G3950" s="41" t="s">
        <v>2950</v>
      </c>
    </row>
    <row r="3951" spans="1:7" x14ac:dyDescent="0.25">
      <c r="A3951" s="41" t="s">
        <v>7508</v>
      </c>
      <c r="B3951" s="41" t="s">
        <v>7495</v>
      </c>
      <c r="C3951" s="41" t="s">
        <v>4366</v>
      </c>
      <c r="D3951" s="41" t="s">
        <v>7496</v>
      </c>
      <c r="E3951" s="41" t="s">
        <v>2984</v>
      </c>
      <c r="F3951" s="41" t="s">
        <v>2930</v>
      </c>
      <c r="G3951" s="41" t="s">
        <v>2931</v>
      </c>
    </row>
    <row r="3952" spans="1:7" x14ac:dyDescent="0.25">
      <c r="A3952" s="41" t="s">
        <v>7509</v>
      </c>
      <c r="B3952" s="41" t="s">
        <v>7495</v>
      </c>
      <c r="C3952" s="41" t="s">
        <v>4366</v>
      </c>
      <c r="D3952" s="41" t="s">
        <v>7496</v>
      </c>
      <c r="E3952" s="41" t="s">
        <v>2929</v>
      </c>
      <c r="F3952" s="41" t="s">
        <v>2949</v>
      </c>
      <c r="G3952" s="41" t="s">
        <v>2950</v>
      </c>
    </row>
    <row r="3953" spans="1:7" x14ac:dyDescent="0.25">
      <c r="A3953" s="41" t="s">
        <v>7510</v>
      </c>
      <c r="B3953" s="41" t="s">
        <v>7495</v>
      </c>
      <c r="C3953" s="41" t="s">
        <v>4366</v>
      </c>
      <c r="D3953" s="41" t="s">
        <v>7496</v>
      </c>
      <c r="E3953" s="41" t="s">
        <v>2929</v>
      </c>
      <c r="F3953" s="41" t="s">
        <v>2933</v>
      </c>
      <c r="G3953" s="41" t="s">
        <v>2934</v>
      </c>
    </row>
    <row r="3954" spans="1:7" x14ac:dyDescent="0.25">
      <c r="A3954" s="41" t="s">
        <v>7511</v>
      </c>
      <c r="B3954" s="41" t="s">
        <v>7495</v>
      </c>
      <c r="C3954" s="41" t="s">
        <v>4366</v>
      </c>
      <c r="D3954" s="41" t="s">
        <v>7496</v>
      </c>
      <c r="E3954" s="41" t="s">
        <v>2984</v>
      </c>
      <c r="F3954" s="41" t="s">
        <v>2949</v>
      </c>
      <c r="G3954" s="41" t="s">
        <v>2950</v>
      </c>
    </row>
    <row r="3955" spans="1:7" x14ac:dyDescent="0.25">
      <c r="A3955" s="41" t="s">
        <v>7512</v>
      </c>
      <c r="B3955" s="41" t="s">
        <v>7495</v>
      </c>
      <c r="C3955" s="41" t="s">
        <v>4366</v>
      </c>
      <c r="D3955" s="41" t="s">
        <v>7496</v>
      </c>
      <c r="E3955" s="41" t="s">
        <v>2984</v>
      </c>
      <c r="F3955" s="41" t="s">
        <v>2949</v>
      </c>
      <c r="G3955" s="41" t="s">
        <v>2950</v>
      </c>
    </row>
    <row r="3956" spans="1:7" x14ac:dyDescent="0.25">
      <c r="A3956" s="41" t="s">
        <v>7513</v>
      </c>
      <c r="B3956" s="41" t="s">
        <v>7514</v>
      </c>
      <c r="C3956" s="41" t="s">
        <v>4366</v>
      </c>
      <c r="D3956" s="41" t="s">
        <v>7515</v>
      </c>
      <c r="E3956" s="41" t="s">
        <v>2929</v>
      </c>
      <c r="F3956" s="41" t="s">
        <v>2949</v>
      </c>
      <c r="G3956" s="41" t="s">
        <v>2950</v>
      </c>
    </row>
    <row r="3957" spans="1:7" x14ac:dyDescent="0.25">
      <c r="A3957" s="41" t="s">
        <v>7516</v>
      </c>
      <c r="B3957" s="41" t="s">
        <v>7517</v>
      </c>
      <c r="C3957" s="41" t="s">
        <v>4366</v>
      </c>
      <c r="D3957" s="41" t="s">
        <v>7518</v>
      </c>
      <c r="E3957" s="41" t="s">
        <v>2929</v>
      </c>
      <c r="F3957" s="41" t="s">
        <v>3355</v>
      </c>
      <c r="G3957" s="41" t="s">
        <v>2950</v>
      </c>
    </row>
    <row r="3958" spans="1:7" x14ac:dyDescent="0.25">
      <c r="A3958" s="41" t="s">
        <v>7519</v>
      </c>
      <c r="B3958" s="41" t="s">
        <v>7517</v>
      </c>
      <c r="C3958" s="41" t="s">
        <v>4366</v>
      </c>
      <c r="D3958" s="41" t="s">
        <v>7518</v>
      </c>
      <c r="E3958" s="41" t="s">
        <v>2929</v>
      </c>
      <c r="F3958" s="41" t="s">
        <v>2949</v>
      </c>
      <c r="G3958" s="41" t="s">
        <v>2950</v>
      </c>
    </row>
    <row r="3959" spans="1:7" x14ac:dyDescent="0.25">
      <c r="A3959" s="41" t="s">
        <v>7520</v>
      </c>
      <c r="B3959" s="41" t="s">
        <v>7432</v>
      </c>
      <c r="C3959" s="41" t="s">
        <v>4366</v>
      </c>
      <c r="D3959" s="41" t="s">
        <v>7433</v>
      </c>
      <c r="E3959" s="41" t="s">
        <v>2929</v>
      </c>
      <c r="F3959" s="41" t="s">
        <v>2930</v>
      </c>
      <c r="G3959" s="41" t="s">
        <v>2934</v>
      </c>
    </row>
    <row r="3960" spans="1:7" x14ac:dyDescent="0.25">
      <c r="A3960" s="41" t="s">
        <v>7521</v>
      </c>
      <c r="B3960" s="41" t="s">
        <v>7432</v>
      </c>
      <c r="C3960" s="41" t="s">
        <v>4366</v>
      </c>
      <c r="D3960" s="41" t="s">
        <v>7433</v>
      </c>
      <c r="E3960" s="41" t="s">
        <v>2929</v>
      </c>
      <c r="F3960" s="41" t="s">
        <v>2933</v>
      </c>
      <c r="G3960" s="41" t="s">
        <v>2950</v>
      </c>
    </row>
    <row r="3961" spans="1:7" x14ac:dyDescent="0.25">
      <c r="A3961" s="41" t="s">
        <v>7522</v>
      </c>
      <c r="B3961" s="41" t="s">
        <v>7523</v>
      </c>
      <c r="C3961" s="41" t="s">
        <v>4366</v>
      </c>
      <c r="D3961" s="41" t="s">
        <v>7524</v>
      </c>
      <c r="E3961" s="41" t="s">
        <v>2929</v>
      </c>
      <c r="F3961" s="41" t="s">
        <v>2949</v>
      </c>
      <c r="G3961" s="41" t="s">
        <v>2950</v>
      </c>
    </row>
    <row r="3962" spans="1:7" x14ac:dyDescent="0.25">
      <c r="A3962" s="41" t="s">
        <v>7525</v>
      </c>
      <c r="B3962" s="41" t="s">
        <v>7523</v>
      </c>
      <c r="C3962" s="41" t="s">
        <v>4366</v>
      </c>
      <c r="D3962" s="41" t="s">
        <v>7524</v>
      </c>
      <c r="E3962" s="41" t="s">
        <v>2929</v>
      </c>
      <c r="F3962" s="41" t="s">
        <v>2949</v>
      </c>
      <c r="G3962" s="41" t="s">
        <v>2950</v>
      </c>
    </row>
    <row r="3963" spans="1:7" x14ac:dyDescent="0.25">
      <c r="A3963" s="41" t="s">
        <v>7526</v>
      </c>
      <c r="B3963" s="41" t="s">
        <v>7523</v>
      </c>
      <c r="C3963" s="41" t="s">
        <v>4366</v>
      </c>
      <c r="D3963" s="41" t="s">
        <v>7524</v>
      </c>
      <c r="E3963" s="41" t="s">
        <v>2929</v>
      </c>
      <c r="F3963" s="41" t="s">
        <v>2949</v>
      </c>
      <c r="G3963" s="41" t="s">
        <v>2950</v>
      </c>
    </row>
    <row r="3964" spans="1:7" x14ac:dyDescent="0.25">
      <c r="A3964" s="41" t="s">
        <v>7527</v>
      </c>
      <c r="B3964" s="41" t="s">
        <v>7523</v>
      </c>
      <c r="C3964" s="41" t="s">
        <v>4366</v>
      </c>
      <c r="D3964" s="41" t="s">
        <v>7524</v>
      </c>
      <c r="E3964" s="41" t="s">
        <v>3009</v>
      </c>
      <c r="F3964" s="41" t="s">
        <v>2933</v>
      </c>
      <c r="G3964" s="41" t="s">
        <v>2934</v>
      </c>
    </row>
    <row r="3965" spans="1:7" x14ac:dyDescent="0.25">
      <c r="A3965" s="41" t="s">
        <v>7528</v>
      </c>
      <c r="B3965" s="41" t="s">
        <v>7523</v>
      </c>
      <c r="C3965" s="41" t="s">
        <v>4366</v>
      </c>
      <c r="D3965" s="41" t="s">
        <v>7524</v>
      </c>
      <c r="E3965" s="41" t="s">
        <v>2929</v>
      </c>
      <c r="F3965" s="41" t="s">
        <v>2933</v>
      </c>
      <c r="G3965" s="41" t="s">
        <v>2934</v>
      </c>
    </row>
    <row r="3966" spans="1:7" x14ac:dyDescent="0.25">
      <c r="A3966" s="41" t="s">
        <v>7529</v>
      </c>
      <c r="B3966" s="41" t="s">
        <v>7523</v>
      </c>
      <c r="C3966" s="41" t="s">
        <v>4366</v>
      </c>
      <c r="D3966" s="41" t="s">
        <v>7524</v>
      </c>
      <c r="E3966" s="41" t="s">
        <v>3009</v>
      </c>
      <c r="F3966" s="41" t="s">
        <v>2933</v>
      </c>
      <c r="G3966" s="41" t="s">
        <v>2934</v>
      </c>
    </row>
    <row r="3967" spans="1:7" x14ac:dyDescent="0.25">
      <c r="A3967" s="41" t="s">
        <v>7530</v>
      </c>
      <c r="B3967" s="41" t="s">
        <v>7523</v>
      </c>
      <c r="C3967" s="41" t="s">
        <v>4366</v>
      </c>
      <c r="D3967" s="41" t="s">
        <v>7524</v>
      </c>
      <c r="E3967" s="41" t="s">
        <v>2984</v>
      </c>
      <c r="F3967" s="41" t="s">
        <v>2930</v>
      </c>
      <c r="G3967" s="41" t="s">
        <v>2931</v>
      </c>
    </row>
    <row r="3968" spans="1:7" x14ac:dyDescent="0.25">
      <c r="A3968" s="41" t="s">
        <v>7531</v>
      </c>
      <c r="B3968" s="41" t="s">
        <v>7523</v>
      </c>
      <c r="C3968" s="41" t="s">
        <v>4366</v>
      </c>
      <c r="D3968" s="41" t="s">
        <v>7524</v>
      </c>
      <c r="E3968" s="41" t="s">
        <v>2929</v>
      </c>
      <c r="F3968" s="41" t="s">
        <v>2930</v>
      </c>
      <c r="G3968" s="41" t="s">
        <v>2931</v>
      </c>
    </row>
    <row r="3969" spans="1:7" x14ac:dyDescent="0.25">
      <c r="A3969" s="41" t="s">
        <v>7532</v>
      </c>
      <c r="B3969" s="41" t="s">
        <v>7517</v>
      </c>
      <c r="C3969" s="41" t="s">
        <v>4366</v>
      </c>
      <c r="D3969" s="41" t="s">
        <v>7518</v>
      </c>
      <c r="E3969" s="41" t="s">
        <v>2929</v>
      </c>
      <c r="F3969" s="41" t="s">
        <v>2933</v>
      </c>
      <c r="G3969" s="41" t="s">
        <v>2934</v>
      </c>
    </row>
    <row r="3970" spans="1:7" x14ac:dyDescent="0.25">
      <c r="A3970" s="41" t="s">
        <v>7533</v>
      </c>
      <c r="B3970" s="41" t="s">
        <v>7517</v>
      </c>
      <c r="C3970" s="41" t="s">
        <v>4366</v>
      </c>
      <c r="D3970" s="41" t="s">
        <v>7518</v>
      </c>
      <c r="E3970" s="41" t="s">
        <v>2984</v>
      </c>
      <c r="F3970" s="41" t="s">
        <v>3355</v>
      </c>
      <c r="G3970" s="41" t="s">
        <v>2950</v>
      </c>
    </row>
    <row r="3971" spans="1:7" x14ac:dyDescent="0.25">
      <c r="A3971" s="41" t="s">
        <v>7534</v>
      </c>
      <c r="B3971" s="41" t="s">
        <v>7381</v>
      </c>
      <c r="C3971" s="41" t="s">
        <v>4366</v>
      </c>
      <c r="D3971" s="41" t="s">
        <v>7382</v>
      </c>
      <c r="E3971" s="41" t="s">
        <v>2929</v>
      </c>
      <c r="F3971" s="41" t="s">
        <v>2949</v>
      </c>
      <c r="G3971" s="41" t="s">
        <v>2950</v>
      </c>
    </row>
    <row r="3972" spans="1:7" x14ac:dyDescent="0.25">
      <c r="A3972" s="41" t="s">
        <v>7535</v>
      </c>
      <c r="B3972" s="41" t="s">
        <v>7536</v>
      </c>
      <c r="C3972" s="41" t="s">
        <v>4366</v>
      </c>
      <c r="D3972" s="41" t="s">
        <v>7537</v>
      </c>
      <c r="E3972" s="41" t="s">
        <v>2929</v>
      </c>
      <c r="F3972" s="41" t="s">
        <v>2933</v>
      </c>
      <c r="G3972" s="41" t="s">
        <v>2934</v>
      </c>
    </row>
    <row r="3973" spans="1:7" x14ac:dyDescent="0.25">
      <c r="A3973" s="41" t="s">
        <v>7538</v>
      </c>
      <c r="B3973" s="41" t="s">
        <v>7224</v>
      </c>
      <c r="C3973" s="41" t="s">
        <v>4366</v>
      </c>
      <c r="D3973" s="41" t="s">
        <v>7225</v>
      </c>
      <c r="E3973" s="41" t="s">
        <v>2929</v>
      </c>
      <c r="F3973" s="41" t="s">
        <v>2949</v>
      </c>
      <c r="G3973" s="41" t="s">
        <v>2950</v>
      </c>
    </row>
    <row r="3974" spans="1:7" x14ac:dyDescent="0.25">
      <c r="A3974" s="41" t="s">
        <v>7539</v>
      </c>
      <c r="B3974" s="41" t="s">
        <v>7224</v>
      </c>
      <c r="C3974" s="41" t="s">
        <v>4366</v>
      </c>
      <c r="D3974" s="41" t="s">
        <v>7225</v>
      </c>
      <c r="E3974" s="41" t="s">
        <v>2929</v>
      </c>
      <c r="F3974" s="41" t="s">
        <v>2933</v>
      </c>
      <c r="G3974" s="41" t="s">
        <v>2934</v>
      </c>
    </row>
    <row r="3975" spans="1:7" x14ac:dyDescent="0.25">
      <c r="A3975" s="41" t="s">
        <v>7540</v>
      </c>
      <c r="B3975" s="41" t="s">
        <v>7224</v>
      </c>
      <c r="C3975" s="41" t="s">
        <v>4366</v>
      </c>
      <c r="D3975" s="41" t="s">
        <v>7225</v>
      </c>
      <c r="E3975" s="41" t="s">
        <v>2929</v>
      </c>
      <c r="F3975" s="41" t="s">
        <v>2949</v>
      </c>
      <c r="G3975" s="41" t="s">
        <v>2950</v>
      </c>
    </row>
    <row r="3976" spans="1:7" x14ac:dyDescent="0.25">
      <c r="A3976" s="41" t="s">
        <v>7541</v>
      </c>
      <c r="B3976" s="41" t="s">
        <v>7224</v>
      </c>
      <c r="C3976" s="41" t="s">
        <v>4366</v>
      </c>
      <c r="D3976" s="41" t="s">
        <v>7225</v>
      </c>
      <c r="E3976" s="41" t="s">
        <v>2929</v>
      </c>
      <c r="F3976" s="41" t="s">
        <v>2933</v>
      </c>
      <c r="G3976" s="41" t="s">
        <v>2934</v>
      </c>
    </row>
    <row r="3977" spans="1:7" x14ac:dyDescent="0.25">
      <c r="A3977" s="41" t="s">
        <v>7542</v>
      </c>
      <c r="B3977" s="41" t="s">
        <v>7224</v>
      </c>
      <c r="C3977" s="41" t="s">
        <v>4366</v>
      </c>
      <c r="D3977" s="41" t="s">
        <v>7225</v>
      </c>
      <c r="E3977" s="41" t="s">
        <v>2984</v>
      </c>
      <c r="F3977" s="41" t="s">
        <v>2949</v>
      </c>
      <c r="G3977" s="41" t="s">
        <v>2950</v>
      </c>
    </row>
    <row r="3978" spans="1:7" x14ac:dyDescent="0.25">
      <c r="A3978" s="41" t="s">
        <v>7543</v>
      </c>
      <c r="B3978" s="41" t="s">
        <v>7536</v>
      </c>
      <c r="C3978" s="41" t="s">
        <v>4366</v>
      </c>
      <c r="D3978" s="41" t="s">
        <v>7537</v>
      </c>
      <c r="E3978" s="41" t="s">
        <v>2984</v>
      </c>
      <c r="F3978" s="41" t="s">
        <v>2949</v>
      </c>
      <c r="G3978" s="41" t="s">
        <v>2950</v>
      </c>
    </row>
    <row r="3979" spans="1:7" x14ac:dyDescent="0.25">
      <c r="A3979" s="41" t="s">
        <v>7544</v>
      </c>
      <c r="B3979" s="41" t="s">
        <v>7536</v>
      </c>
      <c r="C3979" s="41" t="s">
        <v>4366</v>
      </c>
      <c r="D3979" s="41" t="s">
        <v>7537</v>
      </c>
      <c r="E3979" s="41" t="s">
        <v>2929</v>
      </c>
      <c r="F3979" s="41" t="s">
        <v>2930</v>
      </c>
      <c r="G3979" s="41" t="s">
        <v>2931</v>
      </c>
    </row>
    <row r="3980" spans="1:7" x14ac:dyDescent="0.25">
      <c r="A3980" s="41" t="s">
        <v>7545</v>
      </c>
      <c r="B3980" s="41" t="s">
        <v>7536</v>
      </c>
      <c r="C3980" s="41" t="s">
        <v>4366</v>
      </c>
      <c r="D3980" s="41" t="s">
        <v>7537</v>
      </c>
      <c r="E3980" s="41" t="s">
        <v>3009</v>
      </c>
      <c r="F3980" s="41" t="s">
        <v>2933</v>
      </c>
      <c r="G3980" s="41" t="s">
        <v>2934</v>
      </c>
    </row>
    <row r="3981" spans="1:7" x14ac:dyDescent="0.25">
      <c r="A3981" s="41" t="s">
        <v>7546</v>
      </c>
      <c r="B3981" s="41" t="s">
        <v>7536</v>
      </c>
      <c r="C3981" s="41" t="s">
        <v>4366</v>
      </c>
      <c r="D3981" s="41" t="s">
        <v>7537</v>
      </c>
      <c r="E3981" s="41" t="s">
        <v>2984</v>
      </c>
      <c r="F3981" s="41" t="s">
        <v>2949</v>
      </c>
      <c r="G3981" s="41" t="s">
        <v>2950</v>
      </c>
    </row>
    <row r="3982" spans="1:7" x14ac:dyDescent="0.25">
      <c r="A3982" s="41" t="s">
        <v>7547</v>
      </c>
      <c r="B3982" s="41" t="s">
        <v>7536</v>
      </c>
      <c r="C3982" s="41" t="s">
        <v>4366</v>
      </c>
      <c r="D3982" s="41" t="s">
        <v>7537</v>
      </c>
      <c r="E3982" s="41" t="s">
        <v>2929</v>
      </c>
      <c r="F3982" s="41" t="s">
        <v>2933</v>
      </c>
      <c r="G3982" s="41" t="s">
        <v>2934</v>
      </c>
    </row>
    <row r="3983" spans="1:7" x14ac:dyDescent="0.25">
      <c r="A3983" s="41" t="s">
        <v>7548</v>
      </c>
      <c r="B3983" s="41" t="s">
        <v>7536</v>
      </c>
      <c r="C3983" s="41" t="s">
        <v>4366</v>
      </c>
      <c r="D3983" s="41" t="s">
        <v>7537</v>
      </c>
      <c r="E3983" s="41" t="s">
        <v>2929</v>
      </c>
      <c r="F3983" s="41" t="s">
        <v>2933</v>
      </c>
      <c r="G3983" s="41" t="s">
        <v>2934</v>
      </c>
    </row>
    <row r="3984" spans="1:7" x14ac:dyDescent="0.25">
      <c r="A3984" s="41" t="s">
        <v>7549</v>
      </c>
      <c r="B3984" s="41" t="s">
        <v>7536</v>
      </c>
      <c r="C3984" s="41" t="s">
        <v>4366</v>
      </c>
      <c r="D3984" s="41" t="s">
        <v>7537</v>
      </c>
      <c r="E3984" s="41" t="s">
        <v>2929</v>
      </c>
      <c r="F3984" s="41" t="s">
        <v>2949</v>
      </c>
      <c r="G3984" s="41" t="s">
        <v>2950</v>
      </c>
    </row>
    <row r="3985" spans="1:7" x14ac:dyDescent="0.25">
      <c r="A3985" s="41" t="s">
        <v>7550</v>
      </c>
      <c r="B3985" s="41" t="s">
        <v>7536</v>
      </c>
      <c r="C3985" s="41" t="s">
        <v>4366</v>
      </c>
      <c r="D3985" s="41" t="s">
        <v>7537</v>
      </c>
      <c r="E3985" s="41" t="s">
        <v>2929</v>
      </c>
      <c r="F3985" s="41" t="s">
        <v>2949</v>
      </c>
      <c r="G3985" s="41" t="s">
        <v>2950</v>
      </c>
    </row>
    <row r="3986" spans="1:7" x14ac:dyDescent="0.25">
      <c r="A3986" s="41" t="s">
        <v>7551</v>
      </c>
      <c r="B3986" s="41" t="s">
        <v>7536</v>
      </c>
      <c r="C3986" s="41" t="s">
        <v>4366</v>
      </c>
      <c r="D3986" s="41" t="s">
        <v>7537</v>
      </c>
      <c r="E3986" s="41" t="s">
        <v>2984</v>
      </c>
      <c r="F3986" s="41" t="s">
        <v>2949</v>
      </c>
      <c r="G3986" s="41" t="s">
        <v>2950</v>
      </c>
    </row>
    <row r="3987" spans="1:7" x14ac:dyDescent="0.25">
      <c r="A3987" s="41" t="s">
        <v>7552</v>
      </c>
      <c r="B3987" s="41" t="s">
        <v>7553</v>
      </c>
      <c r="C3987" s="41" t="s">
        <v>4366</v>
      </c>
      <c r="D3987" s="41" t="s">
        <v>7554</v>
      </c>
      <c r="E3987" s="41" t="s">
        <v>2929</v>
      </c>
      <c r="F3987" s="41" t="s">
        <v>2949</v>
      </c>
      <c r="G3987" s="41" t="s">
        <v>2950</v>
      </c>
    </row>
    <row r="3988" spans="1:7" x14ac:dyDescent="0.25">
      <c r="A3988" s="41" t="s">
        <v>7555</v>
      </c>
      <c r="B3988" s="41" t="s">
        <v>7536</v>
      </c>
      <c r="C3988" s="41" t="s">
        <v>4366</v>
      </c>
      <c r="D3988" s="41" t="s">
        <v>7537</v>
      </c>
      <c r="E3988" s="41" t="s">
        <v>2984</v>
      </c>
      <c r="F3988" s="41" t="s">
        <v>2949</v>
      </c>
      <c r="G3988" s="41" t="s">
        <v>2950</v>
      </c>
    </row>
    <row r="3989" spans="1:7" x14ac:dyDescent="0.25">
      <c r="A3989" s="41" t="s">
        <v>7556</v>
      </c>
      <c r="B3989" s="41" t="s">
        <v>7536</v>
      </c>
      <c r="C3989" s="41" t="s">
        <v>4366</v>
      </c>
      <c r="D3989" s="41" t="s">
        <v>7537</v>
      </c>
      <c r="E3989" s="41" t="s">
        <v>2929</v>
      </c>
      <c r="F3989" s="41" t="s">
        <v>2949</v>
      </c>
      <c r="G3989" s="41" t="s">
        <v>2950</v>
      </c>
    </row>
    <row r="3990" spans="1:7" x14ac:dyDescent="0.25">
      <c r="A3990" s="41" t="s">
        <v>7557</v>
      </c>
      <c r="B3990" s="41" t="s">
        <v>7536</v>
      </c>
      <c r="C3990" s="41" t="s">
        <v>4366</v>
      </c>
      <c r="D3990" s="41" t="s">
        <v>7537</v>
      </c>
      <c r="E3990" s="41" t="s">
        <v>2984</v>
      </c>
      <c r="F3990" s="41" t="s">
        <v>2933</v>
      </c>
      <c r="G3990" s="41" t="s">
        <v>2934</v>
      </c>
    </row>
    <row r="3991" spans="1:7" x14ac:dyDescent="0.25">
      <c r="A3991" s="41" t="s">
        <v>7558</v>
      </c>
      <c r="B3991" s="41" t="s">
        <v>7536</v>
      </c>
      <c r="C3991" s="41" t="s">
        <v>4366</v>
      </c>
      <c r="D3991" s="41" t="s">
        <v>7537</v>
      </c>
      <c r="E3991" s="41" t="s">
        <v>2929</v>
      </c>
      <c r="F3991" s="41" t="s">
        <v>2933</v>
      </c>
      <c r="G3991" s="41" t="s">
        <v>2934</v>
      </c>
    </row>
    <row r="3992" spans="1:7" x14ac:dyDescent="0.25">
      <c r="A3992" s="41" t="s">
        <v>7559</v>
      </c>
      <c r="B3992" s="41" t="s">
        <v>7536</v>
      </c>
      <c r="C3992" s="41" t="s">
        <v>4366</v>
      </c>
      <c r="D3992" s="41" t="s">
        <v>7537</v>
      </c>
      <c r="E3992" s="41" t="s">
        <v>2929</v>
      </c>
      <c r="F3992" s="41" t="s">
        <v>2930</v>
      </c>
      <c r="G3992" s="41" t="s">
        <v>2931</v>
      </c>
    </row>
    <row r="3993" spans="1:7" x14ac:dyDescent="0.25">
      <c r="A3993" s="41" t="s">
        <v>7560</v>
      </c>
      <c r="B3993" s="41" t="s">
        <v>7536</v>
      </c>
      <c r="C3993" s="41" t="s">
        <v>4366</v>
      </c>
      <c r="D3993" s="41" t="s">
        <v>7537</v>
      </c>
      <c r="E3993" s="41" t="s">
        <v>2929</v>
      </c>
      <c r="F3993" s="41" t="s">
        <v>2930</v>
      </c>
      <c r="G3993" s="41" t="s">
        <v>2931</v>
      </c>
    </row>
    <row r="3994" spans="1:7" x14ac:dyDescent="0.25">
      <c r="A3994" s="41" t="s">
        <v>7561</v>
      </c>
      <c r="B3994" s="41" t="s">
        <v>7536</v>
      </c>
      <c r="C3994" s="41" t="s">
        <v>4366</v>
      </c>
      <c r="D3994" s="41" t="s">
        <v>7537</v>
      </c>
      <c r="E3994" s="41" t="s">
        <v>2929</v>
      </c>
      <c r="F3994" s="41" t="s">
        <v>2930</v>
      </c>
      <c r="G3994" s="41" t="s">
        <v>2931</v>
      </c>
    </row>
    <row r="3995" spans="1:7" x14ac:dyDescent="0.25">
      <c r="A3995" s="41" t="s">
        <v>7562</v>
      </c>
      <c r="B3995" s="41" t="s">
        <v>7536</v>
      </c>
      <c r="C3995" s="41" t="s">
        <v>4366</v>
      </c>
      <c r="D3995" s="41" t="s">
        <v>7537</v>
      </c>
      <c r="E3995" s="41" t="s">
        <v>2929</v>
      </c>
      <c r="F3995" s="41" t="s">
        <v>2930</v>
      </c>
      <c r="G3995" s="41" t="s">
        <v>2931</v>
      </c>
    </row>
    <row r="3996" spans="1:7" x14ac:dyDescent="0.25">
      <c r="A3996" s="41" t="s">
        <v>7563</v>
      </c>
      <c r="B3996" s="41" t="s">
        <v>7536</v>
      </c>
      <c r="C3996" s="41" t="s">
        <v>4366</v>
      </c>
      <c r="D3996" s="41" t="s">
        <v>7537</v>
      </c>
      <c r="E3996" s="41" t="s">
        <v>2929</v>
      </c>
      <c r="F3996" s="41" t="s">
        <v>2933</v>
      </c>
      <c r="G3996" s="41" t="s">
        <v>2934</v>
      </c>
    </row>
    <row r="3997" spans="1:7" x14ac:dyDescent="0.25">
      <c r="A3997" s="41" t="s">
        <v>7564</v>
      </c>
      <c r="B3997" s="41" t="s">
        <v>7536</v>
      </c>
      <c r="C3997" s="41" t="s">
        <v>4366</v>
      </c>
      <c r="D3997" s="41" t="s">
        <v>7537</v>
      </c>
      <c r="E3997" s="41" t="s">
        <v>2984</v>
      </c>
      <c r="F3997" s="41" t="s">
        <v>2930</v>
      </c>
      <c r="G3997" s="41" t="s">
        <v>2931</v>
      </c>
    </row>
    <row r="3998" spans="1:7" x14ac:dyDescent="0.25">
      <c r="A3998" s="41" t="s">
        <v>7565</v>
      </c>
      <c r="B3998" s="41" t="s">
        <v>7248</v>
      </c>
      <c r="C3998" s="41" t="s">
        <v>4366</v>
      </c>
      <c r="D3998" s="41" t="s">
        <v>7249</v>
      </c>
      <c r="E3998" s="41" t="s">
        <v>2929</v>
      </c>
      <c r="F3998" s="41" t="s">
        <v>2933</v>
      </c>
      <c r="G3998" s="41" t="s">
        <v>2934</v>
      </c>
    </row>
    <row r="3999" spans="1:7" x14ac:dyDescent="0.25">
      <c r="A3999" s="41" t="s">
        <v>7566</v>
      </c>
      <c r="B3999" s="41" t="s">
        <v>7248</v>
      </c>
      <c r="C3999" s="41" t="s">
        <v>4366</v>
      </c>
      <c r="D3999" s="41" t="s">
        <v>7249</v>
      </c>
      <c r="E3999" s="41" t="s">
        <v>2984</v>
      </c>
      <c r="F3999" s="41" t="s">
        <v>2949</v>
      </c>
      <c r="G3999" s="41" t="s">
        <v>2950</v>
      </c>
    </row>
    <row r="4000" spans="1:7" x14ac:dyDescent="0.25">
      <c r="A4000" s="41" t="s">
        <v>7567</v>
      </c>
      <c r="B4000" s="41" t="s">
        <v>7568</v>
      </c>
      <c r="C4000" s="41" t="s">
        <v>4366</v>
      </c>
      <c r="D4000" s="41" t="s">
        <v>7569</v>
      </c>
      <c r="E4000" s="41" t="s">
        <v>2929</v>
      </c>
      <c r="F4000" s="41" t="s">
        <v>2930</v>
      </c>
      <c r="G4000" s="41" t="s">
        <v>2931</v>
      </c>
    </row>
    <row r="4001" spans="1:7" x14ac:dyDescent="0.25">
      <c r="A4001" s="41" t="s">
        <v>7570</v>
      </c>
      <c r="B4001" s="41" t="s">
        <v>7248</v>
      </c>
      <c r="C4001" s="41" t="s">
        <v>4366</v>
      </c>
      <c r="D4001" s="41" t="s">
        <v>7249</v>
      </c>
      <c r="E4001" s="41" t="s">
        <v>2984</v>
      </c>
      <c r="F4001" s="41" t="s">
        <v>2930</v>
      </c>
      <c r="G4001" s="41" t="s">
        <v>2931</v>
      </c>
    </row>
    <row r="4002" spans="1:7" x14ac:dyDescent="0.25">
      <c r="A4002" s="41" t="s">
        <v>7571</v>
      </c>
      <c r="B4002" s="41" t="s">
        <v>7248</v>
      </c>
      <c r="C4002" s="41" t="s">
        <v>4366</v>
      </c>
      <c r="D4002" s="41" t="s">
        <v>7249</v>
      </c>
      <c r="E4002" s="41" t="s">
        <v>2929</v>
      </c>
      <c r="F4002" s="41" t="s">
        <v>2949</v>
      </c>
      <c r="G4002" s="41" t="s">
        <v>2950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61947-4745-4190-B0CD-707DEBB1759C}">
  <sheetPr codeName="Sheet6"/>
  <dimension ref="A1:M417"/>
  <sheetViews>
    <sheetView workbookViewId="0">
      <pane ySplit="1" topLeftCell="A236" activePane="bottomLeft" state="frozen"/>
      <selection pane="bottomLeft" activeCell="E236" sqref="E236"/>
    </sheetView>
  </sheetViews>
  <sheetFormatPr defaultRowHeight="15" x14ac:dyDescent="0.25"/>
  <cols>
    <col min="2" max="2" width="17.28515625" bestFit="1" customWidth="1"/>
    <col min="3" max="3" width="30.140625" customWidth="1"/>
    <col min="4" max="4" width="18.42578125" style="42" bestFit="1" customWidth="1"/>
    <col min="5" max="5" width="11.140625" bestFit="1" customWidth="1"/>
    <col min="6" max="6" width="17" bestFit="1" customWidth="1"/>
    <col min="7" max="7" width="28.5703125" bestFit="1" customWidth="1"/>
    <col min="8" max="8" width="24" bestFit="1" customWidth="1"/>
    <col min="9" max="9" width="20.28515625" bestFit="1" customWidth="1"/>
    <col min="12" max="12" width="17" bestFit="1" customWidth="1"/>
    <col min="13" max="14" width="23" bestFit="1" customWidth="1"/>
  </cols>
  <sheetData>
    <row r="1" spans="1:13" x14ac:dyDescent="0.25">
      <c r="A1" t="s">
        <v>1229</v>
      </c>
      <c r="B1" t="s">
        <v>7572</v>
      </c>
      <c r="C1" t="s">
        <v>7573</v>
      </c>
      <c r="D1" s="42" t="s">
        <v>1209</v>
      </c>
      <c r="E1" t="s">
        <v>7574</v>
      </c>
      <c r="F1" t="s">
        <v>7575</v>
      </c>
      <c r="G1" t="s">
        <v>7576</v>
      </c>
      <c r="H1" t="s">
        <v>7577</v>
      </c>
      <c r="I1" t="s">
        <v>7578</v>
      </c>
      <c r="L1" s="53" t="s">
        <v>7575</v>
      </c>
      <c r="M1" t="s">
        <v>128</v>
      </c>
    </row>
    <row r="2" spans="1:13" x14ac:dyDescent="0.25">
      <c r="A2">
        <v>4</v>
      </c>
      <c r="B2" t="s">
        <v>7579</v>
      </c>
      <c r="C2" t="s">
        <v>7580</v>
      </c>
      <c r="D2" s="42" t="s">
        <v>107</v>
      </c>
      <c r="E2" s="1" t="s">
        <v>2990</v>
      </c>
      <c r="F2" t="s">
        <v>74</v>
      </c>
      <c r="H2" s="5"/>
      <c r="I2" s="5"/>
    </row>
    <row r="3" spans="1:13" x14ac:dyDescent="0.25">
      <c r="A3">
        <v>4</v>
      </c>
      <c r="B3" t="s">
        <v>7579</v>
      </c>
      <c r="C3" t="s">
        <v>7580</v>
      </c>
      <c r="D3" s="42" t="s">
        <v>107</v>
      </c>
      <c r="E3" s="1" t="s">
        <v>106</v>
      </c>
      <c r="F3" t="s">
        <v>95</v>
      </c>
      <c r="H3" s="5"/>
      <c r="I3" s="5"/>
      <c r="L3" s="53" t="s">
        <v>7581</v>
      </c>
      <c r="M3" t="s">
        <v>7582</v>
      </c>
    </row>
    <row r="4" spans="1:13" x14ac:dyDescent="0.25">
      <c r="A4">
        <v>4</v>
      </c>
      <c r="B4" t="s">
        <v>7579</v>
      </c>
      <c r="C4" t="s">
        <v>7580</v>
      </c>
      <c r="D4" s="42" t="s">
        <v>107</v>
      </c>
      <c r="E4" s="1" t="s">
        <v>2987</v>
      </c>
      <c r="F4" t="s">
        <v>77</v>
      </c>
      <c r="H4" s="5"/>
      <c r="I4" s="5"/>
      <c r="L4" s="38">
        <v>4</v>
      </c>
      <c r="M4">
        <v>2</v>
      </c>
    </row>
    <row r="5" spans="1:13" x14ac:dyDescent="0.25">
      <c r="A5">
        <v>4</v>
      </c>
      <c r="B5" t="s">
        <v>7579</v>
      </c>
      <c r="C5" t="s">
        <v>7580</v>
      </c>
      <c r="D5" s="42" t="s">
        <v>107</v>
      </c>
      <c r="E5" s="1">
        <v>118517</v>
      </c>
      <c r="F5" t="s">
        <v>79</v>
      </c>
      <c r="H5" s="5"/>
      <c r="I5" s="5"/>
      <c r="L5" s="54">
        <v>118211</v>
      </c>
      <c r="M5">
        <v>1</v>
      </c>
    </row>
    <row r="6" spans="1:13" x14ac:dyDescent="0.25">
      <c r="A6">
        <v>4</v>
      </c>
      <c r="B6" t="s">
        <v>7579</v>
      </c>
      <c r="C6" t="s">
        <v>7580</v>
      </c>
      <c r="D6" s="42" t="s">
        <v>107</v>
      </c>
      <c r="E6" s="1">
        <v>112402</v>
      </c>
      <c r="F6" t="s">
        <v>78</v>
      </c>
      <c r="H6" s="5"/>
      <c r="I6" s="5"/>
      <c r="L6" s="54" t="s">
        <v>132</v>
      </c>
      <c r="M6">
        <v>1</v>
      </c>
    </row>
    <row r="7" spans="1:13" x14ac:dyDescent="0.25">
      <c r="A7" s="2">
        <v>4</v>
      </c>
      <c r="B7" s="2" t="s">
        <v>7583</v>
      </c>
      <c r="C7" s="2" t="s">
        <v>7584</v>
      </c>
      <c r="D7" s="42" t="s">
        <v>133</v>
      </c>
      <c r="E7" s="2" t="s">
        <v>2990</v>
      </c>
      <c r="F7" s="2" t="s">
        <v>74</v>
      </c>
      <c r="H7" s="5"/>
      <c r="I7" s="5"/>
      <c r="L7" s="38">
        <v>6</v>
      </c>
      <c r="M7">
        <v>5</v>
      </c>
    </row>
    <row r="8" spans="1:13" x14ac:dyDescent="0.25">
      <c r="A8" s="2">
        <v>4</v>
      </c>
      <c r="B8" s="2" t="s">
        <v>7583</v>
      </c>
      <c r="C8" s="2" t="s">
        <v>7584</v>
      </c>
      <c r="D8" s="42" t="s">
        <v>133</v>
      </c>
      <c r="E8" s="2" t="s">
        <v>132</v>
      </c>
      <c r="F8" s="2" t="s">
        <v>128</v>
      </c>
      <c r="H8" s="5"/>
      <c r="I8" s="5"/>
      <c r="L8" s="54">
        <v>112174</v>
      </c>
      <c r="M8">
        <v>2</v>
      </c>
    </row>
    <row r="9" spans="1:13" x14ac:dyDescent="0.25">
      <c r="A9" s="2">
        <v>4</v>
      </c>
      <c r="B9" s="2" t="s">
        <v>7583</v>
      </c>
      <c r="C9" s="2" t="s">
        <v>7584</v>
      </c>
      <c r="D9" s="42" t="s">
        <v>133</v>
      </c>
      <c r="E9" s="2">
        <v>112502</v>
      </c>
      <c r="F9" s="2" t="s">
        <v>77</v>
      </c>
      <c r="H9" s="5"/>
      <c r="I9" s="5"/>
      <c r="L9" s="54" t="s">
        <v>149</v>
      </c>
      <c r="M9">
        <v>2</v>
      </c>
    </row>
    <row r="10" spans="1:13" x14ac:dyDescent="0.25">
      <c r="A10" s="2">
        <v>4</v>
      </c>
      <c r="B10" s="2" t="s">
        <v>7583</v>
      </c>
      <c r="C10" s="2" t="s">
        <v>7584</v>
      </c>
      <c r="D10" s="42" t="s">
        <v>133</v>
      </c>
      <c r="E10" s="2">
        <v>118517</v>
      </c>
      <c r="F10" s="2" t="s">
        <v>79</v>
      </c>
      <c r="H10" s="5"/>
      <c r="I10" s="5"/>
      <c r="L10" s="54" t="s">
        <v>118</v>
      </c>
      <c r="M10">
        <v>1</v>
      </c>
    </row>
    <row r="11" spans="1:13" x14ac:dyDescent="0.25">
      <c r="A11" s="2">
        <v>4</v>
      </c>
      <c r="B11" s="2" t="s">
        <v>7583</v>
      </c>
      <c r="C11" s="2" t="s">
        <v>7584</v>
      </c>
      <c r="D11" s="42" t="s">
        <v>133</v>
      </c>
      <c r="E11" s="2">
        <v>112402</v>
      </c>
      <c r="F11" s="2" t="s">
        <v>78</v>
      </c>
      <c r="H11" s="5"/>
      <c r="I11" s="5"/>
      <c r="L11" s="38">
        <v>8</v>
      </c>
    </row>
    <row r="12" spans="1:13" x14ac:dyDescent="0.25">
      <c r="A12">
        <v>4</v>
      </c>
      <c r="B12" t="s">
        <v>7585</v>
      </c>
      <c r="C12" t="s">
        <v>7586</v>
      </c>
      <c r="D12" s="42">
        <v>121771</v>
      </c>
      <c r="E12">
        <v>118107</v>
      </c>
      <c r="F12" t="s">
        <v>74</v>
      </c>
      <c r="G12" t="s">
        <v>123</v>
      </c>
      <c r="H12" s="5"/>
      <c r="I12" s="5"/>
      <c r="L12" s="54">
        <v>114560</v>
      </c>
    </row>
    <row r="13" spans="1:13" x14ac:dyDescent="0.25">
      <c r="A13">
        <v>4</v>
      </c>
      <c r="B13" t="s">
        <v>7585</v>
      </c>
      <c r="C13" t="s">
        <v>7586</v>
      </c>
      <c r="D13" s="42">
        <v>121771</v>
      </c>
      <c r="E13">
        <v>116490</v>
      </c>
      <c r="F13" t="s">
        <v>95</v>
      </c>
      <c r="G13" t="s">
        <v>123</v>
      </c>
      <c r="H13" s="5"/>
      <c r="I13" s="5"/>
      <c r="L13" s="54">
        <v>121003</v>
      </c>
    </row>
    <row r="14" spans="1:13" x14ac:dyDescent="0.25">
      <c r="A14">
        <v>4</v>
      </c>
      <c r="B14" t="s">
        <v>7585</v>
      </c>
      <c r="C14" t="s">
        <v>7586</v>
      </c>
      <c r="D14" s="42">
        <v>121771</v>
      </c>
      <c r="E14">
        <v>117949</v>
      </c>
      <c r="F14" t="s">
        <v>77</v>
      </c>
      <c r="G14" t="s">
        <v>123</v>
      </c>
      <c r="H14" s="5"/>
      <c r="I14" s="5"/>
      <c r="L14" s="54" t="s">
        <v>284</v>
      </c>
    </row>
    <row r="15" spans="1:13" x14ac:dyDescent="0.25">
      <c r="A15">
        <v>4</v>
      </c>
      <c r="B15" t="s">
        <v>7585</v>
      </c>
      <c r="C15" t="s">
        <v>7586</v>
      </c>
      <c r="D15" s="42">
        <v>121771</v>
      </c>
      <c r="E15">
        <v>121753</v>
      </c>
      <c r="F15" t="s">
        <v>79</v>
      </c>
      <c r="G15" t="s">
        <v>123</v>
      </c>
      <c r="H15" s="5"/>
      <c r="I15" s="5"/>
      <c r="L15" s="38">
        <v>10</v>
      </c>
      <c r="M15">
        <v>2</v>
      </c>
    </row>
    <row r="16" spans="1:13" x14ac:dyDescent="0.25">
      <c r="A16">
        <v>4</v>
      </c>
      <c r="B16" t="s">
        <v>7585</v>
      </c>
      <c r="C16" t="s">
        <v>7586</v>
      </c>
      <c r="D16" s="42">
        <v>121771</v>
      </c>
      <c r="E16">
        <v>118211</v>
      </c>
      <c r="F16" t="s">
        <v>128</v>
      </c>
      <c r="G16" t="s">
        <v>123</v>
      </c>
      <c r="H16" s="5"/>
      <c r="I16" s="5"/>
      <c r="L16" s="54">
        <v>108081</v>
      </c>
      <c r="M16">
        <v>1</v>
      </c>
    </row>
    <row r="17" spans="1:13" x14ac:dyDescent="0.25">
      <c r="A17">
        <v>4</v>
      </c>
      <c r="B17" t="s">
        <v>7585</v>
      </c>
      <c r="C17" t="s">
        <v>7586</v>
      </c>
      <c r="D17" s="42">
        <v>121771</v>
      </c>
      <c r="E17">
        <v>118113</v>
      </c>
      <c r="F17" t="s">
        <v>78</v>
      </c>
      <c r="G17" t="s">
        <v>123</v>
      </c>
      <c r="H17" s="5"/>
      <c r="I17" s="5"/>
      <c r="L17" s="54" t="s">
        <v>479</v>
      </c>
      <c r="M17">
        <v>1</v>
      </c>
    </row>
    <row r="18" spans="1:13" x14ac:dyDescent="0.25">
      <c r="A18" s="2">
        <v>4</v>
      </c>
      <c r="B18" s="2" t="s">
        <v>7587</v>
      </c>
      <c r="C18" s="2" t="s">
        <v>7587</v>
      </c>
      <c r="D18" s="42">
        <v>115675</v>
      </c>
      <c r="E18" s="2" t="s">
        <v>2990</v>
      </c>
      <c r="F18" s="2" t="s">
        <v>74</v>
      </c>
      <c r="H18" s="5"/>
      <c r="I18" s="5"/>
      <c r="L18" s="38">
        <v>12</v>
      </c>
      <c r="M18">
        <v>4</v>
      </c>
    </row>
    <row r="19" spans="1:13" x14ac:dyDescent="0.25">
      <c r="A19" s="2">
        <v>4</v>
      </c>
      <c r="B19" s="2" t="s">
        <v>7587</v>
      </c>
      <c r="C19" s="2" t="s">
        <v>7587</v>
      </c>
      <c r="D19" s="42">
        <v>115675</v>
      </c>
      <c r="E19" s="2" t="s">
        <v>106</v>
      </c>
      <c r="F19" s="2" t="s">
        <v>95</v>
      </c>
      <c r="H19" s="5"/>
      <c r="I19" s="5"/>
      <c r="L19" s="54">
        <v>113097</v>
      </c>
      <c r="M19">
        <v>2</v>
      </c>
    </row>
    <row r="20" spans="1:13" x14ac:dyDescent="0.25">
      <c r="A20" s="2">
        <v>4</v>
      </c>
      <c r="B20" s="2" t="s">
        <v>7587</v>
      </c>
      <c r="C20" s="2" t="s">
        <v>7587</v>
      </c>
      <c r="D20" s="42">
        <v>115675</v>
      </c>
      <c r="E20" s="2">
        <v>115338</v>
      </c>
      <c r="F20" s="2" t="s">
        <v>77</v>
      </c>
      <c r="H20" s="5"/>
      <c r="I20" s="5"/>
      <c r="L20" s="54">
        <v>129645</v>
      </c>
      <c r="M20">
        <v>1</v>
      </c>
    </row>
    <row r="21" spans="1:13" x14ac:dyDescent="0.25">
      <c r="A21" s="2">
        <v>4</v>
      </c>
      <c r="B21" s="2" t="s">
        <v>7587</v>
      </c>
      <c r="C21" s="2" t="s">
        <v>7587</v>
      </c>
      <c r="D21" s="42">
        <v>115675</v>
      </c>
      <c r="E21" s="2">
        <v>118520</v>
      </c>
      <c r="F21" s="2" t="s">
        <v>79</v>
      </c>
      <c r="H21" s="5"/>
      <c r="I21" s="5"/>
      <c r="L21" s="54" t="s">
        <v>605</v>
      </c>
      <c r="M21">
        <v>1</v>
      </c>
    </row>
    <row r="22" spans="1:13" x14ac:dyDescent="0.25">
      <c r="A22" s="2">
        <v>4</v>
      </c>
      <c r="B22" s="2" t="s">
        <v>7587</v>
      </c>
      <c r="C22" s="2" t="s">
        <v>7587</v>
      </c>
      <c r="D22" s="42">
        <v>115675</v>
      </c>
      <c r="E22" s="2">
        <v>118520</v>
      </c>
      <c r="F22" s="2" t="s">
        <v>79</v>
      </c>
      <c r="H22" s="5"/>
      <c r="I22" s="5"/>
      <c r="L22" s="38">
        <v>16</v>
      </c>
      <c r="M22">
        <v>2</v>
      </c>
    </row>
    <row r="23" spans="1:13" x14ac:dyDescent="0.25">
      <c r="A23" s="2">
        <v>4</v>
      </c>
      <c r="B23" s="2" t="s">
        <v>7587</v>
      </c>
      <c r="C23" s="2" t="s">
        <v>7587</v>
      </c>
      <c r="D23" s="42">
        <v>115675</v>
      </c>
      <c r="E23" s="2">
        <v>115390</v>
      </c>
      <c r="F23" s="2" t="s">
        <v>78</v>
      </c>
      <c r="H23" s="5"/>
      <c r="I23" s="5"/>
      <c r="L23" s="54">
        <v>108959</v>
      </c>
      <c r="M23">
        <v>1</v>
      </c>
    </row>
    <row r="24" spans="1:13" x14ac:dyDescent="0.25">
      <c r="A24">
        <v>6</v>
      </c>
      <c r="B24" t="s">
        <v>7588</v>
      </c>
      <c r="C24" t="s">
        <v>7589</v>
      </c>
      <c r="D24" s="42" t="s">
        <v>156</v>
      </c>
      <c r="E24" t="s">
        <v>3142</v>
      </c>
      <c r="F24" t="s">
        <v>74</v>
      </c>
      <c r="G24" t="s">
        <v>158</v>
      </c>
      <c r="H24" t="s">
        <v>6015</v>
      </c>
      <c r="I24" t="s">
        <v>195</v>
      </c>
      <c r="L24" s="54" t="s">
        <v>806</v>
      </c>
      <c r="M24">
        <v>1</v>
      </c>
    </row>
    <row r="25" spans="1:13" x14ac:dyDescent="0.25">
      <c r="A25">
        <v>6</v>
      </c>
      <c r="B25" t="s">
        <v>7588</v>
      </c>
      <c r="C25" t="s">
        <v>7589</v>
      </c>
      <c r="D25" s="42" t="s">
        <v>156</v>
      </c>
      <c r="E25" t="s">
        <v>150</v>
      </c>
      <c r="F25" t="s">
        <v>95</v>
      </c>
      <c r="G25" t="s">
        <v>158</v>
      </c>
      <c r="L25" s="38">
        <v>20</v>
      </c>
      <c r="M25">
        <v>2</v>
      </c>
    </row>
    <row r="26" spans="1:13" x14ac:dyDescent="0.25">
      <c r="A26">
        <v>6</v>
      </c>
      <c r="B26" t="s">
        <v>7588</v>
      </c>
      <c r="C26" t="s">
        <v>7589</v>
      </c>
      <c r="D26" s="42" t="s">
        <v>156</v>
      </c>
      <c r="E26">
        <v>105639</v>
      </c>
      <c r="F26" t="s">
        <v>77</v>
      </c>
      <c r="G26" t="s">
        <v>158</v>
      </c>
      <c r="L26" s="54">
        <v>105850</v>
      </c>
      <c r="M26">
        <v>1</v>
      </c>
    </row>
    <row r="27" spans="1:13" x14ac:dyDescent="0.25">
      <c r="A27">
        <v>6</v>
      </c>
      <c r="B27" t="s">
        <v>7588</v>
      </c>
      <c r="C27" t="s">
        <v>7589</v>
      </c>
      <c r="D27" s="42" t="s">
        <v>156</v>
      </c>
      <c r="E27">
        <v>116958</v>
      </c>
      <c r="F27" t="s">
        <v>79</v>
      </c>
      <c r="G27" t="s">
        <v>158</v>
      </c>
      <c r="L27" s="54">
        <v>111283</v>
      </c>
      <c r="M27">
        <v>1</v>
      </c>
    </row>
    <row r="28" spans="1:13" x14ac:dyDescent="0.25">
      <c r="A28">
        <v>6</v>
      </c>
      <c r="B28" t="s">
        <v>7588</v>
      </c>
      <c r="C28" t="s">
        <v>7589</v>
      </c>
      <c r="D28" s="42" t="s">
        <v>156</v>
      </c>
      <c r="E28">
        <v>113729</v>
      </c>
      <c r="F28" t="s">
        <v>78</v>
      </c>
      <c r="G28" t="s">
        <v>158</v>
      </c>
      <c r="L28" s="38">
        <v>24</v>
      </c>
      <c r="M28">
        <v>1</v>
      </c>
    </row>
    <row r="29" spans="1:13" x14ac:dyDescent="0.25">
      <c r="A29">
        <v>6</v>
      </c>
      <c r="B29" t="s">
        <v>7588</v>
      </c>
      <c r="C29" t="s">
        <v>7589</v>
      </c>
      <c r="D29" s="42" t="s">
        <v>156</v>
      </c>
      <c r="E29">
        <v>122983</v>
      </c>
      <c r="F29" t="s">
        <v>7590</v>
      </c>
      <c r="G29" t="s">
        <v>158</v>
      </c>
      <c r="L29" s="54">
        <v>110710</v>
      </c>
      <c r="M29">
        <v>1</v>
      </c>
    </row>
    <row r="30" spans="1:13" x14ac:dyDescent="0.25">
      <c r="A30" s="2">
        <v>6</v>
      </c>
      <c r="B30" s="2" t="s">
        <v>7588</v>
      </c>
      <c r="C30" s="2" t="s">
        <v>7591</v>
      </c>
      <c r="D30" s="42">
        <v>126981</v>
      </c>
      <c r="E30" s="2" t="s">
        <v>3142</v>
      </c>
      <c r="F30" s="2" t="s">
        <v>74</v>
      </c>
      <c r="G30" t="s">
        <v>234</v>
      </c>
      <c r="H30" s="2" t="s">
        <v>7592</v>
      </c>
      <c r="L30" s="38">
        <v>26</v>
      </c>
      <c r="M30">
        <v>1</v>
      </c>
    </row>
    <row r="31" spans="1:13" x14ac:dyDescent="0.25">
      <c r="A31" s="2">
        <v>6</v>
      </c>
      <c r="B31" s="2" t="s">
        <v>7588</v>
      </c>
      <c r="C31" s="2" t="s">
        <v>7591</v>
      </c>
      <c r="D31" s="42">
        <v>126981</v>
      </c>
      <c r="E31" s="2" t="s">
        <v>150</v>
      </c>
      <c r="F31" s="2" t="s">
        <v>95</v>
      </c>
      <c r="G31" t="s">
        <v>234</v>
      </c>
      <c r="L31" s="54">
        <v>110710</v>
      </c>
      <c r="M31">
        <v>1</v>
      </c>
    </row>
    <row r="32" spans="1:13" x14ac:dyDescent="0.25">
      <c r="A32" s="2">
        <v>6</v>
      </c>
      <c r="B32" s="2" t="s">
        <v>7588</v>
      </c>
      <c r="C32" s="2" t="s">
        <v>7591</v>
      </c>
      <c r="D32" s="42">
        <v>126981</v>
      </c>
      <c r="E32" s="2">
        <v>116553</v>
      </c>
      <c r="F32" s="2" t="s">
        <v>77</v>
      </c>
      <c r="G32" t="s">
        <v>234</v>
      </c>
      <c r="L32" s="38">
        <v>30</v>
      </c>
      <c r="M32">
        <v>1</v>
      </c>
    </row>
    <row r="33" spans="1:13" x14ac:dyDescent="0.25">
      <c r="A33" s="2">
        <v>6</v>
      </c>
      <c r="B33" s="2" t="s">
        <v>7588</v>
      </c>
      <c r="C33" s="2" t="s">
        <v>7591</v>
      </c>
      <c r="D33" s="42">
        <v>126981</v>
      </c>
      <c r="E33" s="2">
        <v>116958</v>
      </c>
      <c r="F33" s="2" t="s">
        <v>79</v>
      </c>
      <c r="G33" t="s">
        <v>234</v>
      </c>
      <c r="L33" s="54">
        <v>115091</v>
      </c>
      <c r="M33">
        <v>1</v>
      </c>
    </row>
    <row r="34" spans="1:13" x14ac:dyDescent="0.25">
      <c r="A34" s="2">
        <v>6</v>
      </c>
      <c r="B34" s="2" t="s">
        <v>7588</v>
      </c>
      <c r="C34" s="2" t="s">
        <v>7591</v>
      </c>
      <c r="D34" s="42">
        <v>126981</v>
      </c>
      <c r="E34" s="2">
        <v>124785</v>
      </c>
      <c r="F34" s="2" t="s">
        <v>78</v>
      </c>
      <c r="G34" t="s">
        <v>234</v>
      </c>
      <c r="L34" s="38" t="s">
        <v>7593</v>
      </c>
      <c r="M34">
        <v>20</v>
      </c>
    </row>
    <row r="35" spans="1:13" x14ac:dyDescent="0.25">
      <c r="A35" s="2">
        <v>6</v>
      </c>
      <c r="B35" s="2" t="s">
        <v>7588</v>
      </c>
      <c r="C35" s="2" t="s">
        <v>7591</v>
      </c>
      <c r="D35" s="42">
        <v>126981</v>
      </c>
      <c r="E35" s="2">
        <v>122983</v>
      </c>
      <c r="F35" s="2" t="s">
        <v>7590</v>
      </c>
      <c r="G35" t="s">
        <v>234</v>
      </c>
    </row>
    <row r="36" spans="1:13" x14ac:dyDescent="0.25">
      <c r="A36">
        <v>6</v>
      </c>
      <c r="B36" t="s">
        <v>7594</v>
      </c>
      <c r="C36" t="s">
        <v>7595</v>
      </c>
      <c r="D36" s="42">
        <v>106496</v>
      </c>
      <c r="E36" s="1">
        <v>106487</v>
      </c>
      <c r="F36" t="s">
        <v>74</v>
      </c>
      <c r="G36" t="s">
        <v>146</v>
      </c>
      <c r="H36" t="s">
        <v>5589</v>
      </c>
      <c r="I36" t="s">
        <v>218</v>
      </c>
    </row>
    <row r="37" spans="1:13" x14ac:dyDescent="0.25">
      <c r="A37">
        <v>6</v>
      </c>
      <c r="B37" t="s">
        <v>7594</v>
      </c>
      <c r="C37" t="s">
        <v>7595</v>
      </c>
      <c r="D37" s="42">
        <v>106496</v>
      </c>
      <c r="E37" s="1" t="s">
        <v>118</v>
      </c>
      <c r="F37" t="s">
        <v>128</v>
      </c>
    </row>
    <row r="38" spans="1:13" x14ac:dyDescent="0.25">
      <c r="A38">
        <v>6</v>
      </c>
      <c r="B38" t="s">
        <v>7594</v>
      </c>
      <c r="C38" t="s">
        <v>7595</v>
      </c>
      <c r="D38" s="42">
        <v>106496</v>
      </c>
      <c r="E38" s="1">
        <v>106498</v>
      </c>
      <c r="F38" t="s">
        <v>77</v>
      </c>
    </row>
    <row r="39" spans="1:13" x14ac:dyDescent="0.25">
      <c r="A39">
        <v>6</v>
      </c>
      <c r="B39" t="s">
        <v>7594</v>
      </c>
      <c r="C39" t="s">
        <v>7595</v>
      </c>
      <c r="D39" s="42">
        <v>106496</v>
      </c>
      <c r="E39" s="1">
        <v>105941</v>
      </c>
      <c r="F39" t="s">
        <v>7590</v>
      </c>
    </row>
    <row r="40" spans="1:13" x14ac:dyDescent="0.25">
      <c r="A40">
        <v>6</v>
      </c>
      <c r="B40" t="s">
        <v>7594</v>
      </c>
      <c r="C40" t="s">
        <v>7595</v>
      </c>
      <c r="D40" s="42">
        <v>106496</v>
      </c>
      <c r="E40" s="1">
        <v>117860</v>
      </c>
      <c r="F40" t="s">
        <v>4366</v>
      </c>
    </row>
    <row r="41" spans="1:13" x14ac:dyDescent="0.25">
      <c r="A41">
        <v>6</v>
      </c>
      <c r="B41" t="s">
        <v>7594</v>
      </c>
      <c r="C41" t="s">
        <v>7595</v>
      </c>
      <c r="D41" s="42">
        <v>106496</v>
      </c>
      <c r="E41" s="1" t="s">
        <v>7403</v>
      </c>
      <c r="F41" t="s">
        <v>4366</v>
      </c>
    </row>
    <row r="42" spans="1:13" x14ac:dyDescent="0.25">
      <c r="A42">
        <v>6</v>
      </c>
      <c r="B42" t="s">
        <v>7594</v>
      </c>
      <c r="C42" t="s">
        <v>7595</v>
      </c>
      <c r="D42" s="42">
        <v>106496</v>
      </c>
      <c r="E42" s="1">
        <v>100238</v>
      </c>
      <c r="F42" t="s">
        <v>78</v>
      </c>
    </row>
    <row r="43" spans="1:13" x14ac:dyDescent="0.25">
      <c r="A43" s="2">
        <v>6</v>
      </c>
      <c r="B43" s="2" t="s">
        <v>7594</v>
      </c>
      <c r="C43" s="2" t="s">
        <v>7596</v>
      </c>
      <c r="D43" s="42">
        <v>116459</v>
      </c>
      <c r="E43" s="2" t="s">
        <v>3142</v>
      </c>
      <c r="F43" s="2" t="s">
        <v>74</v>
      </c>
      <c r="G43" t="s">
        <v>213</v>
      </c>
      <c r="H43" t="s">
        <v>6226</v>
      </c>
    </row>
    <row r="44" spans="1:13" x14ac:dyDescent="0.25">
      <c r="A44" s="2">
        <v>6</v>
      </c>
      <c r="B44" s="2" t="s">
        <v>7594</v>
      </c>
      <c r="C44" s="2" t="s">
        <v>7596</v>
      </c>
      <c r="D44" s="42">
        <v>116459</v>
      </c>
      <c r="E44" s="2" t="s">
        <v>149</v>
      </c>
      <c r="F44" s="2" t="s">
        <v>128</v>
      </c>
    </row>
    <row r="45" spans="1:13" x14ac:dyDescent="0.25">
      <c r="A45" s="2">
        <v>6</v>
      </c>
      <c r="B45" s="2" t="s">
        <v>7594</v>
      </c>
      <c r="C45" s="2" t="s">
        <v>7596</v>
      </c>
      <c r="D45" s="42">
        <v>116459</v>
      </c>
      <c r="E45" s="2">
        <v>116553</v>
      </c>
      <c r="F45" s="2" t="s">
        <v>77</v>
      </c>
    </row>
    <row r="46" spans="1:13" x14ac:dyDescent="0.25">
      <c r="A46" s="2">
        <v>6</v>
      </c>
      <c r="B46" s="2" t="s">
        <v>7594</v>
      </c>
      <c r="C46" s="2" t="s">
        <v>7596</v>
      </c>
      <c r="D46" s="42">
        <v>116459</v>
      </c>
      <c r="E46" s="2">
        <v>116764</v>
      </c>
      <c r="F46" s="2" t="s">
        <v>79</v>
      </c>
    </row>
    <row r="47" spans="1:13" x14ac:dyDescent="0.25">
      <c r="A47" s="2">
        <v>6</v>
      </c>
      <c r="B47" s="2" t="s">
        <v>7594</v>
      </c>
      <c r="C47" s="2" t="s">
        <v>7596</v>
      </c>
      <c r="D47" s="42">
        <v>116459</v>
      </c>
      <c r="E47" s="2">
        <v>116937</v>
      </c>
      <c r="F47" s="2" t="s">
        <v>78</v>
      </c>
    </row>
    <row r="48" spans="1:13" x14ac:dyDescent="0.25">
      <c r="A48">
        <v>6</v>
      </c>
      <c r="B48" t="s">
        <v>227</v>
      </c>
      <c r="C48" t="s">
        <v>7597</v>
      </c>
      <c r="D48" s="42">
        <v>105681</v>
      </c>
      <c r="E48" s="1">
        <v>103821</v>
      </c>
      <c r="F48" t="s">
        <v>74</v>
      </c>
    </row>
    <row r="49" spans="1:9" x14ac:dyDescent="0.25">
      <c r="A49">
        <v>6</v>
      </c>
      <c r="B49" t="s">
        <v>227</v>
      </c>
      <c r="C49" t="s">
        <v>7597</v>
      </c>
      <c r="D49" s="42">
        <v>105681</v>
      </c>
      <c r="E49" s="1">
        <v>105683</v>
      </c>
      <c r="F49" t="s">
        <v>95</v>
      </c>
    </row>
    <row r="50" spans="1:9" x14ac:dyDescent="0.25">
      <c r="A50">
        <v>6</v>
      </c>
      <c r="B50" t="s">
        <v>227</v>
      </c>
      <c r="C50" t="s">
        <v>7597</v>
      </c>
      <c r="D50" s="42">
        <v>105681</v>
      </c>
      <c r="E50" s="1">
        <v>103837</v>
      </c>
      <c r="F50" t="s">
        <v>77</v>
      </c>
    </row>
    <row r="51" spans="1:9" x14ac:dyDescent="0.25">
      <c r="A51">
        <v>6</v>
      </c>
      <c r="B51" t="s">
        <v>227</v>
      </c>
      <c r="C51" t="s">
        <v>7597</v>
      </c>
      <c r="D51" s="42">
        <v>105681</v>
      </c>
      <c r="E51" s="1">
        <v>118517</v>
      </c>
      <c r="F51" t="s">
        <v>79</v>
      </c>
    </row>
    <row r="52" spans="1:9" x14ac:dyDescent="0.25">
      <c r="A52">
        <v>6</v>
      </c>
      <c r="B52" t="s">
        <v>227</v>
      </c>
      <c r="C52" t="s">
        <v>7597</v>
      </c>
      <c r="D52" s="42">
        <v>105681</v>
      </c>
      <c r="E52" s="1">
        <v>103834</v>
      </c>
      <c r="F52" t="s">
        <v>78</v>
      </c>
    </row>
    <row r="53" spans="1:9" x14ac:dyDescent="0.25">
      <c r="A53" s="2">
        <v>6</v>
      </c>
      <c r="B53" s="2" t="s">
        <v>7598</v>
      </c>
      <c r="C53" s="2" t="s">
        <v>7598</v>
      </c>
      <c r="D53" s="42" t="s">
        <v>187</v>
      </c>
      <c r="E53" s="2">
        <v>112231</v>
      </c>
      <c r="F53" s="2" t="s">
        <v>74</v>
      </c>
      <c r="G53" t="s">
        <v>7599</v>
      </c>
      <c r="H53">
        <v>130095</v>
      </c>
      <c r="I53" t="s">
        <v>7600</v>
      </c>
    </row>
    <row r="54" spans="1:9" x14ac:dyDescent="0.25">
      <c r="A54" s="2">
        <v>6</v>
      </c>
      <c r="B54" s="2" t="s">
        <v>7598</v>
      </c>
      <c r="C54" s="2" t="s">
        <v>7598</v>
      </c>
      <c r="D54" s="42" t="s">
        <v>187</v>
      </c>
      <c r="E54" s="2">
        <v>112231</v>
      </c>
      <c r="F54" s="2" t="s">
        <v>74</v>
      </c>
    </row>
    <row r="55" spans="1:9" x14ac:dyDescent="0.25">
      <c r="A55" s="2">
        <v>6</v>
      </c>
      <c r="B55" s="2" t="s">
        <v>7598</v>
      </c>
      <c r="C55" s="2" t="s">
        <v>7598</v>
      </c>
      <c r="D55" s="42" t="s">
        <v>187</v>
      </c>
      <c r="E55" s="2">
        <v>113045</v>
      </c>
      <c r="F55" s="2" t="s">
        <v>1237</v>
      </c>
    </row>
    <row r="56" spans="1:9" x14ac:dyDescent="0.25">
      <c r="A56" s="2">
        <v>6</v>
      </c>
      <c r="B56" s="2" t="s">
        <v>7598</v>
      </c>
      <c r="C56" s="2" t="s">
        <v>7598</v>
      </c>
      <c r="D56" s="42" t="s">
        <v>187</v>
      </c>
      <c r="E56" s="2">
        <v>112196</v>
      </c>
      <c r="F56" s="2" t="s">
        <v>7601</v>
      </c>
    </row>
    <row r="57" spans="1:9" x14ac:dyDescent="0.25">
      <c r="A57" s="2">
        <v>6</v>
      </c>
      <c r="B57" s="2" t="s">
        <v>7598</v>
      </c>
      <c r="C57" s="2" t="s">
        <v>7598</v>
      </c>
      <c r="D57" s="42" t="s">
        <v>187</v>
      </c>
      <c r="E57" s="2">
        <v>113039</v>
      </c>
      <c r="F57" s="2" t="s">
        <v>7602</v>
      </c>
    </row>
    <row r="58" spans="1:9" x14ac:dyDescent="0.25">
      <c r="A58" s="2">
        <v>6</v>
      </c>
      <c r="B58" s="2" t="s">
        <v>7598</v>
      </c>
      <c r="C58" s="2" t="s">
        <v>7598</v>
      </c>
      <c r="D58" s="42" t="s">
        <v>187</v>
      </c>
      <c r="E58" s="2">
        <v>112707</v>
      </c>
      <c r="F58" s="2" t="s">
        <v>95</v>
      </c>
    </row>
    <row r="59" spans="1:9" x14ac:dyDescent="0.25">
      <c r="A59" s="2">
        <v>6</v>
      </c>
      <c r="B59" s="2" t="s">
        <v>7598</v>
      </c>
      <c r="C59" s="2" t="s">
        <v>7598</v>
      </c>
      <c r="D59" s="42" t="s">
        <v>187</v>
      </c>
      <c r="E59" s="2">
        <v>112713</v>
      </c>
      <c r="F59" s="2" t="s">
        <v>4366</v>
      </c>
    </row>
    <row r="60" spans="1:9" x14ac:dyDescent="0.25">
      <c r="A60" s="2">
        <v>6</v>
      </c>
      <c r="B60" s="2" t="s">
        <v>7598</v>
      </c>
      <c r="C60" s="2" t="s">
        <v>7598</v>
      </c>
      <c r="D60" s="42" t="s">
        <v>187</v>
      </c>
      <c r="E60" s="2">
        <v>112174</v>
      </c>
      <c r="F60" s="2" t="s">
        <v>128</v>
      </c>
    </row>
    <row r="61" spans="1:9" x14ac:dyDescent="0.25">
      <c r="A61" s="2">
        <v>6</v>
      </c>
      <c r="B61" s="2" t="s">
        <v>7598</v>
      </c>
      <c r="C61" s="2" t="s">
        <v>7598</v>
      </c>
      <c r="D61" s="42" t="s">
        <v>187</v>
      </c>
      <c r="E61" s="2">
        <v>129712</v>
      </c>
      <c r="F61" s="2" t="s">
        <v>7603</v>
      </c>
    </row>
    <row r="62" spans="1:9" x14ac:dyDescent="0.25">
      <c r="A62" s="2">
        <v>6</v>
      </c>
      <c r="B62" s="2" t="s">
        <v>7598</v>
      </c>
      <c r="C62" s="2" t="s">
        <v>7598</v>
      </c>
      <c r="D62" s="42" t="s">
        <v>187</v>
      </c>
      <c r="E62" s="2">
        <v>129825</v>
      </c>
      <c r="F62" s="2" t="s">
        <v>4366</v>
      </c>
    </row>
    <row r="63" spans="1:9" x14ac:dyDescent="0.25">
      <c r="A63">
        <v>6</v>
      </c>
      <c r="B63" t="s">
        <v>7604</v>
      </c>
      <c r="C63" t="s">
        <v>7604</v>
      </c>
      <c r="D63" s="42" t="s">
        <v>174</v>
      </c>
      <c r="E63">
        <v>112231</v>
      </c>
      <c r="F63" t="s">
        <v>74</v>
      </c>
      <c r="G63" t="s">
        <v>7605</v>
      </c>
      <c r="H63">
        <v>129713</v>
      </c>
      <c r="I63" t="s">
        <v>7606</v>
      </c>
    </row>
    <row r="64" spans="1:9" x14ac:dyDescent="0.25">
      <c r="A64">
        <v>6</v>
      </c>
      <c r="B64" t="s">
        <v>7604</v>
      </c>
      <c r="C64" t="s">
        <v>7604</v>
      </c>
      <c r="D64" s="42" t="s">
        <v>174</v>
      </c>
      <c r="E64">
        <v>112231</v>
      </c>
      <c r="F64" t="s">
        <v>74</v>
      </c>
    </row>
    <row r="65" spans="1:10" x14ac:dyDescent="0.25">
      <c r="A65">
        <v>6</v>
      </c>
      <c r="B65" t="s">
        <v>7604</v>
      </c>
      <c r="C65" t="s">
        <v>7604</v>
      </c>
      <c r="D65" s="42" t="s">
        <v>174</v>
      </c>
      <c r="E65">
        <v>113039</v>
      </c>
      <c r="F65" t="s">
        <v>7602</v>
      </c>
    </row>
    <row r="66" spans="1:10" x14ac:dyDescent="0.25">
      <c r="A66">
        <v>6</v>
      </c>
      <c r="B66" t="s">
        <v>7604</v>
      </c>
      <c r="C66" t="s">
        <v>7604</v>
      </c>
      <c r="D66" s="42" t="s">
        <v>174</v>
      </c>
      <c r="E66">
        <v>112707</v>
      </c>
      <c r="F66" t="s">
        <v>95</v>
      </c>
    </row>
    <row r="67" spans="1:10" x14ac:dyDescent="0.25">
      <c r="A67">
        <v>6</v>
      </c>
      <c r="B67" t="s">
        <v>7604</v>
      </c>
      <c r="C67" t="s">
        <v>7604</v>
      </c>
      <c r="D67" s="42" t="s">
        <v>174</v>
      </c>
      <c r="E67">
        <v>112713</v>
      </c>
      <c r="F67" t="s">
        <v>4366</v>
      </c>
    </row>
    <row r="68" spans="1:10" x14ac:dyDescent="0.25">
      <c r="A68">
        <v>6</v>
      </c>
      <c r="B68" t="s">
        <v>7604</v>
      </c>
      <c r="C68" t="s">
        <v>7604</v>
      </c>
      <c r="D68" s="42" t="s">
        <v>174</v>
      </c>
      <c r="E68">
        <v>112174</v>
      </c>
      <c r="F68" t="s">
        <v>128</v>
      </c>
    </row>
    <row r="69" spans="1:10" x14ac:dyDescent="0.25">
      <c r="A69">
        <v>6</v>
      </c>
      <c r="B69" t="s">
        <v>7607</v>
      </c>
      <c r="C69" t="s">
        <v>7607</v>
      </c>
      <c r="D69" s="42">
        <v>102783</v>
      </c>
      <c r="E69" s="1">
        <v>113239</v>
      </c>
      <c r="F69" t="s">
        <v>74</v>
      </c>
    </row>
    <row r="70" spans="1:10" x14ac:dyDescent="0.25">
      <c r="A70">
        <v>6</v>
      </c>
      <c r="B70" t="s">
        <v>7607</v>
      </c>
      <c r="C70" t="s">
        <v>7607</v>
      </c>
      <c r="D70" s="42">
        <v>102783</v>
      </c>
      <c r="E70" s="1">
        <v>102784</v>
      </c>
      <c r="F70" t="s">
        <v>95</v>
      </c>
    </row>
    <row r="71" spans="1:10" x14ac:dyDescent="0.25">
      <c r="A71">
        <v>6</v>
      </c>
      <c r="B71" t="s">
        <v>7607</v>
      </c>
      <c r="C71" t="s">
        <v>7607</v>
      </c>
      <c r="D71" s="42">
        <v>102783</v>
      </c>
      <c r="E71" s="1">
        <v>107216</v>
      </c>
      <c r="F71" t="s">
        <v>77</v>
      </c>
    </row>
    <row r="72" spans="1:10" x14ac:dyDescent="0.25">
      <c r="A72">
        <v>6</v>
      </c>
      <c r="B72" t="s">
        <v>7607</v>
      </c>
      <c r="C72" t="s">
        <v>7607</v>
      </c>
      <c r="D72" s="42">
        <v>102783</v>
      </c>
      <c r="E72" s="1">
        <v>117168</v>
      </c>
      <c r="F72" t="s">
        <v>79</v>
      </c>
    </row>
    <row r="73" spans="1:10" x14ac:dyDescent="0.25">
      <c r="A73">
        <v>6</v>
      </c>
      <c r="B73" t="s">
        <v>7607</v>
      </c>
      <c r="C73" t="s">
        <v>7607</v>
      </c>
      <c r="D73" s="42">
        <v>102783</v>
      </c>
      <c r="E73" s="1">
        <v>107221</v>
      </c>
      <c r="F73" t="s">
        <v>78</v>
      </c>
    </row>
    <row r="74" spans="1:10" x14ac:dyDescent="0.25">
      <c r="A74">
        <v>6</v>
      </c>
      <c r="B74" t="s">
        <v>7608</v>
      </c>
      <c r="C74" t="s">
        <v>7608</v>
      </c>
      <c r="D74" s="42" t="s">
        <v>179</v>
      </c>
      <c r="E74">
        <v>113239</v>
      </c>
      <c r="F74" t="s">
        <v>74</v>
      </c>
    </row>
    <row r="75" spans="1:10" x14ac:dyDescent="0.25">
      <c r="A75">
        <v>6</v>
      </c>
      <c r="B75" t="s">
        <v>7608</v>
      </c>
      <c r="C75" t="s">
        <v>7608</v>
      </c>
      <c r="D75" s="42" t="s">
        <v>179</v>
      </c>
      <c r="E75" t="s">
        <v>149</v>
      </c>
      <c r="F75" t="s">
        <v>128</v>
      </c>
    </row>
    <row r="76" spans="1:10" x14ac:dyDescent="0.25">
      <c r="A76">
        <v>6</v>
      </c>
      <c r="B76" t="s">
        <v>7608</v>
      </c>
      <c r="C76" t="s">
        <v>7608</v>
      </c>
      <c r="D76" s="42" t="s">
        <v>179</v>
      </c>
      <c r="E76">
        <v>110269</v>
      </c>
      <c r="F76" t="s">
        <v>77</v>
      </c>
    </row>
    <row r="77" spans="1:10" x14ac:dyDescent="0.25">
      <c r="A77">
        <v>6</v>
      </c>
      <c r="B77" t="s">
        <v>7608</v>
      </c>
      <c r="C77" t="s">
        <v>7608</v>
      </c>
      <c r="D77" s="42" t="s">
        <v>179</v>
      </c>
      <c r="E77">
        <v>117168</v>
      </c>
      <c r="F77" t="s">
        <v>79</v>
      </c>
    </row>
    <row r="78" spans="1:10" x14ac:dyDescent="0.25">
      <c r="A78">
        <v>6</v>
      </c>
      <c r="B78" t="s">
        <v>7608</v>
      </c>
      <c r="C78" t="s">
        <v>7608</v>
      </c>
      <c r="D78" s="42" t="s">
        <v>179</v>
      </c>
      <c r="E78">
        <v>107221</v>
      </c>
      <c r="F78" t="s">
        <v>78</v>
      </c>
    </row>
    <row r="79" spans="1:10" x14ac:dyDescent="0.25">
      <c r="A79">
        <v>6</v>
      </c>
      <c r="B79" t="s">
        <v>4605</v>
      </c>
      <c r="D79" s="42">
        <v>113403</v>
      </c>
      <c r="J79" t="s">
        <v>7609</v>
      </c>
    </row>
    <row r="80" spans="1:10" x14ac:dyDescent="0.25">
      <c r="A80" s="2">
        <v>8</v>
      </c>
      <c r="B80" s="2" t="s">
        <v>7610</v>
      </c>
      <c r="C80" s="2"/>
      <c r="D80" s="42">
        <v>108563</v>
      </c>
      <c r="E80" s="2">
        <v>104146</v>
      </c>
      <c r="F80" s="2" t="s">
        <v>74</v>
      </c>
      <c r="G80" s="2"/>
      <c r="H80" s="2"/>
    </row>
    <row r="81" spans="1:8" x14ac:dyDescent="0.25">
      <c r="A81" s="2">
        <v>8</v>
      </c>
      <c r="B81" s="2" t="s">
        <v>7610</v>
      </c>
      <c r="C81" s="2"/>
      <c r="D81" s="42">
        <v>108563</v>
      </c>
      <c r="E81" s="2">
        <v>108564</v>
      </c>
      <c r="F81" s="2" t="s">
        <v>95</v>
      </c>
      <c r="G81" s="2"/>
      <c r="H81" s="2"/>
    </row>
    <row r="82" spans="1:8" x14ac:dyDescent="0.25">
      <c r="A82" s="2">
        <v>8</v>
      </c>
      <c r="B82" s="2" t="s">
        <v>7610</v>
      </c>
      <c r="C82" s="2"/>
      <c r="D82" s="42">
        <v>108563</v>
      </c>
      <c r="E82" s="2">
        <v>108342</v>
      </c>
      <c r="F82" s="2" t="s">
        <v>77</v>
      </c>
      <c r="G82" s="2"/>
      <c r="H82" s="2"/>
    </row>
    <row r="83" spans="1:8" x14ac:dyDescent="0.25">
      <c r="A83" s="2">
        <v>8</v>
      </c>
      <c r="B83" s="2" t="s">
        <v>7610</v>
      </c>
      <c r="C83" s="2"/>
      <c r="D83" s="42">
        <v>108563</v>
      </c>
      <c r="E83" s="2">
        <v>116394</v>
      </c>
      <c r="F83" s="2" t="s">
        <v>79</v>
      </c>
      <c r="G83" s="2"/>
      <c r="H83" s="2"/>
    </row>
    <row r="84" spans="1:8" x14ac:dyDescent="0.25">
      <c r="A84" s="2">
        <v>8</v>
      </c>
      <c r="B84" s="2" t="s">
        <v>7610</v>
      </c>
      <c r="C84" s="2"/>
      <c r="D84" s="42">
        <v>108563</v>
      </c>
      <c r="E84" s="2">
        <v>109528</v>
      </c>
      <c r="F84" s="2" t="s">
        <v>78</v>
      </c>
      <c r="G84" s="2"/>
      <c r="H84" s="2"/>
    </row>
    <row r="85" spans="1:8" x14ac:dyDescent="0.25">
      <c r="A85" s="2">
        <v>8</v>
      </c>
      <c r="B85" s="2" t="s">
        <v>7610</v>
      </c>
      <c r="C85" s="2"/>
      <c r="D85" s="42">
        <v>108563</v>
      </c>
      <c r="E85" s="2">
        <v>104013</v>
      </c>
      <c r="F85" s="2" t="s">
        <v>7590</v>
      </c>
      <c r="G85" s="2"/>
      <c r="H85" s="2"/>
    </row>
    <row r="86" spans="1:8" x14ac:dyDescent="0.25">
      <c r="A86">
        <v>8</v>
      </c>
      <c r="B86" t="s">
        <v>7611</v>
      </c>
      <c r="D86" s="42">
        <v>112056</v>
      </c>
      <c r="E86">
        <v>101437</v>
      </c>
      <c r="F86" t="s">
        <v>74</v>
      </c>
    </row>
    <row r="87" spans="1:8" x14ac:dyDescent="0.25">
      <c r="A87">
        <v>8</v>
      </c>
      <c r="B87" t="s">
        <v>7611</v>
      </c>
      <c r="D87" s="42">
        <v>112056</v>
      </c>
      <c r="E87">
        <v>109401</v>
      </c>
      <c r="F87" t="s">
        <v>1239</v>
      </c>
    </row>
    <row r="88" spans="1:8" x14ac:dyDescent="0.25">
      <c r="A88">
        <v>8</v>
      </c>
      <c r="B88" t="s">
        <v>7611</v>
      </c>
      <c r="D88" s="42">
        <v>112056</v>
      </c>
      <c r="E88">
        <v>108532</v>
      </c>
      <c r="F88" t="s">
        <v>77</v>
      </c>
    </row>
    <row r="89" spans="1:8" x14ac:dyDescent="0.25">
      <c r="A89">
        <v>8</v>
      </c>
      <c r="B89" t="s">
        <v>7611</v>
      </c>
      <c r="D89" s="42">
        <v>112056</v>
      </c>
      <c r="E89">
        <v>116461</v>
      </c>
      <c r="F89" t="s">
        <v>79</v>
      </c>
    </row>
    <row r="90" spans="1:8" x14ac:dyDescent="0.25">
      <c r="A90">
        <v>8</v>
      </c>
      <c r="B90" t="s">
        <v>7611</v>
      </c>
      <c r="D90" s="42">
        <v>112056</v>
      </c>
      <c r="E90">
        <v>109919</v>
      </c>
      <c r="F90" t="s">
        <v>78</v>
      </c>
    </row>
    <row r="91" spans="1:8" x14ac:dyDescent="0.25">
      <c r="A91">
        <v>8</v>
      </c>
      <c r="B91" t="s">
        <v>7611</v>
      </c>
      <c r="D91" s="42">
        <v>112056</v>
      </c>
      <c r="E91">
        <v>102058</v>
      </c>
      <c r="F91" t="s">
        <v>7590</v>
      </c>
    </row>
    <row r="92" spans="1:8" x14ac:dyDescent="0.25">
      <c r="A92">
        <v>8</v>
      </c>
      <c r="B92" t="s">
        <v>7612</v>
      </c>
      <c r="D92" s="42">
        <v>108561</v>
      </c>
      <c r="E92">
        <v>104146</v>
      </c>
      <c r="F92" t="s">
        <v>74</v>
      </c>
    </row>
    <row r="93" spans="1:8" x14ac:dyDescent="0.25">
      <c r="A93">
        <v>8</v>
      </c>
      <c r="B93" t="s">
        <v>7612</v>
      </c>
      <c r="D93" s="42">
        <v>108561</v>
      </c>
      <c r="E93" t="s">
        <v>284</v>
      </c>
      <c r="F93" t="s">
        <v>128</v>
      </c>
    </row>
    <row r="94" spans="1:8" x14ac:dyDescent="0.25">
      <c r="A94">
        <v>8</v>
      </c>
      <c r="B94" t="s">
        <v>7612</v>
      </c>
      <c r="D94" s="42">
        <v>108561</v>
      </c>
      <c r="E94">
        <v>108342</v>
      </c>
      <c r="F94" t="s">
        <v>77</v>
      </c>
    </row>
    <row r="95" spans="1:8" x14ac:dyDescent="0.25">
      <c r="A95">
        <v>8</v>
      </c>
      <c r="B95" t="s">
        <v>7612</v>
      </c>
      <c r="D95" s="42">
        <v>108561</v>
      </c>
      <c r="E95">
        <v>116394</v>
      </c>
      <c r="F95" t="s">
        <v>79</v>
      </c>
    </row>
    <row r="96" spans="1:8" x14ac:dyDescent="0.25">
      <c r="A96">
        <v>8</v>
      </c>
      <c r="B96" t="s">
        <v>7612</v>
      </c>
      <c r="D96" s="42">
        <v>108561</v>
      </c>
      <c r="E96">
        <v>109528</v>
      </c>
      <c r="F96" t="s">
        <v>78</v>
      </c>
    </row>
    <row r="97" spans="1:6" x14ac:dyDescent="0.25">
      <c r="A97" s="2">
        <v>8</v>
      </c>
      <c r="B97" s="2" t="s">
        <v>7613</v>
      </c>
      <c r="C97" s="2"/>
      <c r="D97" s="42">
        <v>123926</v>
      </c>
      <c r="E97" s="2">
        <v>106682</v>
      </c>
      <c r="F97" s="2" t="s">
        <v>74</v>
      </c>
    </row>
    <row r="98" spans="1:6" x14ac:dyDescent="0.25">
      <c r="A98" s="2">
        <v>8</v>
      </c>
      <c r="B98" s="2" t="s">
        <v>7613</v>
      </c>
      <c r="C98" s="2"/>
      <c r="D98" s="42">
        <v>123926</v>
      </c>
      <c r="E98" s="2">
        <v>110180</v>
      </c>
      <c r="F98" s="2" t="s">
        <v>7614</v>
      </c>
    </row>
    <row r="99" spans="1:6" x14ac:dyDescent="0.25">
      <c r="A99" s="2">
        <v>8</v>
      </c>
      <c r="B99" s="2" t="s">
        <v>7613</v>
      </c>
      <c r="C99" s="2"/>
      <c r="D99" s="42">
        <v>123926</v>
      </c>
      <c r="E99" s="2">
        <v>122013</v>
      </c>
      <c r="F99" s="2" t="s">
        <v>1237</v>
      </c>
    </row>
    <row r="100" spans="1:6" x14ac:dyDescent="0.25">
      <c r="A100" s="2">
        <v>8</v>
      </c>
      <c r="B100" s="2" t="s">
        <v>7613</v>
      </c>
      <c r="C100" s="2"/>
      <c r="D100" s="42">
        <v>123926</v>
      </c>
      <c r="E100" s="2">
        <v>106762</v>
      </c>
      <c r="F100" s="2" t="s">
        <v>77</v>
      </c>
    </row>
    <row r="101" spans="1:6" x14ac:dyDescent="0.25">
      <c r="A101" s="2">
        <v>8</v>
      </c>
      <c r="B101" s="2" t="s">
        <v>7613</v>
      </c>
      <c r="C101" s="2"/>
      <c r="D101" s="42">
        <v>123926</v>
      </c>
      <c r="E101" s="2">
        <v>110255</v>
      </c>
      <c r="F101" s="2" t="s">
        <v>95</v>
      </c>
    </row>
    <row r="102" spans="1:6" x14ac:dyDescent="0.25">
      <c r="A102" s="2">
        <v>8</v>
      </c>
      <c r="B102" s="2" t="s">
        <v>7613</v>
      </c>
      <c r="C102" s="2"/>
      <c r="D102" s="42">
        <v>123926</v>
      </c>
      <c r="E102" s="2">
        <v>114560</v>
      </c>
      <c r="F102" s="2" t="s">
        <v>128</v>
      </c>
    </row>
    <row r="103" spans="1:6" x14ac:dyDescent="0.25">
      <c r="A103" s="2">
        <v>8</v>
      </c>
      <c r="B103" s="2" t="s">
        <v>7613</v>
      </c>
      <c r="C103" s="2"/>
      <c r="D103" s="42">
        <v>123926</v>
      </c>
      <c r="E103" s="2">
        <v>110472</v>
      </c>
      <c r="F103" s="2" t="s">
        <v>3227</v>
      </c>
    </row>
    <row r="104" spans="1:6" x14ac:dyDescent="0.25">
      <c r="A104" s="2">
        <v>8</v>
      </c>
      <c r="B104" s="2" t="s">
        <v>7613</v>
      </c>
      <c r="C104" s="2"/>
      <c r="D104" s="42">
        <v>123926</v>
      </c>
      <c r="E104" s="2">
        <v>118621</v>
      </c>
      <c r="F104" s="2" t="s">
        <v>4366</v>
      </c>
    </row>
    <row r="105" spans="1:6" x14ac:dyDescent="0.25">
      <c r="A105" s="2">
        <v>8</v>
      </c>
      <c r="B105" s="2" t="s">
        <v>7613</v>
      </c>
      <c r="C105" s="2"/>
      <c r="D105" s="42">
        <v>123926</v>
      </c>
      <c r="E105" s="2">
        <v>110472</v>
      </c>
      <c r="F105" s="2" t="s">
        <v>3227</v>
      </c>
    </row>
    <row r="106" spans="1:6" x14ac:dyDescent="0.25">
      <c r="A106" s="2">
        <v>8</v>
      </c>
      <c r="B106" s="2" t="s">
        <v>7613</v>
      </c>
      <c r="C106" s="2"/>
      <c r="D106" s="42">
        <v>123926</v>
      </c>
      <c r="E106" s="2">
        <v>118621</v>
      </c>
      <c r="F106" s="2" t="s">
        <v>4366</v>
      </c>
    </row>
    <row r="107" spans="1:6" x14ac:dyDescent="0.25">
      <c r="A107" s="2">
        <v>8</v>
      </c>
      <c r="B107" s="2" t="s">
        <v>7613</v>
      </c>
      <c r="C107" s="2"/>
      <c r="D107" s="42">
        <v>123926</v>
      </c>
      <c r="E107" s="2">
        <v>108704</v>
      </c>
      <c r="F107" s="2" t="s">
        <v>7603</v>
      </c>
    </row>
    <row r="108" spans="1:6" x14ac:dyDescent="0.25">
      <c r="A108">
        <v>8</v>
      </c>
      <c r="B108" t="s">
        <v>7615</v>
      </c>
      <c r="D108" s="43">
        <v>122500</v>
      </c>
      <c r="E108">
        <v>106682</v>
      </c>
      <c r="F108" t="s">
        <v>74</v>
      </c>
    </row>
    <row r="109" spans="1:6" x14ac:dyDescent="0.25">
      <c r="A109">
        <v>8</v>
      </c>
      <c r="B109" t="s">
        <v>7615</v>
      </c>
      <c r="D109" s="43">
        <v>122500</v>
      </c>
      <c r="E109">
        <v>106682</v>
      </c>
      <c r="F109" t="s">
        <v>74</v>
      </c>
    </row>
    <row r="110" spans="1:6" x14ac:dyDescent="0.25">
      <c r="A110">
        <v>8</v>
      </c>
      <c r="B110" t="s">
        <v>7615</v>
      </c>
      <c r="D110" s="43">
        <v>122500</v>
      </c>
      <c r="E110">
        <v>110180</v>
      </c>
      <c r="F110" t="s">
        <v>7614</v>
      </c>
    </row>
    <row r="111" spans="1:6" x14ac:dyDescent="0.25">
      <c r="A111">
        <v>8</v>
      </c>
      <c r="B111" t="s">
        <v>7615</v>
      </c>
      <c r="D111" s="43">
        <v>122500</v>
      </c>
      <c r="E111">
        <v>121111</v>
      </c>
      <c r="F111" t="s">
        <v>7616</v>
      </c>
    </row>
    <row r="112" spans="1:6" x14ac:dyDescent="0.25">
      <c r="A112">
        <v>8</v>
      </c>
      <c r="B112" t="s">
        <v>7615</v>
      </c>
      <c r="D112" s="43">
        <v>122500</v>
      </c>
      <c r="E112">
        <v>121111</v>
      </c>
      <c r="F112" t="s">
        <v>7601</v>
      </c>
    </row>
    <row r="113" spans="1:8" x14ac:dyDescent="0.25">
      <c r="A113">
        <v>8</v>
      </c>
      <c r="B113" t="s">
        <v>7615</v>
      </c>
      <c r="D113" s="43">
        <v>122500</v>
      </c>
      <c r="E113">
        <v>120927</v>
      </c>
      <c r="F113" t="s">
        <v>95</v>
      </c>
    </row>
    <row r="114" spans="1:8" x14ac:dyDescent="0.25">
      <c r="A114">
        <v>8</v>
      </c>
      <c r="B114" t="s">
        <v>7615</v>
      </c>
      <c r="D114" s="43">
        <v>122500</v>
      </c>
      <c r="E114">
        <v>120931</v>
      </c>
      <c r="F114" t="s">
        <v>77</v>
      </c>
    </row>
    <row r="115" spans="1:8" x14ac:dyDescent="0.25">
      <c r="A115">
        <v>8</v>
      </c>
      <c r="B115" t="s">
        <v>7615</v>
      </c>
      <c r="D115" s="43">
        <v>122500</v>
      </c>
      <c r="E115">
        <v>121003</v>
      </c>
      <c r="F115" t="s">
        <v>128</v>
      </c>
    </row>
    <row r="116" spans="1:8" x14ac:dyDescent="0.25">
      <c r="A116">
        <v>8</v>
      </c>
      <c r="B116" t="s">
        <v>7615</v>
      </c>
      <c r="D116" s="43">
        <v>122500</v>
      </c>
      <c r="E116">
        <v>121074</v>
      </c>
      <c r="F116" t="s">
        <v>6890</v>
      </c>
    </row>
    <row r="117" spans="1:8" x14ac:dyDescent="0.25">
      <c r="A117">
        <v>8</v>
      </c>
      <c r="B117" t="s">
        <v>7615</v>
      </c>
      <c r="D117" s="43">
        <v>122500</v>
      </c>
      <c r="E117">
        <v>121437</v>
      </c>
      <c r="F117" t="s">
        <v>7617</v>
      </c>
    </row>
    <row r="118" spans="1:8" x14ac:dyDescent="0.25">
      <c r="A118">
        <v>8</v>
      </c>
      <c r="B118" t="s">
        <v>7615</v>
      </c>
      <c r="D118" s="43">
        <v>122500</v>
      </c>
      <c r="E118">
        <v>120950</v>
      </c>
      <c r="F118" t="s">
        <v>7618</v>
      </c>
    </row>
    <row r="119" spans="1:8" x14ac:dyDescent="0.25">
      <c r="A119">
        <v>8</v>
      </c>
      <c r="B119" t="s">
        <v>7615</v>
      </c>
      <c r="D119" s="43">
        <v>122500</v>
      </c>
      <c r="E119">
        <v>106751</v>
      </c>
      <c r="F119" t="s">
        <v>7619</v>
      </c>
    </row>
    <row r="120" spans="1:8" x14ac:dyDescent="0.25">
      <c r="A120">
        <v>8</v>
      </c>
      <c r="B120" t="s">
        <v>7615</v>
      </c>
      <c r="D120" s="43">
        <v>122500</v>
      </c>
      <c r="E120">
        <v>120946</v>
      </c>
      <c r="F120" t="s">
        <v>7603</v>
      </c>
    </row>
    <row r="121" spans="1:8" x14ac:dyDescent="0.25">
      <c r="A121" s="2">
        <v>8</v>
      </c>
      <c r="B121" s="2" t="s">
        <v>7620</v>
      </c>
      <c r="C121" s="2"/>
      <c r="D121" s="42">
        <v>129313</v>
      </c>
      <c r="E121" s="2">
        <v>106682</v>
      </c>
      <c r="F121" s="2" t="s">
        <v>74</v>
      </c>
      <c r="G121" s="2"/>
      <c r="H121" s="2"/>
    </row>
    <row r="122" spans="1:8" x14ac:dyDescent="0.25">
      <c r="A122" s="2">
        <v>8</v>
      </c>
      <c r="B122" s="2" t="s">
        <v>7620</v>
      </c>
      <c r="C122" s="2"/>
      <c r="D122" s="42">
        <v>129313</v>
      </c>
      <c r="E122" s="2">
        <v>106682</v>
      </c>
      <c r="F122" s="2" t="s">
        <v>74</v>
      </c>
      <c r="G122" s="2"/>
      <c r="H122" s="2"/>
    </row>
    <row r="123" spans="1:8" x14ac:dyDescent="0.25">
      <c r="A123" s="2">
        <v>8</v>
      </c>
      <c r="B123" s="2" t="s">
        <v>7620</v>
      </c>
      <c r="C123" s="2"/>
      <c r="D123" s="42">
        <v>129313</v>
      </c>
      <c r="E123" s="2">
        <v>110180</v>
      </c>
      <c r="F123" s="2" t="s">
        <v>7614</v>
      </c>
      <c r="G123" s="2"/>
      <c r="H123" s="2"/>
    </row>
    <row r="124" spans="1:8" x14ac:dyDescent="0.25">
      <c r="A124" s="2">
        <v>8</v>
      </c>
      <c r="B124" s="2" t="s">
        <v>7620</v>
      </c>
      <c r="C124" s="2"/>
      <c r="D124" s="42">
        <v>129313</v>
      </c>
      <c r="E124" s="2">
        <v>120927</v>
      </c>
      <c r="F124" s="2" t="s">
        <v>95</v>
      </c>
      <c r="G124" s="2"/>
      <c r="H124" s="2"/>
    </row>
    <row r="125" spans="1:8" x14ac:dyDescent="0.25">
      <c r="A125" s="2">
        <v>8</v>
      </c>
      <c r="B125" s="2" t="s">
        <v>7620</v>
      </c>
      <c r="C125" s="2"/>
      <c r="D125" s="42">
        <v>129313</v>
      </c>
      <c r="E125" s="2">
        <v>120931</v>
      </c>
      <c r="F125" s="2" t="s">
        <v>77</v>
      </c>
      <c r="G125" s="2"/>
      <c r="H125" s="2"/>
    </row>
    <row r="126" spans="1:8" x14ac:dyDescent="0.25">
      <c r="A126" s="2">
        <v>8</v>
      </c>
      <c r="B126" s="2" t="s">
        <v>7620</v>
      </c>
      <c r="C126" s="2"/>
      <c r="D126" s="42">
        <v>129313</v>
      </c>
      <c r="E126" s="2">
        <v>121003</v>
      </c>
      <c r="F126" s="2" t="s">
        <v>128</v>
      </c>
      <c r="G126" s="2"/>
      <c r="H126" s="2"/>
    </row>
    <row r="127" spans="1:8" x14ac:dyDescent="0.25">
      <c r="A127" s="2">
        <v>8</v>
      </c>
      <c r="B127" s="2" t="s">
        <v>7620</v>
      </c>
      <c r="C127" s="2"/>
      <c r="D127" s="42">
        <v>129313</v>
      </c>
      <c r="E127" s="2">
        <v>121437</v>
      </c>
      <c r="F127" s="2" t="s">
        <v>7617</v>
      </c>
      <c r="G127" s="2"/>
      <c r="H127" s="2"/>
    </row>
    <row r="128" spans="1:8" x14ac:dyDescent="0.25">
      <c r="A128" s="2">
        <v>8</v>
      </c>
      <c r="B128" s="2" t="s">
        <v>7620</v>
      </c>
      <c r="C128" s="2"/>
      <c r="D128" s="42">
        <v>129313</v>
      </c>
      <c r="E128" s="2">
        <v>120950</v>
      </c>
      <c r="F128" s="2" t="s">
        <v>7618</v>
      </c>
      <c r="G128" s="2"/>
      <c r="H128" s="2"/>
    </row>
    <row r="129" spans="1:8" x14ac:dyDescent="0.25">
      <c r="A129" s="2">
        <v>8</v>
      </c>
      <c r="B129" s="2" t="s">
        <v>7620</v>
      </c>
      <c r="C129" s="2"/>
      <c r="D129" s="42">
        <v>129313</v>
      </c>
      <c r="E129" s="2">
        <v>106751</v>
      </c>
      <c r="F129" s="2" t="s">
        <v>7619</v>
      </c>
      <c r="G129" s="2"/>
      <c r="H129" s="2"/>
    </row>
    <row r="130" spans="1:8" x14ac:dyDescent="0.25">
      <c r="A130" s="2">
        <v>8</v>
      </c>
      <c r="B130" s="2" t="s">
        <v>7620</v>
      </c>
      <c r="C130" s="2"/>
      <c r="D130" s="42">
        <v>129313</v>
      </c>
      <c r="E130" s="2">
        <v>120946</v>
      </c>
      <c r="F130" s="2" t="s">
        <v>7603</v>
      </c>
      <c r="G130" s="2"/>
      <c r="H130" s="2"/>
    </row>
    <row r="131" spans="1:8" x14ac:dyDescent="0.25">
      <c r="A131">
        <v>8</v>
      </c>
      <c r="B131" t="s">
        <v>7621</v>
      </c>
      <c r="D131" s="42">
        <v>106626</v>
      </c>
      <c r="E131">
        <v>107068</v>
      </c>
      <c r="F131" t="s">
        <v>74</v>
      </c>
    </row>
    <row r="132" spans="1:8" x14ac:dyDescent="0.25">
      <c r="A132">
        <v>8</v>
      </c>
      <c r="B132" t="s">
        <v>7621</v>
      </c>
      <c r="D132" s="42">
        <v>106626</v>
      </c>
      <c r="E132">
        <v>107269</v>
      </c>
      <c r="F132" t="s">
        <v>95</v>
      </c>
    </row>
    <row r="133" spans="1:8" x14ac:dyDescent="0.25">
      <c r="A133">
        <v>8</v>
      </c>
      <c r="B133" t="s">
        <v>7621</v>
      </c>
      <c r="D133" s="42">
        <v>106626</v>
      </c>
      <c r="E133">
        <v>106981</v>
      </c>
      <c r="F133" t="s">
        <v>77</v>
      </c>
    </row>
    <row r="134" spans="1:8" x14ac:dyDescent="0.25">
      <c r="A134">
        <v>8</v>
      </c>
      <c r="B134" t="s">
        <v>7621</v>
      </c>
      <c r="D134" s="42">
        <v>106626</v>
      </c>
      <c r="E134">
        <v>116394</v>
      </c>
      <c r="F134" t="s">
        <v>79</v>
      </c>
    </row>
    <row r="135" spans="1:8" x14ac:dyDescent="0.25">
      <c r="A135">
        <v>8</v>
      </c>
      <c r="B135" t="s">
        <v>7621</v>
      </c>
      <c r="D135" s="42">
        <v>106626</v>
      </c>
      <c r="E135">
        <v>106996</v>
      </c>
      <c r="F135" t="s">
        <v>78</v>
      </c>
    </row>
    <row r="136" spans="1:8" x14ac:dyDescent="0.25">
      <c r="A136" s="2">
        <v>8</v>
      </c>
      <c r="B136" s="2" t="s">
        <v>7622</v>
      </c>
      <c r="C136" s="2"/>
      <c r="D136" s="42" t="s">
        <v>530</v>
      </c>
      <c r="E136" s="2">
        <v>116943</v>
      </c>
      <c r="F136" s="2" t="s">
        <v>7623</v>
      </c>
    </row>
    <row r="137" spans="1:8" x14ac:dyDescent="0.25">
      <c r="A137" s="2">
        <v>8</v>
      </c>
      <c r="B137" s="2" t="s">
        <v>7622</v>
      </c>
      <c r="C137" s="2"/>
      <c r="D137" s="42" t="s">
        <v>530</v>
      </c>
      <c r="E137" s="2" t="s">
        <v>3105</v>
      </c>
      <c r="F137" s="2" t="s">
        <v>77</v>
      </c>
    </row>
    <row r="138" spans="1:8" x14ac:dyDescent="0.25">
      <c r="A138" s="2">
        <v>8</v>
      </c>
      <c r="B138" s="2" t="s">
        <v>7622</v>
      </c>
      <c r="C138" s="2"/>
      <c r="D138" s="42" t="s">
        <v>530</v>
      </c>
      <c r="E138" s="2">
        <v>112179</v>
      </c>
      <c r="F138" s="2" t="s">
        <v>95</v>
      </c>
    </row>
    <row r="139" spans="1:8" x14ac:dyDescent="0.25">
      <c r="A139" s="2">
        <v>8</v>
      </c>
      <c r="B139" s="2" t="s">
        <v>7622</v>
      </c>
      <c r="C139" s="2"/>
      <c r="D139" s="42" t="s">
        <v>530</v>
      </c>
      <c r="E139" s="2" t="s">
        <v>3111</v>
      </c>
      <c r="F139" s="2" t="s">
        <v>78</v>
      </c>
    </row>
    <row r="140" spans="1:8" x14ac:dyDescent="0.25">
      <c r="A140" s="2">
        <v>8</v>
      </c>
      <c r="B140" s="2" t="s">
        <v>7622</v>
      </c>
      <c r="C140" s="2"/>
      <c r="D140" s="42" t="s">
        <v>530</v>
      </c>
      <c r="E140" s="2" t="s">
        <v>7624</v>
      </c>
      <c r="F140" s="2" t="s">
        <v>95</v>
      </c>
    </row>
    <row r="141" spans="1:8" x14ac:dyDescent="0.25">
      <c r="A141">
        <v>10</v>
      </c>
      <c r="B141" t="s">
        <v>7625</v>
      </c>
      <c r="C141" t="s">
        <v>7626</v>
      </c>
      <c r="D141" s="42">
        <v>108571</v>
      </c>
      <c r="E141">
        <v>115617</v>
      </c>
      <c r="F141" t="s">
        <v>79</v>
      </c>
    </row>
    <row r="142" spans="1:8" x14ac:dyDescent="0.25">
      <c r="A142">
        <v>10</v>
      </c>
      <c r="B142" t="s">
        <v>7625</v>
      </c>
      <c r="C142" t="s">
        <v>7626</v>
      </c>
      <c r="D142" s="42">
        <v>108571</v>
      </c>
      <c r="E142" t="s">
        <v>3707</v>
      </c>
      <c r="F142" t="s">
        <v>77</v>
      </c>
    </row>
    <row r="143" spans="1:8" x14ac:dyDescent="0.25">
      <c r="A143">
        <v>10</v>
      </c>
      <c r="B143" t="s">
        <v>7625</v>
      </c>
      <c r="C143" t="s">
        <v>7626</v>
      </c>
      <c r="D143" s="42">
        <v>108571</v>
      </c>
      <c r="E143">
        <v>112058</v>
      </c>
      <c r="F143" t="s">
        <v>95</v>
      </c>
    </row>
    <row r="144" spans="1:8" x14ac:dyDescent="0.25">
      <c r="A144">
        <v>10</v>
      </c>
      <c r="B144" t="s">
        <v>7625</v>
      </c>
      <c r="C144" t="s">
        <v>7626</v>
      </c>
      <c r="D144" s="42">
        <v>108571</v>
      </c>
      <c r="E144">
        <v>109528</v>
      </c>
      <c r="F144" t="s">
        <v>78</v>
      </c>
    </row>
    <row r="145" spans="1:6" x14ac:dyDescent="0.25">
      <c r="A145">
        <v>10</v>
      </c>
      <c r="B145" t="s">
        <v>7625</v>
      </c>
      <c r="C145" t="s">
        <v>7626</v>
      </c>
      <c r="D145" s="42">
        <v>108571</v>
      </c>
      <c r="E145">
        <v>105585</v>
      </c>
      <c r="F145" t="s">
        <v>7590</v>
      </c>
    </row>
    <row r="146" spans="1:6" x14ac:dyDescent="0.25">
      <c r="A146" s="2">
        <v>10</v>
      </c>
      <c r="B146" s="2" t="s">
        <v>7627</v>
      </c>
      <c r="C146" s="2" t="s">
        <v>7628</v>
      </c>
      <c r="D146" s="42">
        <v>110864</v>
      </c>
      <c r="E146" s="2" t="s">
        <v>4180</v>
      </c>
      <c r="F146" s="2" t="s">
        <v>74</v>
      </c>
    </row>
    <row r="147" spans="1:6" x14ac:dyDescent="0.25">
      <c r="A147" s="2">
        <v>10</v>
      </c>
      <c r="B147" s="2" t="s">
        <v>7627</v>
      </c>
      <c r="C147" s="2" t="s">
        <v>7628</v>
      </c>
      <c r="D147" s="42">
        <v>110864</v>
      </c>
      <c r="E147" s="2" t="s">
        <v>479</v>
      </c>
      <c r="F147" s="2" t="s">
        <v>128</v>
      </c>
    </row>
    <row r="148" spans="1:6" x14ac:dyDescent="0.25">
      <c r="A148" s="2">
        <v>10</v>
      </c>
      <c r="B148" s="2" t="s">
        <v>7627</v>
      </c>
      <c r="C148" s="2" t="s">
        <v>7628</v>
      </c>
      <c r="D148" s="42">
        <v>110864</v>
      </c>
      <c r="E148" s="2">
        <v>108342</v>
      </c>
      <c r="F148" s="2" t="s">
        <v>77</v>
      </c>
    </row>
    <row r="149" spans="1:6" x14ac:dyDescent="0.25">
      <c r="A149" s="2">
        <v>10</v>
      </c>
      <c r="B149" s="2" t="s">
        <v>7627</v>
      </c>
      <c r="C149" s="2" t="s">
        <v>7628</v>
      </c>
      <c r="D149" s="42">
        <v>110864</v>
      </c>
      <c r="E149" s="2">
        <v>115617</v>
      </c>
      <c r="F149" s="2" t="s">
        <v>79</v>
      </c>
    </row>
    <row r="150" spans="1:6" x14ac:dyDescent="0.25">
      <c r="A150" s="2">
        <v>10</v>
      </c>
      <c r="B150" s="2" t="s">
        <v>7627</v>
      </c>
      <c r="C150" s="2" t="s">
        <v>7628</v>
      </c>
      <c r="D150" s="42">
        <v>110864</v>
      </c>
      <c r="E150" s="2">
        <v>109528</v>
      </c>
      <c r="F150" s="2" t="s">
        <v>78</v>
      </c>
    </row>
    <row r="151" spans="1:6" x14ac:dyDescent="0.25">
      <c r="A151">
        <v>10</v>
      </c>
      <c r="B151" t="s">
        <v>7629</v>
      </c>
      <c r="C151" t="s">
        <v>7630</v>
      </c>
      <c r="D151" s="42">
        <v>108556</v>
      </c>
      <c r="E151">
        <v>100812</v>
      </c>
      <c r="F151" t="s">
        <v>74</v>
      </c>
    </row>
    <row r="152" spans="1:6" x14ac:dyDescent="0.25">
      <c r="A152">
        <v>10</v>
      </c>
      <c r="B152" t="s">
        <v>7629</v>
      </c>
      <c r="C152" t="s">
        <v>7630</v>
      </c>
      <c r="D152" s="42">
        <v>108556</v>
      </c>
      <c r="E152">
        <v>108557</v>
      </c>
      <c r="F152" t="s">
        <v>1239</v>
      </c>
    </row>
    <row r="153" spans="1:6" x14ac:dyDescent="0.25">
      <c r="A153">
        <v>10</v>
      </c>
      <c r="B153" t="s">
        <v>7629</v>
      </c>
      <c r="C153" t="s">
        <v>7630</v>
      </c>
      <c r="D153" s="42">
        <v>108556</v>
      </c>
      <c r="E153">
        <v>108551</v>
      </c>
      <c r="F153" t="s">
        <v>7631</v>
      </c>
    </row>
    <row r="154" spans="1:6" x14ac:dyDescent="0.25">
      <c r="A154">
        <v>10</v>
      </c>
      <c r="B154" t="s">
        <v>7629</v>
      </c>
      <c r="C154" t="s">
        <v>7630</v>
      </c>
      <c r="D154" s="42">
        <v>108556</v>
      </c>
      <c r="E154">
        <v>110617</v>
      </c>
      <c r="F154" t="s">
        <v>79</v>
      </c>
    </row>
    <row r="155" spans="1:6" x14ac:dyDescent="0.25">
      <c r="A155">
        <v>10</v>
      </c>
      <c r="B155" t="s">
        <v>7629</v>
      </c>
      <c r="C155" t="s">
        <v>7630</v>
      </c>
      <c r="D155" s="42">
        <v>108556</v>
      </c>
      <c r="E155">
        <v>112131</v>
      </c>
      <c r="F155" t="s">
        <v>78</v>
      </c>
    </row>
    <row r="156" spans="1:6" x14ac:dyDescent="0.25">
      <c r="A156">
        <v>10</v>
      </c>
      <c r="B156" t="s">
        <v>7629</v>
      </c>
      <c r="C156" t="s">
        <v>7630</v>
      </c>
      <c r="D156" s="42">
        <v>108556</v>
      </c>
      <c r="E156" t="s">
        <v>3704</v>
      </c>
      <c r="F156" t="s">
        <v>7632</v>
      </c>
    </row>
    <row r="157" spans="1:6" x14ac:dyDescent="0.25">
      <c r="A157">
        <v>10</v>
      </c>
      <c r="B157" t="s">
        <v>7629</v>
      </c>
      <c r="C157" t="s">
        <v>7630</v>
      </c>
      <c r="D157" s="42">
        <v>108556</v>
      </c>
      <c r="E157">
        <v>113727</v>
      </c>
      <c r="F157" t="s">
        <v>1247</v>
      </c>
    </row>
    <row r="158" spans="1:6" x14ac:dyDescent="0.25">
      <c r="A158">
        <v>10</v>
      </c>
      <c r="B158" t="s">
        <v>7629</v>
      </c>
      <c r="C158" t="s">
        <v>7630</v>
      </c>
      <c r="D158" s="42">
        <v>108556</v>
      </c>
      <c r="E158">
        <v>102324</v>
      </c>
      <c r="F158" t="s">
        <v>7633</v>
      </c>
    </row>
    <row r="159" spans="1:6" x14ac:dyDescent="0.25">
      <c r="A159" s="2">
        <v>10</v>
      </c>
      <c r="B159" s="2" t="s">
        <v>7634</v>
      </c>
      <c r="C159" s="2" t="s">
        <v>7634</v>
      </c>
      <c r="E159" s="2">
        <v>108051</v>
      </c>
      <c r="F159" s="2" t="s">
        <v>74</v>
      </c>
    </row>
    <row r="160" spans="1:6" x14ac:dyDescent="0.25">
      <c r="A160" s="2">
        <v>10</v>
      </c>
      <c r="B160" s="2" t="s">
        <v>7634</v>
      </c>
      <c r="C160" s="2" t="s">
        <v>7634</v>
      </c>
      <c r="E160" s="2">
        <v>123689</v>
      </c>
      <c r="F160" s="2" t="s">
        <v>1237</v>
      </c>
    </row>
    <row r="161" spans="1:6" x14ac:dyDescent="0.25">
      <c r="A161" s="2">
        <v>10</v>
      </c>
      <c r="B161" s="2" t="s">
        <v>7634</v>
      </c>
      <c r="C161" s="2" t="s">
        <v>7634</v>
      </c>
      <c r="E161" s="2">
        <v>110257</v>
      </c>
      <c r="F161" s="2" t="s">
        <v>95</v>
      </c>
    </row>
    <row r="162" spans="1:6" x14ac:dyDescent="0.25">
      <c r="A162" s="2">
        <v>10</v>
      </c>
      <c r="B162" s="2" t="s">
        <v>7634</v>
      </c>
      <c r="C162" s="2" t="s">
        <v>7634</v>
      </c>
      <c r="E162" s="2">
        <v>108307</v>
      </c>
      <c r="F162" s="2" t="s">
        <v>77</v>
      </c>
    </row>
    <row r="163" spans="1:6" x14ac:dyDescent="0.25">
      <c r="A163" s="2">
        <v>10</v>
      </c>
      <c r="B163" s="2" t="s">
        <v>7634</v>
      </c>
      <c r="C163" s="2" t="s">
        <v>7634</v>
      </c>
      <c r="E163" s="2">
        <v>108081</v>
      </c>
      <c r="F163" s="2" t="s">
        <v>128</v>
      </c>
    </row>
    <row r="164" spans="1:6" x14ac:dyDescent="0.25">
      <c r="A164" s="2">
        <v>10</v>
      </c>
      <c r="B164" s="2" t="s">
        <v>7634</v>
      </c>
      <c r="C164" s="2" t="s">
        <v>7634</v>
      </c>
      <c r="E164" s="2">
        <v>109595</v>
      </c>
      <c r="F164" s="2" t="s">
        <v>3227</v>
      </c>
    </row>
    <row r="165" spans="1:6" x14ac:dyDescent="0.25">
      <c r="A165" s="2">
        <v>10</v>
      </c>
      <c r="B165" s="2" t="s">
        <v>7634</v>
      </c>
      <c r="C165" s="2" t="s">
        <v>7634</v>
      </c>
      <c r="E165" s="2">
        <v>117694</v>
      </c>
      <c r="F165" s="2" t="s">
        <v>4366</v>
      </c>
    </row>
    <row r="166" spans="1:6" x14ac:dyDescent="0.25">
      <c r="A166" s="2">
        <v>10</v>
      </c>
      <c r="B166" s="2" t="s">
        <v>7634</v>
      </c>
      <c r="C166" s="2" t="s">
        <v>7634</v>
      </c>
      <c r="E166" s="2">
        <v>109595</v>
      </c>
      <c r="F166" s="2" t="s">
        <v>3227</v>
      </c>
    </row>
    <row r="167" spans="1:6" x14ac:dyDescent="0.25">
      <c r="A167" s="2">
        <v>10</v>
      </c>
      <c r="B167" s="2" t="s">
        <v>7634</v>
      </c>
      <c r="C167" s="2" t="s">
        <v>7634</v>
      </c>
      <c r="E167" s="2">
        <v>117694</v>
      </c>
      <c r="F167" s="2" t="s">
        <v>4366</v>
      </c>
    </row>
    <row r="168" spans="1:6" x14ac:dyDescent="0.25">
      <c r="A168" s="2">
        <v>10</v>
      </c>
      <c r="B168" s="2" t="s">
        <v>7634</v>
      </c>
      <c r="C168" s="2" t="s">
        <v>7634</v>
      </c>
      <c r="E168" s="2">
        <v>108704</v>
      </c>
      <c r="F168" s="2" t="s">
        <v>3097</v>
      </c>
    </row>
    <row r="169" spans="1:6" x14ac:dyDescent="0.25">
      <c r="A169">
        <v>10</v>
      </c>
      <c r="B169" t="s">
        <v>3602</v>
      </c>
      <c r="C169" t="s">
        <v>3602</v>
      </c>
      <c r="D169" s="42">
        <v>106627</v>
      </c>
      <c r="E169">
        <v>115617</v>
      </c>
      <c r="F169" t="s">
        <v>7623</v>
      </c>
    </row>
    <row r="170" spans="1:6" x14ac:dyDescent="0.25">
      <c r="A170">
        <v>10</v>
      </c>
      <c r="B170" t="s">
        <v>3602</v>
      </c>
      <c r="C170" t="s">
        <v>3602</v>
      </c>
      <c r="D170" s="42">
        <v>106627</v>
      </c>
      <c r="E170">
        <v>107267</v>
      </c>
      <c r="F170" t="s">
        <v>95</v>
      </c>
    </row>
    <row r="171" spans="1:6" x14ac:dyDescent="0.25">
      <c r="A171">
        <v>10</v>
      </c>
      <c r="B171" t="s">
        <v>3602</v>
      </c>
      <c r="C171" t="s">
        <v>3602</v>
      </c>
      <c r="D171" s="42">
        <v>106627</v>
      </c>
      <c r="E171">
        <v>107984</v>
      </c>
      <c r="F171" t="s">
        <v>77</v>
      </c>
    </row>
    <row r="172" spans="1:6" x14ac:dyDescent="0.25">
      <c r="A172">
        <v>10</v>
      </c>
      <c r="B172" t="s">
        <v>3602</v>
      </c>
      <c r="C172" t="s">
        <v>3602</v>
      </c>
      <c r="D172" s="42">
        <v>106627</v>
      </c>
      <c r="E172">
        <v>118199</v>
      </c>
      <c r="F172" t="s">
        <v>79</v>
      </c>
    </row>
    <row r="173" spans="1:6" x14ac:dyDescent="0.25">
      <c r="A173">
        <v>10</v>
      </c>
      <c r="B173" t="s">
        <v>3602</v>
      </c>
      <c r="C173" t="s">
        <v>3602</v>
      </c>
      <c r="D173" s="42">
        <v>106627</v>
      </c>
      <c r="E173">
        <v>106996</v>
      </c>
      <c r="F173" t="s">
        <v>78</v>
      </c>
    </row>
    <row r="174" spans="1:6" x14ac:dyDescent="0.25">
      <c r="A174" s="2">
        <v>10</v>
      </c>
      <c r="B174" s="2" t="s">
        <v>7635</v>
      </c>
      <c r="C174" s="2" t="s">
        <v>7635</v>
      </c>
      <c r="D174" s="42">
        <v>122986</v>
      </c>
      <c r="E174" s="2">
        <v>115617</v>
      </c>
      <c r="F174" s="2" t="s">
        <v>7623</v>
      </c>
    </row>
    <row r="175" spans="1:6" x14ac:dyDescent="0.25">
      <c r="A175" s="2">
        <v>10</v>
      </c>
      <c r="B175" s="2" t="s">
        <v>7635</v>
      </c>
      <c r="C175" s="2" t="s">
        <v>7635</v>
      </c>
      <c r="D175" s="42">
        <v>122986</v>
      </c>
      <c r="E175" s="2">
        <v>112058</v>
      </c>
      <c r="F175" s="2" t="s">
        <v>95</v>
      </c>
    </row>
    <row r="176" spans="1:6" x14ac:dyDescent="0.25">
      <c r="A176" s="2">
        <v>10</v>
      </c>
      <c r="B176" s="2" t="s">
        <v>7635</v>
      </c>
      <c r="C176" s="2" t="s">
        <v>7635</v>
      </c>
      <c r="D176" s="42">
        <v>122986</v>
      </c>
      <c r="E176" s="2">
        <v>107984</v>
      </c>
      <c r="F176" s="2" t="s">
        <v>77</v>
      </c>
    </row>
    <row r="177" spans="1:6" x14ac:dyDescent="0.25">
      <c r="A177" s="2">
        <v>10</v>
      </c>
      <c r="B177" s="2" t="s">
        <v>7635</v>
      </c>
      <c r="C177" s="2" t="s">
        <v>7635</v>
      </c>
      <c r="D177" s="42">
        <v>122986</v>
      </c>
      <c r="E177" s="2">
        <v>118199</v>
      </c>
      <c r="F177" s="2" t="s">
        <v>79</v>
      </c>
    </row>
    <row r="178" spans="1:6" x14ac:dyDescent="0.25">
      <c r="A178" s="2">
        <v>10</v>
      </c>
      <c r="B178" s="2" t="s">
        <v>7635</v>
      </c>
      <c r="C178" s="2" t="s">
        <v>7635</v>
      </c>
      <c r="D178" s="42">
        <v>122986</v>
      </c>
      <c r="E178" s="2">
        <v>106996</v>
      </c>
      <c r="F178" s="2" t="s">
        <v>78</v>
      </c>
    </row>
    <row r="179" spans="1:6" x14ac:dyDescent="0.25">
      <c r="A179" s="2">
        <v>10</v>
      </c>
      <c r="B179" s="2" t="s">
        <v>7635</v>
      </c>
      <c r="C179" s="2" t="s">
        <v>7635</v>
      </c>
      <c r="D179" s="42">
        <v>122986</v>
      </c>
      <c r="E179" s="2">
        <v>105585</v>
      </c>
      <c r="F179" s="2" t="s">
        <v>7590</v>
      </c>
    </row>
    <row r="180" spans="1:6" x14ac:dyDescent="0.25">
      <c r="A180">
        <v>10</v>
      </c>
      <c r="D180" s="42">
        <v>101050</v>
      </c>
      <c r="E180">
        <v>115617</v>
      </c>
      <c r="F180" t="s">
        <v>7623</v>
      </c>
    </row>
    <row r="181" spans="1:6" x14ac:dyDescent="0.25">
      <c r="A181">
        <v>10</v>
      </c>
      <c r="D181" s="42">
        <v>101050</v>
      </c>
      <c r="E181" t="s">
        <v>479</v>
      </c>
      <c r="F181" t="s">
        <v>128</v>
      </c>
    </row>
    <row r="182" spans="1:6" x14ac:dyDescent="0.25">
      <c r="A182">
        <v>10</v>
      </c>
      <c r="D182" s="42">
        <v>101050</v>
      </c>
      <c r="E182">
        <v>110279</v>
      </c>
      <c r="F182" t="s">
        <v>77</v>
      </c>
    </row>
    <row r="183" spans="1:6" x14ac:dyDescent="0.25">
      <c r="A183">
        <v>10</v>
      </c>
      <c r="D183" s="42">
        <v>101050</v>
      </c>
      <c r="E183">
        <v>118070</v>
      </c>
      <c r="F183" t="s">
        <v>79</v>
      </c>
    </row>
    <row r="184" spans="1:6" x14ac:dyDescent="0.25">
      <c r="A184">
        <v>10</v>
      </c>
      <c r="D184" s="42">
        <v>101050</v>
      </c>
      <c r="E184">
        <v>106996</v>
      </c>
      <c r="F184" t="s">
        <v>78</v>
      </c>
    </row>
    <row r="185" spans="1:6" x14ac:dyDescent="0.25">
      <c r="A185">
        <v>10</v>
      </c>
      <c r="D185" s="42">
        <v>101050</v>
      </c>
      <c r="E185">
        <v>105585</v>
      </c>
      <c r="F185" t="s">
        <v>7590</v>
      </c>
    </row>
    <row r="186" spans="1:6" x14ac:dyDescent="0.25">
      <c r="A186" s="2">
        <v>10</v>
      </c>
      <c r="B186" s="2" t="s">
        <v>7636</v>
      </c>
      <c r="C186" s="2" t="s">
        <v>7636</v>
      </c>
      <c r="D186" s="42">
        <v>119600</v>
      </c>
      <c r="E186" s="2">
        <v>119658</v>
      </c>
      <c r="F186" s="2" t="s">
        <v>74</v>
      </c>
    </row>
    <row r="187" spans="1:6" x14ac:dyDescent="0.25">
      <c r="A187" s="2">
        <v>10</v>
      </c>
      <c r="B187" s="2" t="s">
        <v>7636</v>
      </c>
      <c r="C187" s="2" t="s">
        <v>7636</v>
      </c>
      <c r="D187" s="42">
        <v>119600</v>
      </c>
      <c r="E187" s="2">
        <v>111201</v>
      </c>
      <c r="F187" s="2" t="s">
        <v>7637</v>
      </c>
    </row>
    <row r="188" spans="1:6" x14ac:dyDescent="0.25">
      <c r="A188" s="2">
        <v>10</v>
      </c>
      <c r="B188" s="2" t="s">
        <v>7636</v>
      </c>
      <c r="C188" s="2" t="s">
        <v>7636</v>
      </c>
      <c r="D188" s="42">
        <v>119600</v>
      </c>
      <c r="E188" s="2">
        <v>111202</v>
      </c>
      <c r="F188" s="2" t="s">
        <v>7638</v>
      </c>
    </row>
    <row r="189" spans="1:6" x14ac:dyDescent="0.25">
      <c r="A189" s="2">
        <v>10</v>
      </c>
      <c r="B189" s="2" t="s">
        <v>7636</v>
      </c>
      <c r="C189" s="2" t="s">
        <v>7636</v>
      </c>
      <c r="D189" s="42">
        <v>119600</v>
      </c>
      <c r="E189" s="2">
        <v>120708</v>
      </c>
      <c r="F189" s="2" t="s">
        <v>7639</v>
      </c>
    </row>
    <row r="190" spans="1:6" x14ac:dyDescent="0.25">
      <c r="A190" s="2">
        <v>10</v>
      </c>
      <c r="B190" s="2" t="s">
        <v>7636</v>
      </c>
      <c r="C190" s="2" t="s">
        <v>7636</v>
      </c>
      <c r="D190" s="42">
        <v>119600</v>
      </c>
      <c r="E190" s="2">
        <v>118262</v>
      </c>
      <c r="F190" s="2" t="s">
        <v>4366</v>
      </c>
    </row>
    <row r="191" spans="1:6" x14ac:dyDescent="0.25">
      <c r="A191" s="2">
        <v>10</v>
      </c>
      <c r="B191" s="2" t="s">
        <v>7636</v>
      </c>
      <c r="C191" s="2" t="s">
        <v>7636</v>
      </c>
      <c r="D191" s="42">
        <v>119600</v>
      </c>
      <c r="E191" s="2">
        <v>118262</v>
      </c>
      <c r="F191" s="2" t="s">
        <v>4366</v>
      </c>
    </row>
    <row r="192" spans="1:6" x14ac:dyDescent="0.25">
      <c r="A192" s="2">
        <v>10</v>
      </c>
      <c r="B192" s="2" t="s">
        <v>7636</v>
      </c>
      <c r="C192" s="2" t="s">
        <v>7636</v>
      </c>
      <c r="D192" s="42">
        <v>119600</v>
      </c>
      <c r="E192" s="2">
        <v>118262</v>
      </c>
      <c r="F192" s="2" t="s">
        <v>4366</v>
      </c>
    </row>
    <row r="193" spans="1:6" x14ac:dyDescent="0.25">
      <c r="A193">
        <v>12</v>
      </c>
      <c r="B193" t="s">
        <v>7640</v>
      </c>
      <c r="C193" t="s">
        <v>7641</v>
      </c>
      <c r="E193">
        <v>109206</v>
      </c>
      <c r="F193" t="s">
        <v>74</v>
      </c>
    </row>
    <row r="194" spans="1:6" x14ac:dyDescent="0.25">
      <c r="A194">
        <v>12</v>
      </c>
      <c r="B194" t="s">
        <v>7640</v>
      </c>
      <c r="C194" t="s">
        <v>7641</v>
      </c>
      <c r="E194">
        <v>120459</v>
      </c>
      <c r="F194" t="s">
        <v>1237</v>
      </c>
    </row>
    <row r="195" spans="1:6" x14ac:dyDescent="0.25">
      <c r="A195">
        <v>12</v>
      </c>
      <c r="B195" t="s">
        <v>7640</v>
      </c>
      <c r="C195" t="s">
        <v>7641</v>
      </c>
      <c r="E195">
        <v>113097</v>
      </c>
      <c r="F195" t="s">
        <v>128</v>
      </c>
    </row>
    <row r="196" spans="1:6" x14ac:dyDescent="0.25">
      <c r="A196">
        <v>12</v>
      </c>
      <c r="B196" t="s">
        <v>7640</v>
      </c>
      <c r="C196" t="s">
        <v>7641</v>
      </c>
      <c r="E196">
        <v>108872</v>
      </c>
      <c r="F196" t="s">
        <v>7642</v>
      </c>
    </row>
    <row r="197" spans="1:6" x14ac:dyDescent="0.25">
      <c r="A197">
        <v>12</v>
      </c>
      <c r="B197" t="s">
        <v>7640</v>
      </c>
      <c r="C197" t="s">
        <v>7641</v>
      </c>
      <c r="E197">
        <v>111717</v>
      </c>
      <c r="F197" t="s">
        <v>6890</v>
      </c>
    </row>
    <row r="198" spans="1:6" x14ac:dyDescent="0.25">
      <c r="A198">
        <v>12</v>
      </c>
      <c r="B198" t="s">
        <v>7640</v>
      </c>
      <c r="C198" t="s">
        <v>7641</v>
      </c>
      <c r="E198">
        <v>108881</v>
      </c>
      <c r="F198" t="s">
        <v>7643</v>
      </c>
    </row>
    <row r="199" spans="1:6" x14ac:dyDescent="0.25">
      <c r="A199">
        <v>12</v>
      </c>
      <c r="B199" t="s">
        <v>7640</v>
      </c>
      <c r="C199" t="s">
        <v>7641</v>
      </c>
      <c r="E199">
        <v>116405</v>
      </c>
      <c r="F199" t="s">
        <v>95</v>
      </c>
    </row>
    <row r="200" spans="1:6" x14ac:dyDescent="0.25">
      <c r="A200">
        <v>12</v>
      </c>
      <c r="B200" t="s">
        <v>7640</v>
      </c>
      <c r="C200" t="s">
        <v>7641</v>
      </c>
      <c r="E200">
        <v>108908</v>
      </c>
      <c r="F200" t="s">
        <v>7644</v>
      </c>
    </row>
    <row r="201" spans="1:6" x14ac:dyDescent="0.25">
      <c r="A201" s="2">
        <v>12</v>
      </c>
      <c r="B201" s="2" t="s">
        <v>7645</v>
      </c>
      <c r="C201" s="2" t="s">
        <v>7646</v>
      </c>
      <c r="D201" s="44">
        <v>112100</v>
      </c>
      <c r="E201" s="2">
        <v>116431</v>
      </c>
      <c r="F201" s="2" t="s">
        <v>79</v>
      </c>
    </row>
    <row r="202" spans="1:6" x14ac:dyDescent="0.25">
      <c r="A202" s="2">
        <v>12</v>
      </c>
      <c r="B202" s="2" t="s">
        <v>7645</v>
      </c>
      <c r="C202" s="2" t="s">
        <v>7646</v>
      </c>
      <c r="D202" s="44">
        <v>112100</v>
      </c>
      <c r="E202" s="2">
        <v>108593</v>
      </c>
      <c r="F202" s="2" t="s">
        <v>77</v>
      </c>
    </row>
    <row r="203" spans="1:6" x14ac:dyDescent="0.25">
      <c r="A203" s="2">
        <v>12</v>
      </c>
      <c r="B203" s="2" t="s">
        <v>7645</v>
      </c>
      <c r="C203" s="2" t="s">
        <v>7646</v>
      </c>
      <c r="D203" s="44">
        <v>112100</v>
      </c>
      <c r="E203" s="2">
        <v>112106</v>
      </c>
      <c r="F203" s="2" t="s">
        <v>95</v>
      </c>
    </row>
    <row r="204" spans="1:6" x14ac:dyDescent="0.25">
      <c r="A204" s="2">
        <v>12</v>
      </c>
      <c r="B204" s="2" t="s">
        <v>7645</v>
      </c>
      <c r="C204" s="2" t="s">
        <v>7646</v>
      </c>
      <c r="D204" s="44">
        <v>112100</v>
      </c>
      <c r="E204" s="2">
        <v>108595</v>
      </c>
      <c r="F204" s="2" t="s">
        <v>78</v>
      </c>
    </row>
    <row r="205" spans="1:6" x14ac:dyDescent="0.25">
      <c r="A205" s="2">
        <v>12</v>
      </c>
      <c r="B205" s="2" t="s">
        <v>7645</v>
      </c>
      <c r="C205" s="2" t="s">
        <v>7646</v>
      </c>
      <c r="D205" s="44">
        <v>112100</v>
      </c>
      <c r="E205" s="2">
        <v>105585</v>
      </c>
      <c r="F205" s="2" t="s">
        <v>7590</v>
      </c>
    </row>
    <row r="206" spans="1:6" x14ac:dyDescent="0.25">
      <c r="A206">
        <v>12</v>
      </c>
      <c r="B206" t="s">
        <v>7647</v>
      </c>
      <c r="C206" t="s">
        <v>7648</v>
      </c>
      <c r="D206" s="42">
        <v>114577</v>
      </c>
      <c r="E206" t="s">
        <v>605</v>
      </c>
      <c r="F206" t="s">
        <v>128</v>
      </c>
    </row>
    <row r="207" spans="1:6" x14ac:dyDescent="0.25">
      <c r="A207">
        <v>12</v>
      </c>
      <c r="B207" t="s">
        <v>7647</v>
      </c>
      <c r="C207" t="s">
        <v>7648</v>
      </c>
      <c r="D207" s="42">
        <v>114577</v>
      </c>
      <c r="E207">
        <v>108359</v>
      </c>
      <c r="F207" t="s">
        <v>77</v>
      </c>
    </row>
    <row r="208" spans="1:6" x14ac:dyDescent="0.25">
      <c r="A208">
        <v>12</v>
      </c>
      <c r="B208" t="s">
        <v>7647</v>
      </c>
      <c r="C208" t="s">
        <v>7648</v>
      </c>
      <c r="D208" s="42">
        <v>114577</v>
      </c>
      <c r="E208">
        <v>116431</v>
      </c>
      <c r="F208" t="s">
        <v>79</v>
      </c>
    </row>
    <row r="209" spans="1:6" x14ac:dyDescent="0.25">
      <c r="A209">
        <v>12</v>
      </c>
      <c r="B209" t="s">
        <v>7647</v>
      </c>
      <c r="C209" t="s">
        <v>7648</v>
      </c>
      <c r="D209" s="42">
        <v>114577</v>
      </c>
      <c r="E209">
        <v>112093</v>
      </c>
      <c r="F209" t="s">
        <v>78</v>
      </c>
    </row>
    <row r="210" spans="1:6" x14ac:dyDescent="0.25">
      <c r="A210">
        <v>12</v>
      </c>
      <c r="B210" t="s">
        <v>7647</v>
      </c>
      <c r="C210" t="s">
        <v>7648</v>
      </c>
      <c r="D210" s="42">
        <v>114577</v>
      </c>
      <c r="E210">
        <v>105585</v>
      </c>
      <c r="F210" t="s">
        <v>7590</v>
      </c>
    </row>
    <row r="211" spans="1:6" x14ac:dyDescent="0.25">
      <c r="A211" s="2">
        <v>12</v>
      </c>
      <c r="B211" s="2" t="s">
        <v>7649</v>
      </c>
      <c r="C211" s="2" t="s">
        <v>7650</v>
      </c>
      <c r="D211" s="42">
        <v>108740</v>
      </c>
      <c r="E211" s="2">
        <v>108716</v>
      </c>
      <c r="F211" s="2" t="s">
        <v>79</v>
      </c>
    </row>
    <row r="212" spans="1:6" x14ac:dyDescent="0.25">
      <c r="A212" s="2">
        <v>12</v>
      </c>
      <c r="B212" s="2" t="s">
        <v>7649</v>
      </c>
      <c r="C212" s="2" t="s">
        <v>7650</v>
      </c>
      <c r="D212" s="42">
        <v>108740</v>
      </c>
      <c r="E212" s="2">
        <v>109088</v>
      </c>
      <c r="F212" s="2" t="s">
        <v>1239</v>
      </c>
    </row>
    <row r="213" spans="1:6" x14ac:dyDescent="0.25">
      <c r="A213" s="2">
        <v>12</v>
      </c>
      <c r="B213" s="2" t="s">
        <v>7649</v>
      </c>
      <c r="C213" s="2" t="s">
        <v>7650</v>
      </c>
      <c r="D213" s="42">
        <v>108740</v>
      </c>
      <c r="E213" s="2">
        <v>108570</v>
      </c>
      <c r="F213" s="2" t="s">
        <v>77</v>
      </c>
    </row>
    <row r="214" spans="1:6" x14ac:dyDescent="0.25">
      <c r="A214" s="2">
        <v>12</v>
      </c>
      <c r="B214" s="2" t="s">
        <v>7649</v>
      </c>
      <c r="C214" s="2" t="s">
        <v>7650</v>
      </c>
      <c r="D214" s="42">
        <v>108740</v>
      </c>
      <c r="E214" s="2">
        <v>108595</v>
      </c>
      <c r="F214" s="2" t="s">
        <v>78</v>
      </c>
    </row>
    <row r="215" spans="1:6" x14ac:dyDescent="0.25">
      <c r="A215" s="2">
        <v>12</v>
      </c>
      <c r="B215" s="2" t="s">
        <v>7649</v>
      </c>
      <c r="C215" s="2" t="s">
        <v>7650</v>
      </c>
      <c r="D215" s="42">
        <v>108740</v>
      </c>
      <c r="E215" s="2">
        <v>108753</v>
      </c>
      <c r="F215" s="2" t="s">
        <v>7631</v>
      </c>
    </row>
    <row r="216" spans="1:6" x14ac:dyDescent="0.25">
      <c r="A216" s="2">
        <v>12</v>
      </c>
      <c r="B216" s="2" t="s">
        <v>7649</v>
      </c>
      <c r="C216" s="2" t="s">
        <v>7650</v>
      </c>
      <c r="D216" s="42">
        <v>108740</v>
      </c>
      <c r="E216" s="2">
        <v>114368</v>
      </c>
      <c r="F216" s="2" t="s">
        <v>1247</v>
      </c>
    </row>
    <row r="217" spans="1:6" x14ac:dyDescent="0.25">
      <c r="A217" s="2">
        <v>12</v>
      </c>
      <c r="B217" s="2" t="s">
        <v>7649</v>
      </c>
      <c r="C217" s="2" t="s">
        <v>7650</v>
      </c>
      <c r="D217" s="42">
        <v>108740</v>
      </c>
      <c r="E217" s="2">
        <v>108595</v>
      </c>
      <c r="F217" s="2" t="s">
        <v>78</v>
      </c>
    </row>
    <row r="218" spans="1:6" x14ac:dyDescent="0.25">
      <c r="A218">
        <v>12</v>
      </c>
      <c r="B218" t="s">
        <v>7651</v>
      </c>
      <c r="C218" t="s">
        <v>7651</v>
      </c>
      <c r="E218">
        <v>109206</v>
      </c>
      <c r="F218" t="s">
        <v>74</v>
      </c>
    </row>
    <row r="219" spans="1:6" x14ac:dyDescent="0.25">
      <c r="A219">
        <v>12</v>
      </c>
      <c r="B219" t="s">
        <v>7651</v>
      </c>
      <c r="C219" t="s">
        <v>7651</v>
      </c>
      <c r="E219">
        <v>120459</v>
      </c>
      <c r="F219" t="s">
        <v>1237</v>
      </c>
    </row>
    <row r="220" spans="1:6" x14ac:dyDescent="0.25">
      <c r="A220">
        <v>12</v>
      </c>
      <c r="B220" t="s">
        <v>7651</v>
      </c>
      <c r="C220" t="s">
        <v>7651</v>
      </c>
      <c r="E220">
        <v>113097</v>
      </c>
      <c r="F220" t="s">
        <v>128</v>
      </c>
    </row>
    <row r="221" spans="1:6" x14ac:dyDescent="0.25">
      <c r="A221">
        <v>12</v>
      </c>
      <c r="B221" t="s">
        <v>7651</v>
      </c>
      <c r="C221" t="s">
        <v>7651</v>
      </c>
      <c r="E221">
        <v>108872</v>
      </c>
      <c r="F221" t="s">
        <v>7642</v>
      </c>
    </row>
    <row r="222" spans="1:6" x14ac:dyDescent="0.25">
      <c r="A222">
        <v>12</v>
      </c>
      <c r="B222" t="s">
        <v>7651</v>
      </c>
      <c r="C222" t="s">
        <v>7651</v>
      </c>
      <c r="E222">
        <v>111717</v>
      </c>
      <c r="F222" t="s">
        <v>6890</v>
      </c>
    </row>
    <row r="223" spans="1:6" x14ac:dyDescent="0.25">
      <c r="A223">
        <v>12</v>
      </c>
      <c r="B223" t="s">
        <v>7651</v>
      </c>
      <c r="C223" t="s">
        <v>7651</v>
      </c>
      <c r="E223">
        <v>108881</v>
      </c>
      <c r="F223" t="s">
        <v>7643</v>
      </c>
    </row>
    <row r="224" spans="1:6" x14ac:dyDescent="0.25">
      <c r="A224">
        <v>12</v>
      </c>
      <c r="B224" t="s">
        <v>7651</v>
      </c>
      <c r="C224" t="s">
        <v>7651</v>
      </c>
      <c r="E224">
        <v>116405</v>
      </c>
      <c r="F224" t="s">
        <v>95</v>
      </c>
    </row>
    <row r="225" spans="1:6" x14ac:dyDescent="0.25">
      <c r="A225">
        <v>12</v>
      </c>
      <c r="B225" t="s">
        <v>7651</v>
      </c>
      <c r="C225" t="s">
        <v>7651</v>
      </c>
      <c r="E225">
        <v>108908</v>
      </c>
      <c r="F225" t="s">
        <v>7644</v>
      </c>
    </row>
    <row r="226" spans="1:6" x14ac:dyDescent="0.25">
      <c r="A226">
        <v>12</v>
      </c>
      <c r="B226" t="s">
        <v>7651</v>
      </c>
      <c r="C226" t="s">
        <v>7651</v>
      </c>
      <c r="E226">
        <v>109206</v>
      </c>
      <c r="F226" t="s">
        <v>74</v>
      </c>
    </row>
    <row r="227" spans="1:6" x14ac:dyDescent="0.25">
      <c r="A227" s="2">
        <v>12</v>
      </c>
      <c r="B227" s="2" t="s">
        <v>7640</v>
      </c>
      <c r="C227" s="2" t="s">
        <v>7640</v>
      </c>
      <c r="E227" s="2">
        <v>120459</v>
      </c>
      <c r="F227" s="2" t="s">
        <v>1237</v>
      </c>
    </row>
    <row r="228" spans="1:6" x14ac:dyDescent="0.25">
      <c r="A228" s="2">
        <v>12</v>
      </c>
      <c r="B228" s="2" t="s">
        <v>7640</v>
      </c>
      <c r="C228" s="2" t="s">
        <v>7640</v>
      </c>
      <c r="E228" s="2">
        <v>129645</v>
      </c>
      <c r="F228" s="2" t="s">
        <v>128</v>
      </c>
    </row>
    <row r="229" spans="1:6" x14ac:dyDescent="0.25">
      <c r="A229" s="2">
        <v>12</v>
      </c>
      <c r="B229" s="2" t="s">
        <v>7640</v>
      </c>
      <c r="C229" s="2" t="s">
        <v>7640</v>
      </c>
      <c r="E229" s="2">
        <v>108872</v>
      </c>
      <c r="F229" s="2" t="s">
        <v>7642</v>
      </c>
    </row>
    <row r="230" spans="1:6" x14ac:dyDescent="0.25">
      <c r="A230" s="2">
        <v>12</v>
      </c>
      <c r="B230" s="2" t="s">
        <v>7640</v>
      </c>
      <c r="C230" s="2" t="s">
        <v>7640</v>
      </c>
      <c r="E230" s="2">
        <v>111717</v>
      </c>
      <c r="F230" s="2" t="s">
        <v>6890</v>
      </c>
    </row>
    <row r="231" spans="1:6" x14ac:dyDescent="0.25">
      <c r="A231" s="2">
        <v>12</v>
      </c>
      <c r="B231" s="2" t="s">
        <v>7640</v>
      </c>
      <c r="C231" s="2" t="s">
        <v>7640</v>
      </c>
      <c r="E231" s="2">
        <v>108881</v>
      </c>
      <c r="F231" s="2" t="s">
        <v>7643</v>
      </c>
    </row>
    <row r="232" spans="1:6" x14ac:dyDescent="0.25">
      <c r="A232" s="2">
        <v>12</v>
      </c>
      <c r="B232" s="2" t="s">
        <v>7640</v>
      </c>
      <c r="C232" s="2" t="s">
        <v>7640</v>
      </c>
      <c r="E232" s="2">
        <v>116405</v>
      </c>
      <c r="F232" s="2" t="s">
        <v>95</v>
      </c>
    </row>
    <row r="233" spans="1:6" x14ac:dyDescent="0.25">
      <c r="A233" s="2">
        <v>12</v>
      </c>
      <c r="B233" s="2" t="s">
        <v>7640</v>
      </c>
      <c r="C233" s="2" t="s">
        <v>7640</v>
      </c>
      <c r="E233" s="2">
        <v>108908</v>
      </c>
      <c r="F233" s="2" t="s">
        <v>7644</v>
      </c>
    </row>
    <row r="234" spans="1:6" x14ac:dyDescent="0.25">
      <c r="A234">
        <v>12</v>
      </c>
      <c r="B234" t="s">
        <v>7652</v>
      </c>
      <c r="C234" t="s">
        <v>7653</v>
      </c>
      <c r="D234" s="42">
        <v>108847</v>
      </c>
      <c r="E234">
        <v>115617</v>
      </c>
      <c r="F234" t="s">
        <v>4366</v>
      </c>
    </row>
    <row r="235" spans="1:6" x14ac:dyDescent="0.25">
      <c r="A235">
        <v>12</v>
      </c>
      <c r="B235" t="s">
        <v>7652</v>
      </c>
      <c r="C235" t="s">
        <v>7653</v>
      </c>
      <c r="D235" s="42">
        <v>108847</v>
      </c>
      <c r="E235" t="s">
        <v>3704</v>
      </c>
      <c r="F235" t="s">
        <v>77</v>
      </c>
    </row>
    <row r="236" spans="1:6" x14ac:dyDescent="0.25">
      <c r="A236">
        <v>12</v>
      </c>
      <c r="B236" t="s">
        <v>7652</v>
      </c>
      <c r="C236" t="s">
        <v>7653</v>
      </c>
      <c r="D236" s="42">
        <v>108847</v>
      </c>
      <c r="E236" t="s">
        <v>618</v>
      </c>
      <c r="F236" t="s">
        <v>95</v>
      </c>
    </row>
    <row r="237" spans="1:6" x14ac:dyDescent="0.25">
      <c r="A237">
        <v>12</v>
      </c>
      <c r="B237" t="s">
        <v>7652</v>
      </c>
      <c r="C237" t="s">
        <v>7653</v>
      </c>
      <c r="D237" s="42">
        <v>108847</v>
      </c>
      <c r="E237">
        <v>112093</v>
      </c>
      <c r="F237" t="s">
        <v>78</v>
      </c>
    </row>
    <row r="238" spans="1:6" x14ac:dyDescent="0.25">
      <c r="A238" s="2">
        <v>12</v>
      </c>
      <c r="B238" s="2" t="s">
        <v>7654</v>
      </c>
      <c r="C238" s="2" t="s">
        <v>7654</v>
      </c>
      <c r="D238" s="42">
        <v>119600</v>
      </c>
      <c r="E238" s="2">
        <v>109206</v>
      </c>
      <c r="F238" s="2" t="s">
        <v>74</v>
      </c>
    </row>
    <row r="239" spans="1:6" x14ac:dyDescent="0.25">
      <c r="A239" s="2">
        <v>12</v>
      </c>
      <c r="B239" s="2" t="s">
        <v>7654</v>
      </c>
      <c r="C239" s="2" t="s">
        <v>7654</v>
      </c>
      <c r="D239" s="42">
        <v>119600</v>
      </c>
      <c r="E239" s="2">
        <v>121994</v>
      </c>
      <c r="F239" s="2" t="s">
        <v>7637</v>
      </c>
    </row>
    <row r="240" spans="1:6" x14ac:dyDescent="0.25">
      <c r="A240" s="2">
        <v>12</v>
      </c>
      <c r="B240" s="2" t="s">
        <v>7654</v>
      </c>
      <c r="C240" s="2" t="s">
        <v>7654</v>
      </c>
      <c r="D240" s="42">
        <v>119600</v>
      </c>
      <c r="E240" s="2">
        <v>121980</v>
      </c>
      <c r="F240" s="2" t="s">
        <v>7638</v>
      </c>
    </row>
    <row r="241" spans="1:6" x14ac:dyDescent="0.25">
      <c r="A241" s="2">
        <v>12</v>
      </c>
      <c r="B241" s="2" t="s">
        <v>7654</v>
      </c>
      <c r="C241" s="2" t="s">
        <v>7654</v>
      </c>
      <c r="D241" s="42">
        <v>119600</v>
      </c>
      <c r="E241" s="2">
        <v>118414</v>
      </c>
      <c r="F241" s="2" t="s">
        <v>77</v>
      </c>
    </row>
    <row r="242" spans="1:6" x14ac:dyDescent="0.25">
      <c r="A242" s="2">
        <v>12</v>
      </c>
      <c r="B242" s="2" t="s">
        <v>7654</v>
      </c>
      <c r="C242" s="2" t="s">
        <v>7654</v>
      </c>
      <c r="D242" s="42">
        <v>119600</v>
      </c>
      <c r="E242" s="2">
        <v>118405</v>
      </c>
      <c r="F242" s="2" t="s">
        <v>4366</v>
      </c>
    </row>
    <row r="243" spans="1:6" x14ac:dyDescent="0.25">
      <c r="A243" s="2">
        <v>12</v>
      </c>
      <c r="B243" s="2" t="s">
        <v>7654</v>
      </c>
      <c r="C243" s="2" t="s">
        <v>7654</v>
      </c>
      <c r="D243" s="42">
        <v>119600</v>
      </c>
      <c r="E243" s="2">
        <v>118405</v>
      </c>
      <c r="F243" s="2" t="s">
        <v>4366</v>
      </c>
    </row>
    <row r="244" spans="1:6" x14ac:dyDescent="0.25">
      <c r="A244">
        <v>14</v>
      </c>
      <c r="B244" t="s">
        <v>7655</v>
      </c>
      <c r="C244" t="s">
        <v>7655</v>
      </c>
      <c r="E244">
        <v>108716</v>
      </c>
      <c r="F244" t="s">
        <v>74</v>
      </c>
    </row>
    <row r="245" spans="1:6" x14ac:dyDescent="0.25">
      <c r="A245">
        <v>14</v>
      </c>
      <c r="B245" t="s">
        <v>7655</v>
      </c>
      <c r="C245" t="s">
        <v>7655</v>
      </c>
      <c r="E245">
        <v>108764</v>
      </c>
      <c r="F245" t="s">
        <v>1239</v>
      </c>
    </row>
    <row r="246" spans="1:6" x14ac:dyDescent="0.25">
      <c r="A246">
        <v>14</v>
      </c>
      <c r="B246" t="s">
        <v>7655</v>
      </c>
      <c r="C246" t="s">
        <v>7655</v>
      </c>
      <c r="E246">
        <v>108570</v>
      </c>
      <c r="F246" t="s">
        <v>77</v>
      </c>
    </row>
    <row r="247" spans="1:6" x14ac:dyDescent="0.25">
      <c r="A247">
        <v>14</v>
      </c>
      <c r="B247" t="s">
        <v>7655</v>
      </c>
      <c r="C247" t="s">
        <v>7655</v>
      </c>
      <c r="E247">
        <v>108566</v>
      </c>
      <c r="F247" t="s">
        <v>7656</v>
      </c>
    </row>
    <row r="248" spans="1:6" x14ac:dyDescent="0.25">
      <c r="A248" s="2">
        <v>16</v>
      </c>
      <c r="B248" s="2" t="s">
        <v>7657</v>
      </c>
      <c r="C248" s="2" t="s">
        <v>7658</v>
      </c>
      <c r="D248" s="42">
        <v>109180</v>
      </c>
      <c r="E248" s="2">
        <v>117262</v>
      </c>
      <c r="F248" s="2" t="s">
        <v>79</v>
      </c>
    </row>
    <row r="249" spans="1:6" x14ac:dyDescent="0.25">
      <c r="A249" s="2">
        <v>16</v>
      </c>
      <c r="B249" s="2" t="s">
        <v>7657</v>
      </c>
      <c r="C249" s="2" t="s">
        <v>7658</v>
      </c>
      <c r="D249" s="42">
        <v>109180</v>
      </c>
      <c r="E249" s="2">
        <v>109068</v>
      </c>
      <c r="F249" s="2" t="s">
        <v>77</v>
      </c>
    </row>
    <row r="250" spans="1:6" x14ac:dyDescent="0.25">
      <c r="A250" s="2">
        <v>16</v>
      </c>
      <c r="B250" s="2" t="s">
        <v>7657</v>
      </c>
      <c r="C250" s="2" t="s">
        <v>7658</v>
      </c>
      <c r="D250" s="42">
        <v>109180</v>
      </c>
      <c r="E250" s="2">
        <v>109067</v>
      </c>
      <c r="F250" s="2" t="s">
        <v>95</v>
      </c>
    </row>
    <row r="251" spans="1:6" x14ac:dyDescent="0.25">
      <c r="A251" s="2">
        <v>16</v>
      </c>
      <c r="B251" s="2" t="s">
        <v>7657</v>
      </c>
      <c r="C251" s="2" t="s">
        <v>7658</v>
      </c>
      <c r="D251" s="42">
        <v>109180</v>
      </c>
      <c r="E251" s="2">
        <v>109071</v>
      </c>
      <c r="F251" s="2" t="s">
        <v>78</v>
      </c>
    </row>
    <row r="252" spans="1:6" x14ac:dyDescent="0.25">
      <c r="A252">
        <v>16</v>
      </c>
      <c r="B252" t="s">
        <v>7659</v>
      </c>
      <c r="C252" t="s">
        <v>7660</v>
      </c>
      <c r="D252" s="42">
        <v>109248</v>
      </c>
      <c r="E252">
        <v>117081</v>
      </c>
      <c r="F252" t="s">
        <v>79</v>
      </c>
    </row>
    <row r="253" spans="1:6" x14ac:dyDescent="0.25">
      <c r="A253">
        <v>16</v>
      </c>
      <c r="B253" t="s">
        <v>7659</v>
      </c>
      <c r="C253" t="s">
        <v>7660</v>
      </c>
      <c r="D253" s="42">
        <v>109248</v>
      </c>
      <c r="E253">
        <v>107013</v>
      </c>
      <c r="F253" t="s">
        <v>74</v>
      </c>
    </row>
    <row r="254" spans="1:6" x14ac:dyDescent="0.25">
      <c r="A254">
        <v>16</v>
      </c>
      <c r="B254" t="s">
        <v>7659</v>
      </c>
      <c r="C254" t="s">
        <v>7660</v>
      </c>
      <c r="D254" s="42">
        <v>109248</v>
      </c>
      <c r="E254">
        <v>109176</v>
      </c>
      <c r="F254" t="s">
        <v>95</v>
      </c>
    </row>
    <row r="255" spans="1:6" x14ac:dyDescent="0.25">
      <c r="A255">
        <v>16</v>
      </c>
      <c r="B255" t="s">
        <v>7659</v>
      </c>
      <c r="C255" t="s">
        <v>7660</v>
      </c>
      <c r="D255" s="42">
        <v>109248</v>
      </c>
      <c r="E255">
        <v>109078</v>
      </c>
      <c r="F255" t="s">
        <v>77</v>
      </c>
    </row>
    <row r="256" spans="1:6" x14ac:dyDescent="0.25">
      <c r="A256">
        <v>16</v>
      </c>
      <c r="B256" t="s">
        <v>7659</v>
      </c>
      <c r="C256" t="s">
        <v>7660</v>
      </c>
      <c r="D256" s="42">
        <v>109248</v>
      </c>
      <c r="E256">
        <v>100787</v>
      </c>
      <c r="F256" t="s">
        <v>78</v>
      </c>
    </row>
    <row r="257" spans="1:6" x14ac:dyDescent="0.25">
      <c r="A257" s="2">
        <v>16</v>
      </c>
      <c r="B257" s="2" t="s">
        <v>7661</v>
      </c>
      <c r="C257" s="2" t="s">
        <v>7662</v>
      </c>
      <c r="D257" s="42">
        <v>109249</v>
      </c>
      <c r="E257" s="2">
        <v>117081</v>
      </c>
      <c r="F257" s="2" t="s">
        <v>79</v>
      </c>
    </row>
    <row r="258" spans="1:6" x14ac:dyDescent="0.25">
      <c r="A258" s="2">
        <v>16</v>
      </c>
      <c r="B258" s="2" t="s">
        <v>7661</v>
      </c>
      <c r="C258" s="2" t="s">
        <v>7662</v>
      </c>
      <c r="D258" s="42">
        <v>109249</v>
      </c>
      <c r="E258" s="2">
        <v>107013</v>
      </c>
      <c r="F258" s="2" t="s">
        <v>74</v>
      </c>
    </row>
    <row r="259" spans="1:6" x14ac:dyDescent="0.25">
      <c r="A259" s="2">
        <v>16</v>
      </c>
      <c r="B259" s="2" t="s">
        <v>7661</v>
      </c>
      <c r="C259" s="2" t="s">
        <v>7662</v>
      </c>
      <c r="D259" s="42">
        <v>109249</v>
      </c>
      <c r="E259" s="2">
        <v>109173</v>
      </c>
      <c r="F259" s="2" t="s">
        <v>7663</v>
      </c>
    </row>
    <row r="260" spans="1:6" x14ac:dyDescent="0.25">
      <c r="A260" s="2">
        <v>16</v>
      </c>
      <c r="B260" s="2" t="s">
        <v>7661</v>
      </c>
      <c r="C260" s="2" t="s">
        <v>7662</v>
      </c>
      <c r="D260" s="42">
        <v>109249</v>
      </c>
      <c r="E260" s="2">
        <v>109113</v>
      </c>
      <c r="F260" s="2" t="s">
        <v>95</v>
      </c>
    </row>
    <row r="261" spans="1:6" x14ac:dyDescent="0.25">
      <c r="A261" s="2">
        <v>16</v>
      </c>
      <c r="B261" s="2" t="s">
        <v>7661</v>
      </c>
      <c r="C261" s="2" t="s">
        <v>7662</v>
      </c>
      <c r="D261" s="42">
        <v>109249</v>
      </c>
      <c r="E261" s="2">
        <v>109078</v>
      </c>
      <c r="F261" s="2" t="s">
        <v>77</v>
      </c>
    </row>
    <row r="262" spans="1:6" x14ac:dyDescent="0.25">
      <c r="A262" s="2">
        <v>16</v>
      </c>
      <c r="B262" s="2" t="s">
        <v>7661</v>
      </c>
      <c r="C262" s="2" t="s">
        <v>7662</v>
      </c>
      <c r="D262" s="42">
        <v>109249</v>
      </c>
      <c r="E262" s="2">
        <v>100787</v>
      </c>
      <c r="F262" s="2" t="s">
        <v>78</v>
      </c>
    </row>
    <row r="263" spans="1:6" x14ac:dyDescent="0.25">
      <c r="A263">
        <v>16</v>
      </c>
      <c r="B263" t="s">
        <v>7664</v>
      </c>
      <c r="C263" t="s">
        <v>7665</v>
      </c>
      <c r="D263" s="42">
        <v>108734</v>
      </c>
      <c r="E263">
        <v>117262</v>
      </c>
      <c r="F263" t="s">
        <v>4366</v>
      </c>
    </row>
    <row r="264" spans="1:6" x14ac:dyDescent="0.25">
      <c r="A264">
        <v>16</v>
      </c>
      <c r="B264" t="s">
        <v>7664</v>
      </c>
      <c r="C264" t="s">
        <v>7665</v>
      </c>
      <c r="D264" s="42">
        <v>108734</v>
      </c>
      <c r="E264">
        <v>113572</v>
      </c>
      <c r="F264" t="s">
        <v>7590</v>
      </c>
    </row>
    <row r="265" spans="1:6" x14ac:dyDescent="0.25">
      <c r="A265">
        <v>16</v>
      </c>
      <c r="B265" t="s">
        <v>7664</v>
      </c>
      <c r="C265" t="s">
        <v>7665</v>
      </c>
      <c r="D265" s="42">
        <v>108734</v>
      </c>
      <c r="E265" t="s">
        <v>806</v>
      </c>
      <c r="F265" t="s">
        <v>128</v>
      </c>
    </row>
    <row r="266" spans="1:6" x14ac:dyDescent="0.25">
      <c r="A266">
        <v>16</v>
      </c>
      <c r="B266" t="s">
        <v>7664</v>
      </c>
      <c r="C266" t="s">
        <v>7665</v>
      </c>
      <c r="D266" s="42">
        <v>108734</v>
      </c>
      <c r="E266">
        <v>108775</v>
      </c>
      <c r="F266" t="s">
        <v>77</v>
      </c>
    </row>
    <row r="267" spans="1:6" x14ac:dyDescent="0.25">
      <c r="A267">
        <v>16</v>
      </c>
      <c r="B267" t="s">
        <v>7664</v>
      </c>
      <c r="C267" t="s">
        <v>7665</v>
      </c>
      <c r="D267" s="42">
        <v>108734</v>
      </c>
      <c r="E267">
        <v>109079</v>
      </c>
      <c r="F267" t="s">
        <v>78</v>
      </c>
    </row>
    <row r="268" spans="1:6" x14ac:dyDescent="0.25">
      <c r="A268">
        <v>16</v>
      </c>
      <c r="B268" t="s">
        <v>7664</v>
      </c>
      <c r="C268" t="s">
        <v>7665</v>
      </c>
      <c r="D268" s="42">
        <v>108734</v>
      </c>
      <c r="E268">
        <v>118313</v>
      </c>
      <c r="F268" t="s">
        <v>4366</v>
      </c>
    </row>
    <row r="269" spans="1:6" x14ac:dyDescent="0.25">
      <c r="A269" s="2">
        <v>16</v>
      </c>
      <c r="B269" s="2" t="s">
        <v>7666</v>
      </c>
      <c r="C269" s="2" t="s">
        <v>7667</v>
      </c>
      <c r="D269" s="42">
        <v>112848</v>
      </c>
      <c r="E269" s="2">
        <v>117081</v>
      </c>
      <c r="F269" s="2" t="s">
        <v>79</v>
      </c>
    </row>
    <row r="270" spans="1:6" x14ac:dyDescent="0.25">
      <c r="A270" s="2">
        <v>16</v>
      </c>
      <c r="B270" s="2" t="s">
        <v>7666</v>
      </c>
      <c r="C270" s="2" t="s">
        <v>7667</v>
      </c>
      <c r="D270" s="42">
        <v>112848</v>
      </c>
      <c r="E270" s="2">
        <v>107013</v>
      </c>
      <c r="F270" s="2" t="s">
        <v>74</v>
      </c>
    </row>
    <row r="271" spans="1:6" x14ac:dyDescent="0.25">
      <c r="A271" s="2">
        <v>16</v>
      </c>
      <c r="B271" s="2" t="s">
        <v>7666</v>
      </c>
      <c r="C271" s="2" t="s">
        <v>7667</v>
      </c>
      <c r="D271" s="42">
        <v>112848</v>
      </c>
      <c r="E271" s="2">
        <v>112856</v>
      </c>
      <c r="F271" s="2" t="s">
        <v>77</v>
      </c>
    </row>
    <row r="272" spans="1:6" x14ac:dyDescent="0.25">
      <c r="A272" s="2">
        <v>16</v>
      </c>
      <c r="B272" s="2" t="s">
        <v>7666</v>
      </c>
      <c r="C272" s="2" t="s">
        <v>7667</v>
      </c>
      <c r="D272" s="42">
        <v>112848</v>
      </c>
      <c r="E272" s="2">
        <v>109250</v>
      </c>
      <c r="F272" s="2" t="s">
        <v>1239</v>
      </c>
    </row>
    <row r="273" spans="1:6" x14ac:dyDescent="0.25">
      <c r="A273" s="2">
        <v>16</v>
      </c>
      <c r="B273" s="2" t="s">
        <v>7666</v>
      </c>
      <c r="C273" s="2" t="s">
        <v>7667</v>
      </c>
      <c r="D273" s="42">
        <v>112848</v>
      </c>
      <c r="E273" s="2">
        <v>107166</v>
      </c>
      <c r="F273" s="2" t="s">
        <v>78</v>
      </c>
    </row>
    <row r="274" spans="1:6" x14ac:dyDescent="0.25">
      <c r="A274">
        <v>16</v>
      </c>
      <c r="B274" t="s">
        <v>7668</v>
      </c>
      <c r="C274" t="s">
        <v>7668</v>
      </c>
      <c r="E274">
        <v>117262</v>
      </c>
      <c r="F274" t="s">
        <v>7669</v>
      </c>
    </row>
    <row r="275" spans="1:6" x14ac:dyDescent="0.25">
      <c r="A275">
        <v>16</v>
      </c>
      <c r="B275" t="s">
        <v>7668</v>
      </c>
      <c r="C275" t="s">
        <v>7668</v>
      </c>
      <c r="E275">
        <v>108982</v>
      </c>
      <c r="F275" t="s">
        <v>74</v>
      </c>
    </row>
    <row r="276" spans="1:6" x14ac:dyDescent="0.25">
      <c r="A276">
        <v>16</v>
      </c>
      <c r="B276" t="s">
        <v>7668</v>
      </c>
      <c r="C276" t="s">
        <v>7668</v>
      </c>
      <c r="E276">
        <v>120589</v>
      </c>
      <c r="F276" t="s">
        <v>1237</v>
      </c>
    </row>
    <row r="277" spans="1:6" x14ac:dyDescent="0.25">
      <c r="A277">
        <v>16</v>
      </c>
      <c r="B277" t="s">
        <v>7668</v>
      </c>
      <c r="C277" t="s">
        <v>7668</v>
      </c>
      <c r="E277">
        <v>108959</v>
      </c>
      <c r="F277" t="s">
        <v>128</v>
      </c>
    </row>
    <row r="278" spans="1:6" x14ac:dyDescent="0.25">
      <c r="A278">
        <v>16</v>
      </c>
      <c r="B278" t="s">
        <v>7668</v>
      </c>
      <c r="C278" t="s">
        <v>7668</v>
      </c>
      <c r="E278">
        <v>108977</v>
      </c>
      <c r="F278" t="s">
        <v>77</v>
      </c>
    </row>
    <row r="279" spans="1:6" x14ac:dyDescent="0.25">
      <c r="A279">
        <v>16</v>
      </c>
      <c r="B279" t="s">
        <v>7668</v>
      </c>
      <c r="C279" t="s">
        <v>7668</v>
      </c>
      <c r="E279">
        <v>108958</v>
      </c>
      <c r="F279" t="s">
        <v>6890</v>
      </c>
    </row>
    <row r="280" spans="1:6" x14ac:dyDescent="0.25">
      <c r="A280">
        <v>16</v>
      </c>
      <c r="B280" t="s">
        <v>7668</v>
      </c>
      <c r="C280" t="s">
        <v>7668</v>
      </c>
      <c r="E280">
        <v>109845</v>
      </c>
      <c r="F280" t="s">
        <v>95</v>
      </c>
    </row>
    <row r="281" spans="1:6" x14ac:dyDescent="0.25">
      <c r="A281">
        <v>16</v>
      </c>
      <c r="B281" t="s">
        <v>7668</v>
      </c>
      <c r="C281" t="s">
        <v>7668</v>
      </c>
      <c r="E281">
        <v>113581</v>
      </c>
      <c r="F281" t="s">
        <v>7670</v>
      </c>
    </row>
    <row r="282" spans="1:6" x14ac:dyDescent="0.25">
      <c r="A282">
        <v>16</v>
      </c>
      <c r="B282" t="s">
        <v>7668</v>
      </c>
      <c r="C282" t="s">
        <v>7668</v>
      </c>
      <c r="E282">
        <v>109011</v>
      </c>
      <c r="F282" t="s">
        <v>7603</v>
      </c>
    </row>
    <row r="283" spans="1:6" x14ac:dyDescent="0.25">
      <c r="A283">
        <v>16</v>
      </c>
      <c r="B283" t="s">
        <v>7668</v>
      </c>
      <c r="C283" t="s">
        <v>7668</v>
      </c>
      <c r="E283">
        <v>113583</v>
      </c>
      <c r="F283" t="s">
        <v>7671</v>
      </c>
    </row>
    <row r="284" spans="1:6" x14ac:dyDescent="0.25">
      <c r="A284" s="2">
        <v>16</v>
      </c>
      <c r="B284" s="2" t="s">
        <v>7672</v>
      </c>
      <c r="C284" s="2" t="s">
        <v>7672</v>
      </c>
      <c r="D284" s="42">
        <v>119600</v>
      </c>
      <c r="E284" s="2">
        <v>108982</v>
      </c>
      <c r="F284" s="2" t="s">
        <v>74</v>
      </c>
    </row>
    <row r="285" spans="1:6" x14ac:dyDescent="0.25">
      <c r="A285" s="2">
        <v>16</v>
      </c>
      <c r="B285" s="2" t="s">
        <v>7672</v>
      </c>
      <c r="C285" s="2" t="s">
        <v>7672</v>
      </c>
      <c r="D285" s="42">
        <v>119600</v>
      </c>
      <c r="E285" s="2">
        <v>123590</v>
      </c>
      <c r="F285" s="2" t="s">
        <v>7637</v>
      </c>
    </row>
    <row r="286" spans="1:6" x14ac:dyDescent="0.25">
      <c r="A286" s="2">
        <v>16</v>
      </c>
      <c r="B286" s="2" t="s">
        <v>7672</v>
      </c>
      <c r="C286" s="2" t="s">
        <v>7672</v>
      </c>
      <c r="D286" s="42">
        <v>119600</v>
      </c>
      <c r="E286" s="2">
        <v>123585</v>
      </c>
      <c r="F286" s="2" t="s">
        <v>7638</v>
      </c>
    </row>
    <row r="287" spans="1:6" x14ac:dyDescent="0.25">
      <c r="A287" s="2">
        <v>16</v>
      </c>
      <c r="B287" s="2" t="s">
        <v>7672</v>
      </c>
      <c r="C287" s="2" t="s">
        <v>7672</v>
      </c>
      <c r="D287" s="42">
        <v>119600</v>
      </c>
      <c r="E287" s="2">
        <v>118414</v>
      </c>
      <c r="F287" s="2" t="s">
        <v>77</v>
      </c>
    </row>
    <row r="288" spans="1:6" x14ac:dyDescent="0.25">
      <c r="A288" s="2">
        <v>16</v>
      </c>
      <c r="B288" s="2" t="s">
        <v>7672</v>
      </c>
      <c r="C288" s="2" t="s">
        <v>7672</v>
      </c>
      <c r="D288" s="42">
        <v>119600</v>
      </c>
      <c r="E288" s="2">
        <v>118405</v>
      </c>
      <c r="F288" s="2" t="s">
        <v>4366</v>
      </c>
    </row>
    <row r="289" spans="1:6" x14ac:dyDescent="0.25">
      <c r="A289" s="2">
        <v>16</v>
      </c>
      <c r="B289" s="2" t="s">
        <v>7672</v>
      </c>
      <c r="C289" s="2" t="s">
        <v>7672</v>
      </c>
      <c r="D289" s="42">
        <v>119600</v>
      </c>
      <c r="E289" s="2">
        <v>118405</v>
      </c>
      <c r="F289" s="2" t="s">
        <v>4366</v>
      </c>
    </row>
    <row r="290" spans="1:6" x14ac:dyDescent="0.25">
      <c r="A290">
        <v>18</v>
      </c>
      <c r="B290" t="s">
        <v>7673</v>
      </c>
      <c r="C290" t="s">
        <v>7674</v>
      </c>
      <c r="E290">
        <v>117081</v>
      </c>
      <c r="F290" t="s">
        <v>7675</v>
      </c>
    </row>
    <row r="291" spans="1:6" x14ac:dyDescent="0.25">
      <c r="A291">
        <v>18</v>
      </c>
      <c r="B291" t="s">
        <v>7673</v>
      </c>
      <c r="C291" t="s">
        <v>7674</v>
      </c>
      <c r="E291">
        <v>107013</v>
      </c>
      <c r="F291" t="s">
        <v>74</v>
      </c>
    </row>
    <row r="292" spans="1:6" x14ac:dyDescent="0.25">
      <c r="A292">
        <v>18</v>
      </c>
      <c r="B292" t="s">
        <v>7673</v>
      </c>
      <c r="C292" t="s">
        <v>7674</v>
      </c>
      <c r="E292">
        <v>112884</v>
      </c>
      <c r="F292" t="s">
        <v>77</v>
      </c>
    </row>
    <row r="293" spans="1:6" x14ac:dyDescent="0.25">
      <c r="A293">
        <v>18</v>
      </c>
      <c r="B293" t="s">
        <v>7673</v>
      </c>
      <c r="C293" t="s">
        <v>7674</v>
      </c>
      <c r="E293">
        <v>112078</v>
      </c>
      <c r="F293" t="s">
        <v>1239</v>
      </c>
    </row>
    <row r="294" spans="1:6" x14ac:dyDescent="0.25">
      <c r="A294">
        <v>18</v>
      </c>
      <c r="B294" t="s">
        <v>7673</v>
      </c>
      <c r="C294" t="s">
        <v>7674</v>
      </c>
      <c r="E294">
        <v>107166</v>
      </c>
      <c r="F294" t="s">
        <v>78</v>
      </c>
    </row>
    <row r="295" spans="1:6" x14ac:dyDescent="0.25">
      <c r="A295" s="2">
        <v>18</v>
      </c>
      <c r="B295" s="2" t="s">
        <v>7676</v>
      </c>
      <c r="C295" s="2" t="s">
        <v>7677</v>
      </c>
      <c r="E295" s="2" t="s">
        <v>7433</v>
      </c>
      <c r="F295" s="2" t="s">
        <v>7678</v>
      </c>
    </row>
    <row r="296" spans="1:6" x14ac:dyDescent="0.25">
      <c r="A296" s="2">
        <v>18</v>
      </c>
      <c r="B296" s="2" t="s">
        <v>7676</v>
      </c>
      <c r="C296" s="2" t="s">
        <v>7677</v>
      </c>
      <c r="E296" s="2">
        <v>107013</v>
      </c>
      <c r="F296" s="2" t="s">
        <v>7679</v>
      </c>
    </row>
    <row r="297" spans="1:6" x14ac:dyDescent="0.25">
      <c r="A297" s="2">
        <v>18</v>
      </c>
      <c r="B297" s="2" t="s">
        <v>7676</v>
      </c>
      <c r="C297" s="2" t="s">
        <v>7677</v>
      </c>
      <c r="E297" s="2">
        <v>109173</v>
      </c>
      <c r="F297" s="2" t="s">
        <v>7590</v>
      </c>
    </row>
    <row r="298" spans="1:6" x14ac:dyDescent="0.25">
      <c r="A298" s="2">
        <v>18</v>
      </c>
      <c r="B298" s="2" t="s">
        <v>7676</v>
      </c>
      <c r="C298" s="2" t="s">
        <v>7677</v>
      </c>
      <c r="E298" s="2">
        <v>112548</v>
      </c>
      <c r="F298" s="2" t="s">
        <v>6831</v>
      </c>
    </row>
    <row r="299" spans="1:6" x14ac:dyDescent="0.25">
      <c r="A299" s="2">
        <v>18</v>
      </c>
      <c r="B299" s="2" t="s">
        <v>7676</v>
      </c>
      <c r="C299" s="2" t="s">
        <v>7677</v>
      </c>
      <c r="E299" s="2">
        <v>112539</v>
      </c>
      <c r="F299" s="2" t="s">
        <v>77</v>
      </c>
    </row>
    <row r="300" spans="1:6" x14ac:dyDescent="0.25">
      <c r="A300" s="2">
        <v>18</v>
      </c>
      <c r="B300" s="2" t="s">
        <v>7676</v>
      </c>
      <c r="C300" s="2" t="s">
        <v>7677</v>
      </c>
      <c r="E300" s="2">
        <v>100787</v>
      </c>
      <c r="F300" s="2" t="s">
        <v>78</v>
      </c>
    </row>
    <row r="301" spans="1:6" x14ac:dyDescent="0.25">
      <c r="A301">
        <v>20</v>
      </c>
      <c r="B301" t="s">
        <v>7680</v>
      </c>
      <c r="C301" t="s">
        <v>7681</v>
      </c>
      <c r="D301" s="42">
        <v>109628</v>
      </c>
      <c r="E301">
        <v>109117</v>
      </c>
      <c r="F301" t="s">
        <v>79</v>
      </c>
    </row>
    <row r="302" spans="1:6" x14ac:dyDescent="0.25">
      <c r="A302">
        <v>20</v>
      </c>
      <c r="B302" t="s">
        <v>7680</v>
      </c>
      <c r="C302" t="s">
        <v>7681</v>
      </c>
      <c r="D302" s="42">
        <v>109628</v>
      </c>
      <c r="E302">
        <v>100213</v>
      </c>
      <c r="F302" t="s">
        <v>74</v>
      </c>
    </row>
    <row r="303" spans="1:6" x14ac:dyDescent="0.25">
      <c r="A303">
        <v>20</v>
      </c>
      <c r="B303" t="s">
        <v>7680</v>
      </c>
      <c r="C303" t="s">
        <v>7681</v>
      </c>
      <c r="D303" s="42">
        <v>109628</v>
      </c>
      <c r="E303">
        <v>109348</v>
      </c>
      <c r="F303" t="s">
        <v>7682</v>
      </c>
    </row>
    <row r="304" spans="1:6" x14ac:dyDescent="0.25">
      <c r="A304">
        <v>20</v>
      </c>
      <c r="B304" t="s">
        <v>7680</v>
      </c>
      <c r="C304" t="s">
        <v>7681</v>
      </c>
      <c r="D304" s="42">
        <v>109628</v>
      </c>
      <c r="E304">
        <v>109314</v>
      </c>
      <c r="F304" t="s">
        <v>77</v>
      </c>
    </row>
    <row r="305" spans="1:6" x14ac:dyDescent="0.25">
      <c r="A305">
        <v>20</v>
      </c>
      <c r="B305" t="s">
        <v>7680</v>
      </c>
      <c r="C305" t="s">
        <v>7681</v>
      </c>
      <c r="D305" s="42">
        <v>109628</v>
      </c>
      <c r="E305">
        <v>109322</v>
      </c>
      <c r="F305" t="s">
        <v>95</v>
      </c>
    </row>
    <row r="306" spans="1:6" x14ac:dyDescent="0.25">
      <c r="A306">
        <v>20</v>
      </c>
      <c r="B306" t="s">
        <v>7680</v>
      </c>
      <c r="C306" t="s">
        <v>7681</v>
      </c>
      <c r="D306" s="42">
        <v>109628</v>
      </c>
      <c r="E306">
        <v>129550</v>
      </c>
      <c r="F306" t="s">
        <v>7590</v>
      </c>
    </row>
    <row r="307" spans="1:6" x14ac:dyDescent="0.25">
      <c r="A307">
        <v>20</v>
      </c>
      <c r="B307" t="s">
        <v>7680</v>
      </c>
      <c r="C307" t="s">
        <v>7681</v>
      </c>
      <c r="D307" s="42">
        <v>109628</v>
      </c>
      <c r="E307">
        <v>109408</v>
      </c>
      <c r="F307" t="s">
        <v>78</v>
      </c>
    </row>
    <row r="308" spans="1:6" x14ac:dyDescent="0.25">
      <c r="A308">
        <v>20</v>
      </c>
      <c r="B308" t="s">
        <v>7680</v>
      </c>
      <c r="C308" t="s">
        <v>7681</v>
      </c>
      <c r="D308" s="42">
        <v>109628</v>
      </c>
      <c r="E308">
        <v>120833</v>
      </c>
      <c r="F308" t="s">
        <v>7683</v>
      </c>
    </row>
    <row r="309" spans="1:6" x14ac:dyDescent="0.25">
      <c r="A309">
        <v>20</v>
      </c>
      <c r="B309" t="s">
        <v>7680</v>
      </c>
      <c r="C309" t="s">
        <v>7681</v>
      </c>
      <c r="D309" s="42">
        <v>109628</v>
      </c>
      <c r="E309">
        <v>117754</v>
      </c>
      <c r="F309" t="s">
        <v>79</v>
      </c>
    </row>
    <row r="310" spans="1:6" x14ac:dyDescent="0.25">
      <c r="A310" s="2">
        <v>20</v>
      </c>
      <c r="B310" s="2" t="s">
        <v>7684</v>
      </c>
      <c r="C310" s="2" t="s">
        <v>7685</v>
      </c>
      <c r="D310" s="42">
        <v>109627</v>
      </c>
      <c r="E310" s="2">
        <v>109117</v>
      </c>
      <c r="F310" s="2" t="s">
        <v>79</v>
      </c>
    </row>
    <row r="311" spans="1:6" x14ac:dyDescent="0.25">
      <c r="A311" s="2">
        <v>20</v>
      </c>
      <c r="B311" s="2" t="s">
        <v>7684</v>
      </c>
      <c r="C311" s="2" t="s">
        <v>7685</v>
      </c>
      <c r="D311" s="42">
        <v>109627</v>
      </c>
      <c r="E311" s="2">
        <v>100213</v>
      </c>
      <c r="F311" s="2" t="s">
        <v>74</v>
      </c>
    </row>
    <row r="312" spans="1:6" x14ac:dyDescent="0.25">
      <c r="A312" s="2">
        <v>20</v>
      </c>
      <c r="B312" s="2" t="s">
        <v>7684</v>
      </c>
      <c r="C312" s="2" t="s">
        <v>7685</v>
      </c>
      <c r="D312" s="42">
        <v>109627</v>
      </c>
      <c r="E312" s="2">
        <v>109348</v>
      </c>
      <c r="F312" s="2" t="s">
        <v>7682</v>
      </c>
    </row>
    <row r="313" spans="1:6" x14ac:dyDescent="0.25">
      <c r="A313" s="2">
        <v>20</v>
      </c>
      <c r="B313" s="2" t="s">
        <v>7684</v>
      </c>
      <c r="C313" s="2" t="s">
        <v>7685</v>
      </c>
      <c r="D313" s="42">
        <v>109627</v>
      </c>
      <c r="E313" s="2">
        <v>105850</v>
      </c>
      <c r="F313" s="2" t="s">
        <v>128</v>
      </c>
    </row>
    <row r="314" spans="1:6" x14ac:dyDescent="0.25">
      <c r="A314" s="2">
        <v>20</v>
      </c>
      <c r="B314" s="2" t="s">
        <v>7684</v>
      </c>
      <c r="C314" s="2" t="s">
        <v>7685</v>
      </c>
      <c r="D314" s="42">
        <v>109627</v>
      </c>
      <c r="E314" s="2">
        <v>109104</v>
      </c>
      <c r="F314" s="2" t="s">
        <v>77</v>
      </c>
    </row>
    <row r="315" spans="1:6" x14ac:dyDescent="0.25">
      <c r="A315" s="2">
        <v>20</v>
      </c>
      <c r="B315" s="2" t="s">
        <v>7684</v>
      </c>
      <c r="C315" s="2" t="s">
        <v>7685</v>
      </c>
      <c r="D315" s="42">
        <v>109627</v>
      </c>
      <c r="E315" s="2">
        <v>109408</v>
      </c>
      <c r="F315" s="2" t="s">
        <v>78</v>
      </c>
    </row>
    <row r="316" spans="1:6" x14ac:dyDescent="0.25">
      <c r="A316">
        <v>20</v>
      </c>
      <c r="B316" t="s">
        <v>7686</v>
      </c>
      <c r="C316" t="s">
        <v>7687</v>
      </c>
      <c r="D316" s="42">
        <v>109492</v>
      </c>
      <c r="E316">
        <v>109117</v>
      </c>
      <c r="F316" t="s">
        <v>79</v>
      </c>
    </row>
    <row r="317" spans="1:6" x14ac:dyDescent="0.25">
      <c r="A317">
        <v>20</v>
      </c>
      <c r="B317" t="s">
        <v>7686</v>
      </c>
      <c r="C317" t="s">
        <v>7687</v>
      </c>
      <c r="D317" s="42">
        <v>109492</v>
      </c>
      <c r="E317">
        <v>100213</v>
      </c>
      <c r="F317" t="s">
        <v>74</v>
      </c>
    </row>
    <row r="318" spans="1:6" x14ac:dyDescent="0.25">
      <c r="A318">
        <v>20</v>
      </c>
      <c r="B318" t="s">
        <v>7686</v>
      </c>
      <c r="C318" t="s">
        <v>7687</v>
      </c>
      <c r="D318" s="42">
        <v>109492</v>
      </c>
      <c r="E318">
        <v>109348</v>
      </c>
      <c r="F318" t="s">
        <v>7682</v>
      </c>
    </row>
    <row r="319" spans="1:6" x14ac:dyDescent="0.25">
      <c r="A319">
        <v>20</v>
      </c>
      <c r="B319" t="s">
        <v>7686</v>
      </c>
      <c r="C319" t="s">
        <v>7687</v>
      </c>
      <c r="D319" s="42">
        <v>109492</v>
      </c>
      <c r="E319" t="s">
        <v>6864</v>
      </c>
      <c r="F319" t="s">
        <v>78</v>
      </c>
    </row>
    <row r="320" spans="1:6" x14ac:dyDescent="0.25">
      <c r="A320">
        <v>20</v>
      </c>
      <c r="B320" t="s">
        <v>7686</v>
      </c>
      <c r="C320" t="s">
        <v>7687</v>
      </c>
      <c r="D320" s="42">
        <v>109492</v>
      </c>
      <c r="E320">
        <v>109101</v>
      </c>
      <c r="F320" t="s">
        <v>1239</v>
      </c>
    </row>
    <row r="321" spans="1:6" x14ac:dyDescent="0.25">
      <c r="A321">
        <v>20</v>
      </c>
      <c r="B321" t="s">
        <v>7686</v>
      </c>
      <c r="C321" t="s">
        <v>7687</v>
      </c>
      <c r="D321" s="42">
        <v>109492</v>
      </c>
      <c r="E321">
        <v>109098</v>
      </c>
      <c r="F321" t="s">
        <v>77</v>
      </c>
    </row>
    <row r="322" spans="1:6" x14ac:dyDescent="0.25">
      <c r="A322">
        <v>20</v>
      </c>
      <c r="B322" t="s">
        <v>7686</v>
      </c>
      <c r="C322" t="s">
        <v>7687</v>
      </c>
      <c r="D322" s="42">
        <v>109492</v>
      </c>
      <c r="E322">
        <v>111591</v>
      </c>
      <c r="F322" t="s">
        <v>7688</v>
      </c>
    </row>
    <row r="323" spans="1:6" x14ac:dyDescent="0.25">
      <c r="A323">
        <v>20</v>
      </c>
      <c r="B323" t="s">
        <v>7686</v>
      </c>
      <c r="C323" t="s">
        <v>7687</v>
      </c>
      <c r="D323" s="42">
        <v>109492</v>
      </c>
      <c r="E323">
        <v>117335</v>
      </c>
      <c r="F323" t="s">
        <v>7689</v>
      </c>
    </row>
    <row r="324" spans="1:6" x14ac:dyDescent="0.25">
      <c r="A324">
        <v>20</v>
      </c>
      <c r="B324" t="s">
        <v>7686</v>
      </c>
      <c r="C324" t="s">
        <v>7687</v>
      </c>
      <c r="D324" s="42">
        <v>109492</v>
      </c>
      <c r="E324">
        <v>108159</v>
      </c>
      <c r="F324" t="s">
        <v>7590</v>
      </c>
    </row>
    <row r="325" spans="1:6" x14ac:dyDescent="0.25">
      <c r="A325" s="2">
        <v>20</v>
      </c>
      <c r="B325" s="2" t="s">
        <v>7690</v>
      </c>
      <c r="C325" s="2" t="s">
        <v>7690</v>
      </c>
      <c r="E325" s="2">
        <v>112959</v>
      </c>
      <c r="F325" s="2" t="s">
        <v>7618</v>
      </c>
    </row>
    <row r="326" spans="1:6" x14ac:dyDescent="0.25">
      <c r="A326" s="2">
        <v>20</v>
      </c>
      <c r="B326" s="2" t="s">
        <v>7690</v>
      </c>
      <c r="C326" s="2" t="s">
        <v>7690</v>
      </c>
      <c r="E326" s="2">
        <v>112964</v>
      </c>
      <c r="F326" s="2" t="s">
        <v>74</v>
      </c>
    </row>
    <row r="327" spans="1:6" x14ac:dyDescent="0.25">
      <c r="A327" s="2">
        <v>20</v>
      </c>
      <c r="B327" s="2" t="s">
        <v>7690</v>
      </c>
      <c r="C327" s="2" t="s">
        <v>7690</v>
      </c>
      <c r="E327" s="2">
        <v>112960</v>
      </c>
      <c r="F327" s="2" t="s">
        <v>78</v>
      </c>
    </row>
    <row r="328" spans="1:6" x14ac:dyDescent="0.25">
      <c r="A328" s="2">
        <v>20</v>
      </c>
      <c r="B328" s="2" t="s">
        <v>7690</v>
      </c>
      <c r="C328" s="2" t="s">
        <v>7690</v>
      </c>
      <c r="E328" s="2">
        <v>120123</v>
      </c>
      <c r="F328" s="2" t="s">
        <v>82</v>
      </c>
    </row>
    <row r="329" spans="1:6" x14ac:dyDescent="0.25">
      <c r="A329" s="2">
        <v>20</v>
      </c>
      <c r="B329" s="2" t="s">
        <v>7690</v>
      </c>
      <c r="C329" s="2" t="s">
        <v>7690</v>
      </c>
      <c r="E329" s="2" t="s">
        <v>7691</v>
      </c>
      <c r="F329" s="2" t="s">
        <v>7692</v>
      </c>
    </row>
    <row r="330" spans="1:6" x14ac:dyDescent="0.25">
      <c r="A330" s="2">
        <v>20</v>
      </c>
      <c r="B330" s="2" t="s">
        <v>7690</v>
      </c>
      <c r="C330" s="2" t="s">
        <v>7690</v>
      </c>
      <c r="E330" s="2">
        <v>111283</v>
      </c>
      <c r="F330" s="2" t="s">
        <v>128</v>
      </c>
    </row>
    <row r="331" spans="1:6" x14ac:dyDescent="0.25">
      <c r="A331" s="2">
        <v>20</v>
      </c>
      <c r="B331" s="2" t="s">
        <v>7690</v>
      </c>
      <c r="C331" s="2" t="s">
        <v>7690</v>
      </c>
      <c r="E331" s="2">
        <v>111280</v>
      </c>
      <c r="F331" s="2" t="s">
        <v>77</v>
      </c>
    </row>
    <row r="332" spans="1:6" x14ac:dyDescent="0.25">
      <c r="A332" s="2">
        <v>20</v>
      </c>
      <c r="B332" s="2" t="s">
        <v>7690</v>
      </c>
      <c r="C332" s="2" t="s">
        <v>7690</v>
      </c>
      <c r="E332" s="2">
        <v>111284</v>
      </c>
      <c r="F332" s="2" t="s">
        <v>6890</v>
      </c>
    </row>
    <row r="333" spans="1:6" x14ac:dyDescent="0.25">
      <c r="A333" s="2">
        <v>20</v>
      </c>
      <c r="B333" s="2" t="s">
        <v>7690</v>
      </c>
      <c r="C333" s="2" t="s">
        <v>7690</v>
      </c>
      <c r="E333" s="2" t="s">
        <v>7693</v>
      </c>
      <c r="F333" s="2" t="s">
        <v>7694</v>
      </c>
    </row>
    <row r="334" spans="1:6" x14ac:dyDescent="0.25">
      <c r="A334" s="2">
        <v>20</v>
      </c>
      <c r="B334" s="2" t="s">
        <v>7690</v>
      </c>
      <c r="C334" s="2" t="s">
        <v>7690</v>
      </c>
      <c r="E334" s="2">
        <v>112950</v>
      </c>
      <c r="F334" s="2" t="s">
        <v>95</v>
      </c>
    </row>
    <row r="335" spans="1:6" x14ac:dyDescent="0.25">
      <c r="A335" s="2">
        <v>20</v>
      </c>
      <c r="B335" s="2" t="s">
        <v>7690</v>
      </c>
      <c r="C335" s="2" t="s">
        <v>7690</v>
      </c>
      <c r="E335" s="2">
        <v>112949</v>
      </c>
      <c r="F335" s="2" t="s">
        <v>7695</v>
      </c>
    </row>
    <row r="336" spans="1:6" x14ac:dyDescent="0.25">
      <c r="A336" s="2">
        <v>20</v>
      </c>
      <c r="B336" s="2" t="s">
        <v>7690</v>
      </c>
      <c r="C336" s="2" t="s">
        <v>7690</v>
      </c>
      <c r="E336" s="2" t="s">
        <v>7696</v>
      </c>
      <c r="F336" s="2" t="s">
        <v>7697</v>
      </c>
    </row>
    <row r="337" spans="1:6" x14ac:dyDescent="0.25">
      <c r="A337">
        <v>24</v>
      </c>
      <c r="B337" t="s">
        <v>7698</v>
      </c>
      <c r="C337" t="s">
        <v>7698</v>
      </c>
      <c r="E337">
        <v>109117</v>
      </c>
      <c r="F337" t="s">
        <v>7699</v>
      </c>
    </row>
    <row r="338" spans="1:6" x14ac:dyDescent="0.25">
      <c r="A338">
        <v>24</v>
      </c>
      <c r="B338" t="s">
        <v>7698</v>
      </c>
      <c r="C338" t="s">
        <v>7698</v>
      </c>
      <c r="E338">
        <v>102397</v>
      </c>
      <c r="F338" t="s">
        <v>74</v>
      </c>
    </row>
    <row r="339" spans="1:6" x14ac:dyDescent="0.25">
      <c r="A339">
        <v>24</v>
      </c>
      <c r="B339" t="s">
        <v>7698</v>
      </c>
      <c r="C339" t="s">
        <v>7698</v>
      </c>
      <c r="E339">
        <v>109348</v>
      </c>
      <c r="F339" t="s">
        <v>7700</v>
      </c>
    </row>
    <row r="340" spans="1:6" x14ac:dyDescent="0.25">
      <c r="A340" s="2">
        <v>24</v>
      </c>
      <c r="B340" s="2" t="s">
        <v>7701</v>
      </c>
      <c r="C340" s="2" t="s">
        <v>7702</v>
      </c>
      <c r="D340" s="42">
        <v>109346</v>
      </c>
      <c r="E340" s="2">
        <v>109117</v>
      </c>
      <c r="F340" s="2" t="s">
        <v>7699</v>
      </c>
    </row>
    <row r="341" spans="1:6" x14ac:dyDescent="0.25">
      <c r="A341" s="2">
        <v>24</v>
      </c>
      <c r="B341" s="2" t="s">
        <v>7701</v>
      </c>
      <c r="C341" s="2" t="s">
        <v>7702</v>
      </c>
      <c r="D341" s="42">
        <v>109346</v>
      </c>
      <c r="E341" s="2">
        <v>102397</v>
      </c>
      <c r="F341" s="2" t="s">
        <v>74</v>
      </c>
    </row>
    <row r="342" spans="1:6" x14ac:dyDescent="0.25">
      <c r="A342" s="2">
        <v>24</v>
      </c>
      <c r="B342" s="2" t="s">
        <v>7701</v>
      </c>
      <c r="C342" s="2" t="s">
        <v>7702</v>
      </c>
      <c r="D342" s="42">
        <v>109346</v>
      </c>
      <c r="E342" s="2">
        <v>109348</v>
      </c>
      <c r="F342" s="2" t="s">
        <v>7700</v>
      </c>
    </row>
    <row r="343" spans="1:6" x14ac:dyDescent="0.25">
      <c r="A343" s="2">
        <v>24</v>
      </c>
      <c r="B343" s="2" t="s">
        <v>7701</v>
      </c>
      <c r="C343" s="2" t="s">
        <v>7702</v>
      </c>
      <c r="D343" s="42">
        <v>109346</v>
      </c>
      <c r="E343" s="2">
        <v>109099</v>
      </c>
      <c r="F343" s="2" t="s">
        <v>78</v>
      </c>
    </row>
    <row r="344" spans="1:6" x14ac:dyDescent="0.25">
      <c r="A344" s="2">
        <v>24</v>
      </c>
      <c r="B344" s="2" t="s">
        <v>7701</v>
      </c>
      <c r="C344" s="2" t="s">
        <v>7702</v>
      </c>
      <c r="D344" s="42">
        <v>109346</v>
      </c>
      <c r="E344" s="2" t="s">
        <v>973</v>
      </c>
      <c r="F344" s="2" t="s">
        <v>1239</v>
      </c>
    </row>
    <row r="345" spans="1:6" x14ac:dyDescent="0.25">
      <c r="A345" s="2">
        <v>24</v>
      </c>
      <c r="B345" s="2" t="s">
        <v>7701</v>
      </c>
      <c r="C345" s="2" t="s">
        <v>7702</v>
      </c>
      <c r="D345" s="42">
        <v>109346</v>
      </c>
      <c r="E345" s="2">
        <v>109093</v>
      </c>
      <c r="F345" s="2" t="s">
        <v>77</v>
      </c>
    </row>
    <row r="346" spans="1:6" x14ac:dyDescent="0.25">
      <c r="A346">
        <v>24</v>
      </c>
      <c r="B346" t="s">
        <v>7703</v>
      </c>
      <c r="C346" t="s">
        <v>7703</v>
      </c>
      <c r="E346" t="s">
        <v>4404</v>
      </c>
      <c r="F346" t="s">
        <v>7704</v>
      </c>
    </row>
    <row r="347" spans="1:6" x14ac:dyDescent="0.25">
      <c r="A347">
        <v>24</v>
      </c>
      <c r="B347" t="s">
        <v>7703</v>
      </c>
      <c r="C347" t="s">
        <v>7703</v>
      </c>
      <c r="E347" t="s">
        <v>1003</v>
      </c>
      <c r="F347" t="s">
        <v>7705</v>
      </c>
    </row>
    <row r="348" spans="1:6" x14ac:dyDescent="0.25">
      <c r="A348">
        <v>24</v>
      </c>
      <c r="B348" t="s">
        <v>7703</v>
      </c>
      <c r="C348" t="s">
        <v>7703</v>
      </c>
      <c r="E348">
        <v>118879</v>
      </c>
      <c r="F348" t="s">
        <v>1237</v>
      </c>
    </row>
    <row r="349" spans="1:6" x14ac:dyDescent="0.25">
      <c r="A349">
        <v>24</v>
      </c>
      <c r="B349" t="s">
        <v>7703</v>
      </c>
      <c r="C349" t="s">
        <v>7703</v>
      </c>
      <c r="E349" t="s">
        <v>4373</v>
      </c>
      <c r="F349" t="s">
        <v>7590</v>
      </c>
    </row>
    <row r="350" spans="1:6" x14ac:dyDescent="0.25">
      <c r="A350">
        <v>24</v>
      </c>
      <c r="B350" t="s">
        <v>7703</v>
      </c>
      <c r="C350" t="s">
        <v>7703</v>
      </c>
      <c r="E350">
        <v>110708</v>
      </c>
      <c r="F350" t="s">
        <v>7706</v>
      </c>
    </row>
    <row r="351" spans="1:6" x14ac:dyDescent="0.25">
      <c r="A351">
        <v>24</v>
      </c>
      <c r="B351" t="s">
        <v>7703</v>
      </c>
      <c r="C351" t="s">
        <v>7703</v>
      </c>
      <c r="E351">
        <v>110710</v>
      </c>
      <c r="F351" t="s">
        <v>128</v>
      </c>
    </row>
    <row r="352" spans="1:6" x14ac:dyDescent="0.25">
      <c r="A352">
        <v>24</v>
      </c>
      <c r="B352" t="s">
        <v>7703</v>
      </c>
      <c r="C352" t="s">
        <v>7703</v>
      </c>
      <c r="E352" t="s">
        <v>4367</v>
      </c>
      <c r="F352" t="s">
        <v>7707</v>
      </c>
    </row>
    <row r="353" spans="1:6" x14ac:dyDescent="0.25">
      <c r="A353">
        <v>24</v>
      </c>
      <c r="B353" t="s">
        <v>7703</v>
      </c>
      <c r="C353" t="s">
        <v>7703</v>
      </c>
      <c r="E353">
        <v>111336</v>
      </c>
      <c r="F353" t="s">
        <v>78</v>
      </c>
    </row>
    <row r="354" spans="1:6" x14ac:dyDescent="0.25">
      <c r="A354">
        <v>24</v>
      </c>
      <c r="B354" t="s">
        <v>7703</v>
      </c>
      <c r="C354" t="s">
        <v>7703</v>
      </c>
      <c r="E354">
        <v>109687</v>
      </c>
      <c r="F354" t="s">
        <v>6890</v>
      </c>
    </row>
    <row r="355" spans="1:6" x14ac:dyDescent="0.25">
      <c r="A355">
        <v>26</v>
      </c>
      <c r="B355" t="s">
        <v>7708</v>
      </c>
      <c r="C355" t="s">
        <v>7708</v>
      </c>
      <c r="D355" s="42">
        <v>114879</v>
      </c>
      <c r="E355">
        <v>109936</v>
      </c>
      <c r="F355" t="s">
        <v>7699</v>
      </c>
    </row>
    <row r="356" spans="1:6" x14ac:dyDescent="0.25">
      <c r="A356">
        <v>26</v>
      </c>
      <c r="B356" t="s">
        <v>7708</v>
      </c>
      <c r="C356" t="s">
        <v>7708</v>
      </c>
      <c r="D356" s="42">
        <v>114879</v>
      </c>
      <c r="E356">
        <v>105440</v>
      </c>
      <c r="F356" t="s">
        <v>74</v>
      </c>
    </row>
    <row r="357" spans="1:6" x14ac:dyDescent="0.25">
      <c r="A357">
        <v>26</v>
      </c>
      <c r="B357" t="s">
        <v>7708</v>
      </c>
      <c r="C357" t="s">
        <v>7708</v>
      </c>
      <c r="D357" s="42">
        <v>114879</v>
      </c>
      <c r="E357">
        <v>110489</v>
      </c>
      <c r="F357" t="s">
        <v>7618</v>
      </c>
    </row>
    <row r="358" spans="1:6" x14ac:dyDescent="0.25">
      <c r="A358">
        <v>26</v>
      </c>
      <c r="B358" t="s">
        <v>7708</v>
      </c>
      <c r="C358" t="s">
        <v>7708</v>
      </c>
      <c r="D358" s="42">
        <v>114879</v>
      </c>
      <c r="E358">
        <v>103769</v>
      </c>
      <c r="F358" t="s">
        <v>7603</v>
      </c>
    </row>
    <row r="359" spans="1:6" x14ac:dyDescent="0.25">
      <c r="A359">
        <v>26</v>
      </c>
      <c r="B359" t="s">
        <v>7708</v>
      </c>
      <c r="C359" t="s">
        <v>7708</v>
      </c>
      <c r="D359" s="42">
        <v>114879</v>
      </c>
      <c r="E359">
        <v>110879</v>
      </c>
      <c r="F359" t="s">
        <v>77</v>
      </c>
    </row>
    <row r="360" spans="1:6" x14ac:dyDescent="0.25">
      <c r="A360">
        <v>26</v>
      </c>
      <c r="B360" t="s">
        <v>7708</v>
      </c>
      <c r="C360" t="s">
        <v>7708</v>
      </c>
      <c r="D360" s="42">
        <v>114879</v>
      </c>
      <c r="E360">
        <v>110887</v>
      </c>
      <c r="F360" t="s">
        <v>95</v>
      </c>
    </row>
    <row r="361" spans="1:6" x14ac:dyDescent="0.25">
      <c r="A361">
        <v>26</v>
      </c>
      <c r="B361" t="s">
        <v>7708</v>
      </c>
      <c r="C361" t="s">
        <v>7708</v>
      </c>
      <c r="D361" s="42">
        <v>114879</v>
      </c>
      <c r="E361">
        <v>115167</v>
      </c>
      <c r="F361" t="s">
        <v>7709</v>
      </c>
    </row>
    <row r="362" spans="1:6" x14ac:dyDescent="0.25">
      <c r="A362">
        <v>26</v>
      </c>
      <c r="B362" t="s">
        <v>7708</v>
      </c>
      <c r="C362" t="s">
        <v>7708</v>
      </c>
      <c r="D362" s="42">
        <v>114879</v>
      </c>
      <c r="E362">
        <v>115166</v>
      </c>
      <c r="F362" t="s">
        <v>7710</v>
      </c>
    </row>
    <row r="363" spans="1:6" x14ac:dyDescent="0.25">
      <c r="A363">
        <v>26</v>
      </c>
      <c r="B363" t="s">
        <v>7711</v>
      </c>
      <c r="C363" t="s">
        <v>7712</v>
      </c>
      <c r="D363" s="42">
        <v>110251</v>
      </c>
      <c r="E363">
        <v>109936</v>
      </c>
      <c r="F363" t="s">
        <v>7699</v>
      </c>
    </row>
    <row r="364" spans="1:6" x14ac:dyDescent="0.25">
      <c r="A364">
        <v>26</v>
      </c>
      <c r="B364" t="s">
        <v>7711</v>
      </c>
      <c r="C364" t="s">
        <v>7712</v>
      </c>
      <c r="D364" s="42">
        <v>110251</v>
      </c>
      <c r="E364">
        <v>105440</v>
      </c>
      <c r="F364" t="s">
        <v>74</v>
      </c>
    </row>
    <row r="365" spans="1:6" x14ac:dyDescent="0.25">
      <c r="A365">
        <v>26</v>
      </c>
      <c r="B365" t="s">
        <v>7711</v>
      </c>
      <c r="C365" t="s">
        <v>7712</v>
      </c>
      <c r="D365" s="42">
        <v>110251</v>
      </c>
      <c r="E365">
        <v>110489</v>
      </c>
      <c r="F365" t="s">
        <v>7700</v>
      </c>
    </row>
    <row r="366" spans="1:6" x14ac:dyDescent="0.25">
      <c r="A366">
        <v>26</v>
      </c>
      <c r="B366" t="s">
        <v>7711</v>
      </c>
      <c r="C366" t="s">
        <v>7712</v>
      </c>
      <c r="D366" s="42">
        <v>110251</v>
      </c>
      <c r="E366" t="s">
        <v>1055</v>
      </c>
      <c r="F366" t="s">
        <v>1239</v>
      </c>
    </row>
    <row r="367" spans="1:6" x14ac:dyDescent="0.25">
      <c r="A367">
        <v>26</v>
      </c>
      <c r="B367" t="s">
        <v>7711</v>
      </c>
      <c r="C367" t="s">
        <v>7712</v>
      </c>
      <c r="D367" s="42">
        <v>110251</v>
      </c>
      <c r="E367">
        <v>109364</v>
      </c>
      <c r="F367" t="s">
        <v>77</v>
      </c>
    </row>
    <row r="368" spans="1:6" x14ac:dyDescent="0.25">
      <c r="A368">
        <v>26</v>
      </c>
      <c r="B368" t="s">
        <v>7713</v>
      </c>
      <c r="C368" t="s">
        <v>7713</v>
      </c>
      <c r="E368">
        <v>116188</v>
      </c>
      <c r="F368" t="s">
        <v>95</v>
      </c>
    </row>
    <row r="369" spans="1:6" x14ac:dyDescent="0.25">
      <c r="A369">
        <v>26</v>
      </c>
      <c r="B369" t="s">
        <v>7713</v>
      </c>
      <c r="C369" t="s">
        <v>7713</v>
      </c>
      <c r="E369">
        <v>118879</v>
      </c>
      <c r="F369" t="s">
        <v>1237</v>
      </c>
    </row>
    <row r="370" spans="1:6" x14ac:dyDescent="0.25">
      <c r="A370">
        <v>26</v>
      </c>
      <c r="B370" t="s">
        <v>7713</v>
      </c>
      <c r="C370" t="s">
        <v>7713</v>
      </c>
      <c r="E370">
        <v>120072</v>
      </c>
      <c r="F370" t="s">
        <v>7590</v>
      </c>
    </row>
    <row r="371" spans="1:6" x14ac:dyDescent="0.25">
      <c r="A371">
        <v>26</v>
      </c>
      <c r="B371" t="s">
        <v>7713</v>
      </c>
      <c r="C371" t="s">
        <v>7713</v>
      </c>
      <c r="E371">
        <v>110708</v>
      </c>
      <c r="F371" t="s">
        <v>77</v>
      </c>
    </row>
    <row r="372" spans="1:6" x14ac:dyDescent="0.25">
      <c r="A372">
        <v>26</v>
      </c>
      <c r="B372" t="s">
        <v>7713</v>
      </c>
      <c r="C372" t="s">
        <v>7713</v>
      </c>
      <c r="E372">
        <v>110710</v>
      </c>
      <c r="F372" t="s">
        <v>128</v>
      </c>
    </row>
    <row r="373" spans="1:6" x14ac:dyDescent="0.25">
      <c r="A373">
        <v>26</v>
      </c>
      <c r="B373" t="s">
        <v>7713</v>
      </c>
      <c r="C373" t="s">
        <v>7713</v>
      </c>
      <c r="E373">
        <v>118950</v>
      </c>
      <c r="F373" t="s">
        <v>4366</v>
      </c>
    </row>
    <row r="374" spans="1:6" x14ac:dyDescent="0.25">
      <c r="A374">
        <v>26</v>
      </c>
      <c r="B374" t="s">
        <v>7713</v>
      </c>
      <c r="C374" t="s">
        <v>7713</v>
      </c>
      <c r="E374">
        <v>118953</v>
      </c>
      <c r="F374" t="s">
        <v>78</v>
      </c>
    </row>
    <row r="375" spans="1:6" x14ac:dyDescent="0.25">
      <c r="A375">
        <v>26</v>
      </c>
      <c r="B375" t="s">
        <v>7713</v>
      </c>
      <c r="C375" t="s">
        <v>7713</v>
      </c>
      <c r="E375">
        <v>118962</v>
      </c>
      <c r="F375" t="s">
        <v>6890</v>
      </c>
    </row>
    <row r="376" spans="1:6" x14ac:dyDescent="0.25">
      <c r="A376">
        <v>30</v>
      </c>
      <c r="B376" t="s">
        <v>7714</v>
      </c>
      <c r="C376" t="s">
        <v>7715</v>
      </c>
      <c r="D376" s="42">
        <v>110486</v>
      </c>
      <c r="E376">
        <v>109936</v>
      </c>
      <c r="F376" t="s">
        <v>7699</v>
      </c>
    </row>
    <row r="377" spans="1:6" x14ac:dyDescent="0.25">
      <c r="A377">
        <v>30</v>
      </c>
      <c r="B377" t="s">
        <v>7714</v>
      </c>
      <c r="C377" t="s">
        <v>7715</v>
      </c>
      <c r="D377" s="42">
        <v>110486</v>
      </c>
      <c r="E377">
        <v>105431</v>
      </c>
      <c r="F377" t="s">
        <v>74</v>
      </c>
    </row>
    <row r="378" spans="1:6" x14ac:dyDescent="0.25">
      <c r="A378">
        <v>30</v>
      </c>
      <c r="B378" t="s">
        <v>7714</v>
      </c>
      <c r="C378" t="s">
        <v>7715</v>
      </c>
      <c r="D378" s="42">
        <v>110486</v>
      </c>
      <c r="E378">
        <v>110489</v>
      </c>
      <c r="F378" t="s">
        <v>7716</v>
      </c>
    </row>
    <row r="379" spans="1:6" x14ac:dyDescent="0.25">
      <c r="A379">
        <v>30</v>
      </c>
      <c r="B379" t="s">
        <v>7714</v>
      </c>
      <c r="C379" t="s">
        <v>7715</v>
      </c>
      <c r="D379" s="42">
        <v>110486</v>
      </c>
      <c r="E379">
        <v>109360</v>
      </c>
      <c r="F379" t="s">
        <v>7717</v>
      </c>
    </row>
    <row r="380" spans="1:6" x14ac:dyDescent="0.25">
      <c r="A380">
        <v>30</v>
      </c>
      <c r="B380" t="s">
        <v>7714</v>
      </c>
      <c r="C380" t="s">
        <v>7715</v>
      </c>
      <c r="D380" s="42">
        <v>110486</v>
      </c>
      <c r="E380">
        <v>109364</v>
      </c>
      <c r="F380" t="s">
        <v>77</v>
      </c>
    </row>
    <row r="381" spans="1:6" x14ac:dyDescent="0.25">
      <c r="A381">
        <v>30</v>
      </c>
      <c r="B381" t="s">
        <v>7718</v>
      </c>
      <c r="C381" t="s">
        <v>7718</v>
      </c>
      <c r="D381" s="43">
        <v>115600</v>
      </c>
      <c r="E381">
        <v>111574</v>
      </c>
      <c r="F381" t="s">
        <v>7705</v>
      </c>
    </row>
    <row r="382" spans="1:6" x14ac:dyDescent="0.25">
      <c r="A382">
        <v>30</v>
      </c>
      <c r="B382" t="s">
        <v>7718</v>
      </c>
      <c r="C382" t="s">
        <v>7718</v>
      </c>
      <c r="D382" s="43">
        <v>115600</v>
      </c>
      <c r="E382">
        <v>115091</v>
      </c>
      <c r="F382" t="s">
        <v>128</v>
      </c>
    </row>
    <row r="383" spans="1:6" x14ac:dyDescent="0.25">
      <c r="A383">
        <v>30</v>
      </c>
      <c r="B383" t="s">
        <v>7718</v>
      </c>
      <c r="C383" t="s">
        <v>7718</v>
      </c>
      <c r="D383" s="43">
        <v>115600</v>
      </c>
      <c r="E383">
        <v>113138</v>
      </c>
      <c r="F383" t="s">
        <v>6890</v>
      </c>
    </row>
    <row r="384" spans="1:6" x14ac:dyDescent="0.25">
      <c r="A384">
        <v>30</v>
      </c>
      <c r="B384" t="s">
        <v>7718</v>
      </c>
      <c r="C384" t="s">
        <v>7718</v>
      </c>
      <c r="D384" s="43">
        <v>115600</v>
      </c>
      <c r="E384">
        <v>120020</v>
      </c>
      <c r="F384" t="s">
        <v>82</v>
      </c>
    </row>
    <row r="385" spans="1:6" x14ac:dyDescent="0.25">
      <c r="A385">
        <v>30</v>
      </c>
      <c r="B385" t="s">
        <v>7718</v>
      </c>
      <c r="C385" t="s">
        <v>7718</v>
      </c>
      <c r="D385" s="43">
        <v>115600</v>
      </c>
      <c r="E385" t="s">
        <v>7719</v>
      </c>
      <c r="F385" t="s">
        <v>7603</v>
      </c>
    </row>
    <row r="386" spans="1:6" x14ac:dyDescent="0.25">
      <c r="A386">
        <v>30</v>
      </c>
      <c r="B386" t="s">
        <v>7718</v>
      </c>
      <c r="C386" t="s">
        <v>7718</v>
      </c>
      <c r="D386" s="43">
        <v>115600</v>
      </c>
      <c r="E386">
        <v>119346</v>
      </c>
      <c r="F386" t="s">
        <v>78</v>
      </c>
    </row>
    <row r="387" spans="1:6" x14ac:dyDescent="0.25">
      <c r="A387">
        <v>30</v>
      </c>
      <c r="B387" t="s">
        <v>7718</v>
      </c>
      <c r="C387" t="s">
        <v>7718</v>
      </c>
      <c r="D387" s="43">
        <v>115600</v>
      </c>
      <c r="E387">
        <v>115110</v>
      </c>
      <c r="F387" t="s">
        <v>77</v>
      </c>
    </row>
    <row r="388" spans="1:6" x14ac:dyDescent="0.25">
      <c r="A388">
        <v>30</v>
      </c>
      <c r="B388" t="s">
        <v>7718</v>
      </c>
      <c r="C388" t="s">
        <v>7718</v>
      </c>
      <c r="D388" s="43">
        <v>115600</v>
      </c>
      <c r="E388">
        <v>115759</v>
      </c>
      <c r="F388" t="s">
        <v>4366</v>
      </c>
    </row>
    <row r="389" spans="1:6" x14ac:dyDescent="0.25">
      <c r="B389" t="s">
        <v>7720</v>
      </c>
      <c r="C389" t="s">
        <v>7721</v>
      </c>
      <c r="D389" s="42">
        <v>114349</v>
      </c>
      <c r="E389">
        <v>111604</v>
      </c>
      <c r="F389" t="s">
        <v>4366</v>
      </c>
    </row>
    <row r="390" spans="1:6" x14ac:dyDescent="0.25">
      <c r="B390" t="s">
        <v>7720</v>
      </c>
      <c r="C390" t="s">
        <v>7721</v>
      </c>
      <c r="D390" s="42">
        <v>114349</v>
      </c>
      <c r="E390" t="s">
        <v>6943</v>
      </c>
      <c r="F390" t="s">
        <v>74</v>
      </c>
    </row>
    <row r="391" spans="1:6" x14ac:dyDescent="0.25">
      <c r="B391" t="s">
        <v>7720</v>
      </c>
      <c r="C391" t="s">
        <v>7721</v>
      </c>
      <c r="D391" s="42">
        <v>114349</v>
      </c>
      <c r="E391">
        <v>100035</v>
      </c>
      <c r="F391" t="s">
        <v>78</v>
      </c>
    </row>
    <row r="392" spans="1:6" x14ac:dyDescent="0.25">
      <c r="B392" t="s">
        <v>7720</v>
      </c>
      <c r="C392" t="s">
        <v>7721</v>
      </c>
      <c r="D392" s="42">
        <v>114349</v>
      </c>
      <c r="E392">
        <v>112572</v>
      </c>
      <c r="F392" t="s">
        <v>77</v>
      </c>
    </row>
    <row r="393" spans="1:6" x14ac:dyDescent="0.25">
      <c r="B393" t="s">
        <v>7720</v>
      </c>
      <c r="C393" t="s">
        <v>7721</v>
      </c>
      <c r="D393" s="42">
        <v>114349</v>
      </c>
      <c r="E393">
        <v>112569</v>
      </c>
      <c r="F393" t="s">
        <v>95</v>
      </c>
    </row>
    <row r="394" spans="1:6" x14ac:dyDescent="0.25">
      <c r="B394" t="s">
        <v>7720</v>
      </c>
      <c r="C394" t="s">
        <v>7721</v>
      </c>
      <c r="D394" s="42">
        <v>114349</v>
      </c>
      <c r="E394">
        <v>117589</v>
      </c>
      <c r="F394" t="s">
        <v>4366</v>
      </c>
    </row>
    <row r="395" spans="1:6" x14ac:dyDescent="0.25">
      <c r="B395" t="s">
        <v>7720</v>
      </c>
      <c r="C395" t="s">
        <v>7721</v>
      </c>
      <c r="D395" s="42">
        <v>114349</v>
      </c>
      <c r="E395">
        <v>108159</v>
      </c>
      <c r="F395" t="s">
        <v>7603</v>
      </c>
    </row>
    <row r="396" spans="1:6" x14ac:dyDescent="0.25">
      <c r="B396" t="s">
        <v>7720</v>
      </c>
      <c r="C396" t="s">
        <v>7721</v>
      </c>
      <c r="D396" s="42">
        <v>114349</v>
      </c>
      <c r="E396">
        <v>109615</v>
      </c>
      <c r="F396" t="s">
        <v>7722</v>
      </c>
    </row>
    <row r="397" spans="1:6" x14ac:dyDescent="0.25">
      <c r="B397" t="s">
        <v>7723</v>
      </c>
      <c r="C397" t="s">
        <v>7724</v>
      </c>
      <c r="D397" s="42">
        <v>110533</v>
      </c>
      <c r="E397">
        <v>111604</v>
      </c>
      <c r="F397" t="s">
        <v>4366</v>
      </c>
    </row>
    <row r="398" spans="1:6" x14ac:dyDescent="0.25">
      <c r="B398" t="s">
        <v>7723</v>
      </c>
      <c r="C398" t="s">
        <v>7724</v>
      </c>
      <c r="D398" s="42">
        <v>110533</v>
      </c>
      <c r="E398" t="s">
        <v>6943</v>
      </c>
      <c r="F398" t="s">
        <v>74</v>
      </c>
    </row>
    <row r="399" spans="1:6" x14ac:dyDescent="0.25">
      <c r="B399" t="s">
        <v>7723</v>
      </c>
      <c r="C399" t="s">
        <v>7724</v>
      </c>
      <c r="D399" s="42">
        <v>110533</v>
      </c>
      <c r="E399">
        <v>100035</v>
      </c>
      <c r="F399" t="s">
        <v>78</v>
      </c>
    </row>
    <row r="400" spans="1:6" x14ac:dyDescent="0.25">
      <c r="B400" t="s">
        <v>7723</v>
      </c>
      <c r="C400" t="s">
        <v>7724</v>
      </c>
      <c r="D400" s="42">
        <v>110533</v>
      </c>
      <c r="E400" t="s">
        <v>7725</v>
      </c>
      <c r="F400" t="s">
        <v>4366</v>
      </c>
    </row>
    <row r="401" spans="1:6" x14ac:dyDescent="0.25">
      <c r="B401" t="s">
        <v>7723</v>
      </c>
      <c r="C401" t="s">
        <v>7724</v>
      </c>
      <c r="D401" s="42">
        <v>110533</v>
      </c>
      <c r="E401" t="s">
        <v>1254</v>
      </c>
      <c r="F401" t="s">
        <v>7717</v>
      </c>
    </row>
    <row r="402" spans="1:6" x14ac:dyDescent="0.25">
      <c r="B402" t="s">
        <v>7723</v>
      </c>
      <c r="C402" t="s">
        <v>7724</v>
      </c>
      <c r="D402" s="42">
        <v>110533</v>
      </c>
      <c r="E402">
        <v>110531</v>
      </c>
      <c r="F402" t="s">
        <v>77</v>
      </c>
    </row>
    <row r="403" spans="1:6" x14ac:dyDescent="0.25">
      <c r="A403">
        <v>42</v>
      </c>
      <c r="B403" t="s">
        <v>7726</v>
      </c>
      <c r="C403" t="s">
        <v>7726</v>
      </c>
      <c r="D403" s="42">
        <v>101600</v>
      </c>
      <c r="E403">
        <v>105208</v>
      </c>
      <c r="F403" t="s">
        <v>74</v>
      </c>
    </row>
    <row r="404" spans="1:6" x14ac:dyDescent="0.25">
      <c r="A404">
        <v>42</v>
      </c>
      <c r="B404" t="s">
        <v>7726</v>
      </c>
      <c r="C404" t="s">
        <v>7726</v>
      </c>
      <c r="D404" s="42">
        <v>101600</v>
      </c>
      <c r="E404">
        <v>116760</v>
      </c>
      <c r="F404" t="s">
        <v>79</v>
      </c>
    </row>
    <row r="405" spans="1:6" x14ac:dyDescent="0.25">
      <c r="A405">
        <v>42</v>
      </c>
      <c r="B405" t="s">
        <v>7726</v>
      </c>
      <c r="C405" t="s">
        <v>7726</v>
      </c>
      <c r="D405" s="42">
        <v>101600</v>
      </c>
      <c r="E405">
        <v>108159</v>
      </c>
      <c r="F405" t="s">
        <v>7590</v>
      </c>
    </row>
    <row r="406" spans="1:6" x14ac:dyDescent="0.25">
      <c r="A406">
        <v>42</v>
      </c>
      <c r="B406" t="s">
        <v>7726</v>
      </c>
      <c r="C406" t="s">
        <v>7726</v>
      </c>
      <c r="D406" s="42">
        <v>101600</v>
      </c>
      <c r="E406">
        <v>111875</v>
      </c>
      <c r="F406" t="s">
        <v>77</v>
      </c>
    </row>
    <row r="407" spans="1:6" x14ac:dyDescent="0.25">
      <c r="A407">
        <v>42</v>
      </c>
      <c r="B407" t="s">
        <v>7726</v>
      </c>
      <c r="C407" t="s">
        <v>7726</v>
      </c>
      <c r="D407" s="42">
        <v>101600</v>
      </c>
      <c r="E407">
        <v>105988</v>
      </c>
      <c r="F407" t="s">
        <v>95</v>
      </c>
    </row>
    <row r="408" spans="1:6" x14ac:dyDescent="0.25">
      <c r="A408">
        <v>42</v>
      </c>
      <c r="B408" t="s">
        <v>7726</v>
      </c>
      <c r="C408" t="s">
        <v>7726</v>
      </c>
      <c r="D408" s="42">
        <v>101600</v>
      </c>
      <c r="E408">
        <v>118450</v>
      </c>
      <c r="F408" t="s">
        <v>7727</v>
      </c>
    </row>
    <row r="409" spans="1:6" x14ac:dyDescent="0.25">
      <c r="A409">
        <v>42</v>
      </c>
      <c r="B409" t="s">
        <v>7726</v>
      </c>
      <c r="C409" t="s">
        <v>7726</v>
      </c>
      <c r="D409" s="42">
        <v>101600</v>
      </c>
      <c r="E409">
        <v>118725</v>
      </c>
      <c r="F409" t="s">
        <v>7699</v>
      </c>
    </row>
    <row r="410" spans="1:6" x14ac:dyDescent="0.25">
      <c r="A410">
        <v>42</v>
      </c>
      <c r="B410" t="s">
        <v>7726</v>
      </c>
      <c r="C410" t="s">
        <v>7726</v>
      </c>
      <c r="D410" s="42">
        <v>101600</v>
      </c>
      <c r="E410">
        <v>111616</v>
      </c>
      <c r="F410" t="s">
        <v>7631</v>
      </c>
    </row>
    <row r="411" spans="1:6" x14ac:dyDescent="0.25">
      <c r="A411">
        <v>42</v>
      </c>
      <c r="B411" t="s">
        <v>7726</v>
      </c>
      <c r="C411" t="s">
        <v>7726</v>
      </c>
      <c r="D411" s="42">
        <v>101600</v>
      </c>
      <c r="E411" t="s">
        <v>1175</v>
      </c>
      <c r="F411" t="s">
        <v>1239</v>
      </c>
    </row>
    <row r="412" spans="1:6" x14ac:dyDescent="0.25">
      <c r="A412">
        <v>42</v>
      </c>
      <c r="B412" t="s">
        <v>7726</v>
      </c>
      <c r="C412" t="s">
        <v>7726</v>
      </c>
      <c r="D412" s="42">
        <v>101600</v>
      </c>
      <c r="E412">
        <v>110131</v>
      </c>
      <c r="F412" t="s">
        <v>78</v>
      </c>
    </row>
    <row r="413" spans="1:6" x14ac:dyDescent="0.25">
      <c r="B413" t="s">
        <v>7728</v>
      </c>
      <c r="C413" t="s">
        <v>7729</v>
      </c>
      <c r="E413">
        <v>107405</v>
      </c>
      <c r="F413" t="s">
        <v>74</v>
      </c>
    </row>
    <row r="414" spans="1:6" x14ac:dyDescent="0.25">
      <c r="E414">
        <v>117572</v>
      </c>
      <c r="F414" t="s">
        <v>79</v>
      </c>
    </row>
    <row r="415" spans="1:6" x14ac:dyDescent="0.25">
      <c r="E415">
        <v>108176</v>
      </c>
      <c r="F415" t="s">
        <v>7590</v>
      </c>
    </row>
    <row r="416" spans="1:6" x14ac:dyDescent="0.25">
      <c r="E416">
        <v>107480</v>
      </c>
      <c r="F416" t="s">
        <v>77</v>
      </c>
    </row>
    <row r="417" spans="5:6" x14ac:dyDescent="0.25">
      <c r="E417">
        <v>107460</v>
      </c>
      <c r="F417" t="s">
        <v>95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9E2A3-569C-4C40-878E-BA753CF15671}">
  <dimension ref="A1:D11"/>
  <sheetViews>
    <sheetView workbookViewId="0">
      <selection activeCell="G16" sqref="G16:H16"/>
    </sheetView>
  </sheetViews>
  <sheetFormatPr defaultRowHeight="15" x14ac:dyDescent="0.25"/>
  <sheetData>
    <row r="1" spans="1:4" x14ac:dyDescent="0.25">
      <c r="A1" t="s">
        <v>7730</v>
      </c>
      <c r="B1" t="s">
        <v>8</v>
      </c>
      <c r="C1" t="s">
        <v>7731</v>
      </c>
      <c r="D1" t="s">
        <v>3</v>
      </c>
    </row>
    <row r="2" spans="1:4" x14ac:dyDescent="0.25">
      <c r="A2" t="s">
        <v>106</v>
      </c>
      <c r="B2" t="s">
        <v>95</v>
      </c>
      <c r="C2">
        <v>4</v>
      </c>
      <c r="D2" t="s">
        <v>94</v>
      </c>
    </row>
    <row r="3" spans="1:4" x14ac:dyDescent="0.25">
      <c r="A3" t="s">
        <v>132</v>
      </c>
      <c r="B3" t="s">
        <v>128</v>
      </c>
      <c r="C3">
        <v>4</v>
      </c>
      <c r="D3" t="s">
        <v>94</v>
      </c>
    </row>
    <row r="4" spans="1:4" x14ac:dyDescent="0.25">
      <c r="A4">
        <v>118211</v>
      </c>
      <c r="B4" t="s">
        <v>128</v>
      </c>
      <c r="C4">
        <v>4</v>
      </c>
      <c r="D4" t="s">
        <v>121</v>
      </c>
    </row>
    <row r="5" spans="1:4" x14ac:dyDescent="0.25">
      <c r="A5">
        <v>112174</v>
      </c>
      <c r="B5" t="s">
        <v>128</v>
      </c>
      <c r="C5">
        <v>6</v>
      </c>
      <c r="D5" t="s">
        <v>121</v>
      </c>
    </row>
    <row r="6" spans="1:4" x14ac:dyDescent="0.25">
      <c r="A6">
        <v>113045</v>
      </c>
      <c r="B6" t="s">
        <v>1237</v>
      </c>
      <c r="C6">
        <v>6</v>
      </c>
      <c r="D6" t="s">
        <v>121</v>
      </c>
    </row>
    <row r="7" spans="1:4" x14ac:dyDescent="0.25">
      <c r="A7">
        <v>110255</v>
      </c>
      <c r="B7" t="s">
        <v>95</v>
      </c>
      <c r="C7">
        <v>8</v>
      </c>
      <c r="D7" t="s">
        <v>121</v>
      </c>
    </row>
    <row r="8" spans="1:4" x14ac:dyDescent="0.25">
      <c r="A8">
        <v>109401</v>
      </c>
      <c r="B8" t="s">
        <v>1239</v>
      </c>
      <c r="C8">
        <v>8</v>
      </c>
      <c r="D8" t="s">
        <v>94</v>
      </c>
    </row>
    <row r="9" spans="1:4" x14ac:dyDescent="0.25">
      <c r="A9">
        <v>108557</v>
      </c>
      <c r="B9" t="s">
        <v>1239</v>
      </c>
      <c r="C9">
        <v>10</v>
      </c>
      <c r="D9" t="s">
        <v>94</v>
      </c>
    </row>
    <row r="10" spans="1:4" x14ac:dyDescent="0.25">
      <c r="A10">
        <v>111201</v>
      </c>
      <c r="B10" t="s">
        <v>469</v>
      </c>
      <c r="C10">
        <v>10</v>
      </c>
      <c r="D10" t="s">
        <v>469</v>
      </c>
    </row>
    <row r="11" spans="1:4" x14ac:dyDescent="0.25">
      <c r="A11" t="s">
        <v>7732</v>
      </c>
      <c r="B11" t="s">
        <v>7732</v>
      </c>
      <c r="C11" t="s">
        <v>7732</v>
      </c>
      <c r="D11" t="s">
        <v>7732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00386D92960941A7E206A689C5347F" ma:contentTypeVersion="6" ma:contentTypeDescription="Create a new document." ma:contentTypeScope="" ma:versionID="bc45f890cf992e88baadfd131e860640">
  <xsd:schema xmlns:xsd="http://www.w3.org/2001/XMLSchema" xmlns:xs="http://www.w3.org/2001/XMLSchema" xmlns:p="http://schemas.microsoft.com/office/2006/metadata/properties" xmlns:ns2="1d5d2129-2ea9-45f2-9865-a247e87241a1" xmlns:ns3="a9a894bc-7bd6-4b44-b180-5a0b70210443" targetNamespace="http://schemas.microsoft.com/office/2006/metadata/properties" ma:root="true" ma:fieldsID="d0a65db03890b85c5f1d9413356dc867" ns2:_="" ns3:_="">
    <xsd:import namespace="1d5d2129-2ea9-45f2-9865-a247e87241a1"/>
    <xsd:import namespace="a9a894bc-7bd6-4b44-b180-5a0b702104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5d2129-2ea9-45f2-9865-a247e87241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894bc-7bd6-4b44-b180-5a0b7021044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D1B6E2-21F0-4466-89BB-96CBE792C7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D9DE33-F8CE-4EB7-B4EE-303D122FE56C}">
  <ds:schemaRefs>
    <ds:schemaRef ds:uri="http://schemas.microsoft.com/office/2006/documentManagement/types"/>
    <ds:schemaRef ds:uri="1d5d2129-2ea9-45f2-9865-a247e87241a1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infopath/2007/PartnerControls"/>
    <ds:schemaRef ds:uri="a9a894bc-7bd6-4b44-b180-5a0b70210443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664FA0F-7285-4AB7-BB57-627F253DAA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5d2129-2ea9-45f2-9865-a247e87241a1"/>
    <ds:schemaRef ds:uri="a9a894bc-7bd6-4b44-b180-5a0b702104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PM Tool Info Sheet</vt:lpstr>
      <vt:lpstr>IN FSA NOT PM SHEET</vt:lpstr>
      <vt:lpstr>Tool Body Components</vt:lpstr>
      <vt:lpstr>Just Methods</vt:lpstr>
      <vt:lpstr>Alternative Tool Body Sheet</vt:lpstr>
      <vt:lpstr>Asset Export From Madeline</vt:lpstr>
      <vt:lpstr>Tool Body By Method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Sharon, Connor</dc:creator>
  <cp:keywords/>
  <dc:description/>
  <cp:lastModifiedBy>Sharon, Connor</cp:lastModifiedBy>
  <cp:revision/>
  <dcterms:created xsi:type="dcterms:W3CDTF">2026-01-08T22:35:56Z</dcterms:created>
  <dcterms:modified xsi:type="dcterms:W3CDTF">2026-03-18T15:19:49Z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0x0101007500386D92960941A7E206A689C5347F</vt:lpwstr>
  </property>
</Properties>
</file>